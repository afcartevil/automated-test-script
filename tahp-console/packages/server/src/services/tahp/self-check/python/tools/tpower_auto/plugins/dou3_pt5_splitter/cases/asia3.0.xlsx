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5" windowHeight="8910"/>
  </bookViews>
  <sheets>
    <sheet name="东南亚+南亚3.0" sheetId="2" r:id="rId1"/>
  </sheets>
  <calcPr calcId="144525"/>
</workbook>
</file>

<file path=xl/sharedStrings.xml><?xml version="1.0" encoding="utf-8"?>
<sst xmlns="http://schemas.openxmlformats.org/spreadsheetml/2006/main" count="736" uniqueCount="315">
  <si>
    <t>*TCID</t>
  </si>
  <si>
    <t>*CaseName</t>
  </si>
  <si>
    <t>HomeAction</t>
  </si>
  <si>
    <t>Single Time</t>
  </si>
  <si>
    <t>During</t>
  </si>
  <si>
    <t>*Steps</t>
  </si>
  <si>
    <t>pretest进度</t>
  </si>
  <si>
    <t>case开发进度</t>
  </si>
  <si>
    <t>调试进度</t>
  </si>
  <si>
    <t>caseName</t>
  </si>
  <si>
    <t>整合调试进度</t>
  </si>
  <si>
    <t>PPT_Power_UserScenario_00539</t>
  </si>
  <si>
    <t>Whatapp主界面+好友文字对话-DATA</t>
  </si>
  <si>
    <t>1.下拉状态栏关闭WIFI，退回桌面主界面（约5秒）（国内VPN打开）
2.手机桌面主界面1秒一滑左右滑动2次后，点击Whatsapp应用图标，打开Whatsapp完全加载完成。（约10秒）
3.Whatsapp联系人界面每2秒向下滑动一次、向上滑动一次（循序两次），每次滑动界面1/4屏幕距离。（约15秒）
4.找到固定联系人，点击进入对话界面，每隔2秒向对方发送一条消息“T”（约80秒）
5.home键退出Whatsapp回到桌面主界面，待桌面无变化。（约10秒）
6.记录整个过程2分钟（120秒）的平均功耗数据。</t>
  </si>
  <si>
    <t>重复</t>
  </si>
  <si>
    <t>dou3_whatsapp_browce_chat</t>
  </si>
  <si>
    <t>PPT_Power_UserScenario_00540</t>
  </si>
  <si>
    <t>灭屏不使用短待机7min-DATA</t>
  </si>
  <si>
    <t>mark_off_screen</t>
  </si>
  <si>
    <t>1.保持手机当前的后台状态，下拉状态栏关闭WIFI，按power键灭屏。
2.记录灭屏短待机的平均功耗（固定7分钟）</t>
  </si>
  <si>
    <t>/</t>
  </si>
  <si>
    <t>PPT_Power_UserScenario_00541</t>
  </si>
  <si>
    <t>Phone主叫通话功耗，亮屏通话-DATA</t>
  </si>
  <si>
    <t>1.当前处于灭屏状态，按POWER点亮屏幕，滑动解锁进入主界面（约5秒）
2.手机桌面主界面1秒一滑左右滑动2次后，点击Phone应用图标，打开Phone应用，待Phone应用完全加载完成。（约10秒）
3.phone界面打开拨号盘，输入辅助机电话，播号建立一通电话。（约10秒）
4.打开免提外放功能，亮屏持续通话158秒后挂断电话。（约145秒）
5.home键退出Phone回到桌面主界面，待桌面无变化。（约10秒）
6.记录整个过程3分钟（180秒）的平均功耗数据。</t>
  </si>
  <si>
    <t>yes</t>
  </si>
  <si>
    <t>必须为默认的phone app才能打开
dou3_phone_call
解决方案：在Google电话的后置步骤添加设置回默认打电话应用</t>
  </si>
  <si>
    <t>PPT_Power_UserScenario_00542</t>
  </si>
  <si>
    <t>灭屏不使用短待机2min-DATA</t>
  </si>
  <si>
    <t>1.保持手机当前的后台状态，按power键灭屏。
2.记录灭屏短待机的平均功耗（固定2分钟）</t>
  </si>
  <si>
    <t>PPT_Power_UserScenario_00543</t>
  </si>
  <si>
    <t>YouTube Music亮屏听音乐-DATA</t>
  </si>
  <si>
    <t>1.当前处于亮屏状态，在home idle主界面等待（约5秒）
2.手机桌面主界面1秒一滑左右滑动2次后，点击YouTube Music应用图标，打开YouTube Music应用，待YouTube Music应用完全加载完成。（约15秒）
3.YouTube Music找到本地音乐lonely.mp3进行亮屏播放，播放后点击暂停（约150秒）
4.返回到应用主界面，home键退出回到桌面主界面，待桌面无变化。（约10秒）
5.记录整个过程3分钟（180秒）的平均功耗数据。</t>
  </si>
  <si>
    <t>dou3_ytmusic_play</t>
  </si>
  <si>
    <t>PPT_Power_UserScenario_00544</t>
  </si>
  <si>
    <t>1.保持手机当前的后台状态，按power键灭屏。
2.记录灭屏短待机的平均功耗（固定7分钟）</t>
  </si>
  <si>
    <t>PPT_Power_UserScenario_00545</t>
  </si>
  <si>
    <t>Gallery浏览图片-DATA</t>
  </si>
  <si>
    <t>1.当前处于亮屏状态，下拉状态栏关闭WIFI，在home idle主界面等待（约5秒）
2.手机桌面主界面1秒一滑左右滑动2次后，点击AI Gallery应用图标，待应用完全加载完成。（约10秒）
3.对已存在的照片进入滤镜处理，待机浏览15秒。（循环5次，约155秒）
4.home键退出AI Gallery回到桌面主界面，待桌面无变化后（约10秒）
5.记录整个过程3分钟（180秒）的平均功耗数据。</t>
  </si>
  <si>
    <t>dou3_gallery_takepicture_filter</t>
  </si>
  <si>
    <t>PPT_Power_UserScenario_00546</t>
  </si>
  <si>
    <t>PPT_Power_UserScenario_00547</t>
  </si>
  <si>
    <t>GCash主页待机-DATA</t>
  </si>
  <si>
    <t>1.若当前处于灭屏状态，按POWER点亮屏幕，滑动解锁进入主界面（约5秒）
2.手机桌面主界面1秒一滑左右滑动2次后，点击桌面GCash应用图标，打开GCash应用，待GCash应用完全加载完成。（约5秒）
3.在GCash应用界面待机浏览10秒
4.home键退出GCash回到桌面主界面，待桌面无变化。（约5秒）
5.记录整个过程0.5分钟（30秒）的平均功耗数据。</t>
  </si>
  <si>
    <t>PPT_Power_UserScenario_00548</t>
  </si>
  <si>
    <t>PPT_Power_UserScenario_00549</t>
  </si>
  <si>
    <t>Youtube滑动浏览+观看短视频-DATA</t>
  </si>
  <si>
    <t>1.当前处于亮屏状态，在home idle主界面等待，下拉状态栏关闭WIFI（约5秒）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4.点击sort，进入到Youtube 短视频界面，每10秒滑动到下一个视频，持续刷270秒（约270秒）
5.home键退出Messenger回到桌面主界面，待桌面无变化（约10秒）
6.记录整个过程7分钟（420秒）的平均功耗数据。</t>
  </si>
  <si>
    <t>dou3_youtube_short_browser</t>
  </si>
  <si>
    <t>PPT_Power_UserScenario_00550</t>
  </si>
  <si>
    <t>PPT_Power_UserScenario_00551</t>
  </si>
  <si>
    <t>Instagram主界面浏览-DATA</t>
  </si>
  <si>
    <t>1.若当前处于灭屏状态，按POWER点亮屏幕，滑动解锁进入主界面（约5秒）
2.手机桌面主界面1秒一滑左右滑动2次后，点击Instagram应用图标，打开Instagram，待Instagram应用完全加载完成后。（约15秒）
3.在Instagram主界面每3秒从顶部向下开始滑动，每三秒滑动一次，每次滑动界面1/4距离（从屏幕距离底部1/4滑动到中间1/2）；若滑动到底部后无法滑动时，向上滑动，步长仍为1/4（固定90秒）
4.home键退出Instagram回到桌面主界面，待桌面无变化（约10秒）
5.记录整个过程2分钟（120秒）的平均功耗数据。</t>
  </si>
  <si>
    <t>dou3_instgram_browce</t>
  </si>
  <si>
    <t>PPT_Power_UserScenario_00552</t>
  </si>
  <si>
    <t>1.保持手机当前的后台状态，下拉状态栏关闭WIFI，按power键灭屏。
2.记录灭屏短待机的平均功耗（固定2分钟）</t>
  </si>
  <si>
    <t>PPT_Power_UserScenario_00553</t>
  </si>
  <si>
    <t>PPT_Power_UserScenario_00554</t>
  </si>
  <si>
    <t>PPT_Power_UserScenario_00555</t>
  </si>
  <si>
    <t>PPT_Power_UserScenario_00556</t>
  </si>
  <si>
    <t>Instagram短视频标签页浏览-DATA</t>
  </si>
  <si>
    <t>1.如当前处于亮屏状态，下拉状态栏关闭WIFI，在home idle主界面等待（约5秒）
2.手机桌面主界面1秒一滑左右滑动2次后，点击Instagram应用图标，打开Instagram，待Instagram应用完全加载完成后。（约10秒）
3.在Instagram主界面点击右下角视频图标，切换到短视频界面（约5秒）
4.每10秒滑动到下一个视频，持续刷90秒，（约90秒）
5.home键退出Instagram回到桌面主界面，待桌面无变化（约10秒）
6.记录整个过程2分钟（120秒）的平均功耗数据。</t>
  </si>
  <si>
    <t>dou3_instgram_shortvideo_browce</t>
  </si>
  <si>
    <t>PPT_Power_UserScenario_00557</t>
  </si>
  <si>
    <t>PPT_Power_UserScenario_00558</t>
  </si>
  <si>
    <t>mxplayer播放本地音乐-DATA</t>
  </si>
  <si>
    <t>1.当前处于亮屏状态，在home idle主界面等待（约5秒）
2.手机桌面主界面1秒一滑左右滑动2次后，点击Mx player应用图标，打开Mx player，待Mx player应用完全加载完成。（约10秒）。
3.打开本地音乐并播放（约35秒）。
4.home键退出Mx player回到桌面主界面，待桌面无变化后（约10秒）。
5.记录整个过程3分钟（60秒）的平均功耗数据。</t>
  </si>
  <si>
    <t>Playit每一个步骤都可能有广告
解决方案：尝试关闭该应用的所有权限（在预测试里关闭）</t>
  </si>
  <si>
    <t>PPT_Power_UserScenario_00559</t>
  </si>
  <si>
    <t>PPT_Power_UserScenario_00560</t>
  </si>
  <si>
    <t>PPT_Power_UserScenario_00561</t>
  </si>
  <si>
    <t>Chrome浏览网页视频-DATA</t>
  </si>
  <si>
    <t>1.若当前处于灭屏状态，按POWER点亮屏幕，滑动解锁进入主界面（约5秒）
如当前处于亮屏状态，在home idle主界面等待（约5秒）
2.手机桌面主界面1秒一滑左右滑动2次后，点击Chrome应用图标，打开Chrome，待Chrome应用完全加载完成后。（约10秒）
3.Chrome界面点击搜索栏，搜索Youtube，并进入Youtube网页（约10秒）
4.Youtube搜索《dava not coming back》并进入小屏播放（约85秒）
5.home键退出Chrome回到桌面主界面，待桌面无变化（约10秒）
6.记录整个过程2分钟（120秒）的平均功耗数据。</t>
  </si>
  <si>
    <r>
      <rPr>
        <u/>
        <sz val="9.75"/>
        <color theme="10"/>
        <rFont val="Calibri"/>
        <charset val="134"/>
      </rPr>
      <t>点击Youtube后直接跳转到APP，无法在chrome网页播放小窗。改为搜索</t>
    </r>
    <r>
      <rPr>
        <u/>
        <sz val="9.75"/>
        <color theme="10"/>
        <rFont val="Calibri"/>
        <charset val="134"/>
      </rPr>
      <t>www.youtube.com</t>
    </r>
    <r>
      <rPr>
        <u/>
        <sz val="9.75"/>
        <color theme="10"/>
        <rFont val="Calibri"/>
        <charset val="134"/>
      </rPr>
      <t xml:space="preserve"> dou3_chrome_youtube_play
解决方案：修改测试步骤</t>
    </r>
  </si>
  <si>
    <t>PPT_Power_UserScenario_00562</t>
  </si>
  <si>
    <t>灭屏通话-DATA</t>
  </si>
  <si>
    <t>1.辅助机打过来电话，测试机接听电话，通话5秒后灭屏。（约20秒）
2.通话150秒后挂断（约150秒）
3.退回主界面（约10秒）（总用时固定180秒）</t>
  </si>
  <si>
    <t>默认的phone app应该是哪一个
解决方案：使用默认Phone</t>
  </si>
  <si>
    <t>PPT_Power_UserScenario_00563</t>
  </si>
  <si>
    <t>PPT_Power_UserScenario_00564</t>
  </si>
  <si>
    <t>PPT_Power_UserScenario_00565</t>
  </si>
  <si>
    <t>Grab主页待机-DATA</t>
  </si>
  <si>
    <t>1.如当前处于亮屏状态，在home idle主界面等待（约5秒）
2.手机桌面主界面1秒一滑左右滑动2次后，点击桌面Grab应用图标，打开Grab应用，待Grab应用完全加载完成。（约10秒）
3.在Grab应用界面待机浏览10秒
4.home键退出Grab回到桌面主界面，待桌面无变化。（约5秒）
5.记录整个过程0.5分钟（30秒）的平均功耗数据。</t>
  </si>
  <si>
    <t>PPT_Power_UserScenario_00566</t>
  </si>
  <si>
    <t>foodpanda主界面浏览-DATA</t>
  </si>
  <si>
    <t>1.若当前处于灭屏状态，按POWER点亮屏幕，滑动解锁进入主界面（约5秒）
2.手机桌面主界面1秒一滑左右滑动2次后，点击桌面foodpanda应用图标，打开foodpanda应用，待foodpanda应用完全加载完成。（约10秒）
3.foodpanda主界面每3秒从顶部向下开始滑动，每三秒滑动一次，每次滑动界面1/4距离（从屏幕距离底部1/4滑动到中间1/2）；若滑动到底部后无法滑动时，向上滑动，步长仍为1/4（国内此步骤为待机，约155秒）
4.home键退出foodpanda回到桌面主界面，待桌面无变化。（约10秒）
5.记录整个过程3分钟（180秒）的平均功耗数据。</t>
  </si>
  <si>
    <t>国内是待机</t>
  </si>
  <si>
    <t>PPT_Power_UserScenario_00567</t>
  </si>
  <si>
    <t>PPT_Power_UserScenario_00568</t>
  </si>
  <si>
    <t>灭屏热点分享-DATA</t>
  </si>
  <si>
    <t>1.测试机打开热点分享，辅助机链接测试机热点，辅助机固定看Youtube短视频，测试机手动灭屏。（约20秒）
2.灭屏270秒（约260秒）
3.关闭热点（约20秒）</t>
  </si>
  <si>
    <t>写完因为网络问题未调试 dou3_hotspot_share</t>
  </si>
  <si>
    <t>PPT_Power_UserScenario_00569</t>
  </si>
  <si>
    <t>PPT_Power_UserScenario_00570</t>
  </si>
  <si>
    <t>PPT_Power_UserScenario_00571</t>
  </si>
  <si>
    <t>PPT_Power_UserScenario_00572</t>
  </si>
  <si>
    <t>Youtube滑动浏览+长视频小窗-DATA</t>
  </si>
  <si>
    <t>1.若当前处于灭屏状态，按POWER点亮屏幕，滑动解锁进入主界面（约5秒）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3.Youtube主界面浏览每3秒从顶部向下开始滑动，每三秒滑动一次，每次滑动界面1/4距离（从屏幕距离底部1/4滑动到中间1/2）；若向下无法滑动，则向上滑动，步长仍为1/4（约120秒）
4.上滑一次，点击左上角的搜索按钮，搜索《dava not coming back》并点击资源进入（约25秒）
5.back键返回YouTube主界面进行小窗播放，主界面浏览每3秒从顶部向下开始滑动，每三秒滑动一次，每次滑动界面1/4距离（从屏幕距离底部1/4滑动到中间1/2）；若滑动到底部后无法滑动时，向上滑动，步长仍为1/4（约240秒）
6.home键退出Youtube回到桌面主界面，待桌面无变化（约15秒）
7.记录整个过程7分钟（420秒）的平均功耗数据。</t>
  </si>
  <si>
    <t>PPT_Power_UserScenario_00573</t>
  </si>
  <si>
    <t>PPT_Power_UserScenario_00574</t>
  </si>
  <si>
    <t>Whatapp主界面+好友语音通话-DATA</t>
  </si>
  <si>
    <t>1.若当前处于灭屏状态，按POWER点亮屏幕，滑动解锁进入主界面（约5秒）
2.手机桌面主界面1秒一滑左右滑动2次后，点击Whatsapp应用图标，打开Whatsapp完全加载完成。（约15秒）
3.Whatsapp联系人界面每2秒向下滑动一次、向上滑动一次（循序两次），每次滑动界面1/4屏幕距离。（约15秒）
4.找到固定联系人，点击进入对话界面，点击右上角的语音通话按键，建立一通语音通话，打开免提外放功能，135秒后亮屏挂断电话。（约135秒）
5.home键退出Whatsapp回到桌面主界面，待桌面无变化。（约10秒）
6.记录整个过程3分钟（180秒）的平均功耗数据。</t>
  </si>
  <si>
    <t>dou3_whatsapp_browce_audio</t>
  </si>
  <si>
    <t>PPT_Power_UserScenario_00575</t>
  </si>
  <si>
    <t>PPT_Power_UserScenario_00576</t>
  </si>
  <si>
    <t>Chrome浏览网页-DATA</t>
  </si>
  <si>
    <r>
      <rPr>
        <sz val="9.75"/>
        <color rgb="FF000000"/>
        <rFont val="等线"/>
        <charset val="134"/>
        <scheme val="minor"/>
      </rPr>
      <t xml:space="preserve">1.若当前处于灭屏状态，按POWER点亮屏幕，滑动解锁进入主界面，下拉状态打开WIFI（约5秒）
</t>
    </r>
    <r>
      <rPr>
        <sz val="10"/>
        <rFont val="宋体"/>
        <charset val="134"/>
      </rPr>
      <t xml:space="preserve">2.手机桌面主界面1秒一滑左右滑动2次后，点击Chrome应用图标，打开Chrome，待Chrome应用完全加载完成后。（约10秒）
</t>
    </r>
    <r>
      <rPr>
        <sz val="10"/>
        <rFont val="宋体"/>
        <charset val="134"/>
      </rPr>
      <t>3.Chrome界面点击搜索栏，输入</t>
    </r>
    <r>
      <rPr>
        <u/>
        <sz val="9.75"/>
        <color theme="10"/>
        <rFont val="Calibri"/>
        <charset val="134"/>
      </rPr>
      <t>www.baidu.com</t>
    </r>
    <r>
      <rPr>
        <sz val="10"/>
        <rFont val="宋体"/>
        <charset val="134"/>
      </rPr>
      <t xml:space="preserve">，并进入百度主页（约10秒）
</t>
    </r>
    <r>
      <rPr>
        <sz val="10"/>
        <rFont val="宋体"/>
        <charset val="134"/>
      </rPr>
      <t xml:space="preserve">4.百度界面每3秒从顶部向下开始滑动，每三秒滑动一次，每次滑动界面1/4距离（从屏幕距离底部1/4滑动到中间1/2）；若滑动到底部后无法滑动时，向上滑动，步长仍为1/4（约85秒）
</t>
    </r>
    <r>
      <rPr>
        <sz val="10"/>
        <rFont val="宋体"/>
        <charset val="134"/>
      </rPr>
      <t xml:space="preserve">5.home键退出Chrome回到桌面主界面，待桌面无变化（约10秒）
</t>
    </r>
    <r>
      <rPr>
        <sz val="10"/>
        <rFont val="宋体"/>
        <charset val="134"/>
      </rPr>
      <t>6.记录整个过程2分钟（120秒）的平均功耗数据。</t>
    </r>
  </si>
  <si>
    <t>PPT_Power_UserScenario_00577</t>
  </si>
  <si>
    <t>PPT_Power_UserScenario_00578</t>
  </si>
  <si>
    <t>PPT_Power_UserScenario_00579</t>
  </si>
  <si>
    <t>Google Dialer主叫通话功耗，亮屏通话-DATA</t>
  </si>
  <si>
    <t>1.如当前处于亮屏状态，在home idle主界面等待（约5秒）
2.手机桌面主界面1秒一滑左右滑动2次后，点击Google Dialer应用图标，打开Google Dialer应用，待Google Dialer应用完全加载完成。（约25秒）
3.Google Dialer界面打开拨号盘，输入辅助机电话，播号建立一通电话。（约20秒）
4.打开免提外放功能，亮屏持续通话38秒后挂断电话。（约120秒）
5.home键退出Google Dialer回到桌面主界面，待桌面无变化。（约10秒）
6.记录整个过程3分钟（180秒）的平均功耗数据。</t>
  </si>
  <si>
    <t>PPT_Power_UserScenario_00580</t>
  </si>
  <si>
    <t>PPT_Power_UserScenario_00581</t>
  </si>
  <si>
    <t>PPT_Power_UserScenario_00582</t>
  </si>
  <si>
    <t>PPT_Power_UserScenario_00583</t>
  </si>
  <si>
    <t>PPT_Power_UserScenario_00584</t>
  </si>
  <si>
    <t>mxplayer播放本地视频-DATA</t>
  </si>
  <si>
    <t>1.当前处于亮屏状态，在home idle主界面等待（约5秒）
2.手机桌面主界面1秒一滑左右滑动2次后，点击Mx player应用图标，打开Mx player，待Mx player应用完全加载完成。（约10秒）
3.打开本地视频，从头开始播放1080P《那些年》（约215秒）
4.home键退出Mx player回到桌面主界面，待桌面无变化后（约10秒）。
5.记录整个过程4分钟（240秒）的平均功耗数据。</t>
  </si>
  <si>
    <t>dou3_mxplayer_video_play</t>
  </si>
  <si>
    <t>PPT_Power_UserScenario_00585</t>
  </si>
  <si>
    <t>Meesho主界面浏览-DATA</t>
  </si>
  <si>
    <t>1.当前处于亮屏状态，下拉状态关闭WIFI，在home idle主界面等待（约5秒）
2.手机桌面主界面1秒一滑左右滑动2次后，点击桌面Meesho应用图标，打开Meesho应用，待Meesho应用完全加载完成。（约10秒）
3.Meesho主界面每3秒从顶部向下开始滑动，每三秒滑动一次，每次滑动界面1/4距离（从屏幕距离底部1/4滑动到中间1/2）；若滑动到底部后无法滑动时，向上滑动，步长仍为1/4（约155秒）
4.home键退出Meesho回到桌面主界面，待桌面无变化。（约10秒）
5.记录整个过程3分钟（180秒）的平均功耗数据。</t>
  </si>
  <si>
    <t>dou3_meesho_browce</t>
  </si>
  <si>
    <t>PPT_Power_UserScenario_00586</t>
  </si>
  <si>
    <t>灭屏导航-DATA</t>
  </si>
  <si>
    <t>1.打开Google Maps，输入目的地"解放碑"，成功导航后灭屏。（约20秒）
2.导航150秒
3.亮屏，退出导航，回到桌面（约10秒）</t>
  </si>
  <si>
    <t>dou3_googlemaps_navigation（False）</t>
  </si>
  <si>
    <t>PPT_Power_UserScenario_00587</t>
  </si>
  <si>
    <t>Block Blast！正常游戏一局-DATA</t>
  </si>
  <si>
    <t>1.当前处于灭屏状态，按POWER点亮屏幕，滑动解锁进入主界面（约5秒）
2.手机桌面主界面1秒一滑左右滑动2次后，点击Block Blast！应用图标，打开Block Blast！，待Block Blast！应用完全加载完成。（约15秒）
3.保持游戏默认配置，正常匹配玩游戏（约90秒）
4.home键退出Block Blast！回到桌面主界面，待桌面无变化后（约10秒）。
5.记录整个过程2分钟（120秒）的平均功耗数据。</t>
  </si>
  <si>
    <t>dou3_blockblast_game_play</t>
  </si>
  <si>
    <t>PPT_Power_UserScenario_00588</t>
  </si>
  <si>
    <t>PPT_Power_UserScenario_00589</t>
  </si>
  <si>
    <t>Instagram发布视频动态-DATA</t>
  </si>
  <si>
    <t>1.当前处于亮屏状态，下拉状态关闭WIFI，在home idle主界面等待（约5秒）
2.手机桌面主界面1秒一滑左右滑动2次后，点击Instagram应用图标，打开Instagram，待Instagram应用完全加载完成后。（约15秒）
3.在Instagram主界面点击中间的“+”图标，在点击左上角的相机录制图标（约10秒）
4.保持前摄对着人脸长按录制图标进行视频录制直到结束（约30秒）
5.录制完成后在视频回放界面持续播放（约30秒）
6.点击next后，点击Share发布视频（约20秒）
7.home键退出Instagram回到桌面主界面，待桌面无变化（约10秒）
8.记录整个过程2分钟（120秒）的平均功耗数据。</t>
  </si>
  <si>
    <t>dou3_instgram_video_upload（long_press未测试）</t>
  </si>
  <si>
    <t>PPT_Power_UserScenario_00590</t>
  </si>
  <si>
    <t>PPT_Power_UserScenario_00591</t>
  </si>
  <si>
    <t>Instagram好友聊天-DATA</t>
  </si>
  <si>
    <t>1.当前处于亮屏状态，下拉状态关闭WIFI，在home idle主界面等待（约5秒）
2.手机桌面主界面1秒一滑左右滑动2次后，点击Instagram应用图标，打开Instagram，待Instagram应用完全加载完成后。（约15秒）
3.在Instagram主界面点击右上角的短信图标，选择固定的联系人进入聊天界面（约5秒）
4.每隔2秒向对方发送一条消息“T”（约85秒）
5.home键退出Instagram回到桌面主界面，待桌面无变化（约10秒）
6.记录整个过程2分钟（120秒）的平均功耗数据。</t>
  </si>
  <si>
    <t>dou3_instgram_friend_chat</t>
  </si>
  <si>
    <t>PPT_Power_UserScenario_00592</t>
  </si>
  <si>
    <t>PPT_Power_UserScenario_00593</t>
  </si>
  <si>
    <t>PPT_Power_UserScenario_00594</t>
  </si>
  <si>
    <t>Pinterest主页壁纸浏览-DATA</t>
  </si>
  <si>
    <t>1.当前处于亮屏状态，在home idle主界面等待（约5秒）
2.手机桌面主界面1秒一滑左右滑动2次后，点击桌面Pinterest应用图标，打开Pinterest应用，待Pinterest应用完全加载完成。（约10秒）
3.Pinterest主界面每3秒从顶部向下开始滑动，每三秒滑动一次，每次滑动界面1/4距离（从屏幕距离底部1/4滑动到中间1/2）；若滑动到底部后无法滑动时，向上滑动，步长仍为1/4（约155秒）
4.home键退出Pinterest回到桌面主界面，待桌面无变化。（约10秒）
5.记录整个过程3分钟（180秒）的平均功耗数据。</t>
  </si>
  <si>
    <t>dou3_pinterest_browce</t>
  </si>
  <si>
    <t>PPT_Power_UserScenario_00595</t>
  </si>
  <si>
    <t>PPT_Power_UserScenario_00596</t>
  </si>
  <si>
    <t>PPT_Power_UserScenario_00597</t>
  </si>
  <si>
    <t>灭屏听音乐-DATA</t>
  </si>
  <si>
    <t>1.打开Spotify音乐播放软件，循环播放本地音乐lonely.MP3，播放5秒后灭屏。（约30秒）
2.播放180秒
2.点亮屏幕，停止播放，退出到桌面（约30秒）</t>
  </si>
  <si>
    <t>没有本地音乐，只能找在线音乐。需要添加音源。每次点进音乐界面是否一致
必凤确认为在线音乐，需明建修改用例
解决方案：按OS15来适配</t>
  </si>
  <si>
    <t>PPT_Power_UserScenario_00598</t>
  </si>
  <si>
    <t>Google Drive文档浏览-DATA</t>
  </si>
  <si>
    <t>1.若当前处于灭屏状态，按POWER点亮屏幕，滑动解锁进入主界面（约5秒）
2.手机桌面主界面1秒一滑左右滑动2次后，点击Google Drive应用图标，打开Google Drive应用，待Google Drive应用完全加载完成。（约15秒）
3.Google Drive主界面打开《CM5-STR5》PDF文档（约5秒）
4.文档每3秒从顶部向下开始滑动，每三秒滑动一次，每次滑动界面1/4距离（从屏幕距离底部1/4滑动到中间1/2）；若滑动到底部后无法滑动时，向上滑动，步长仍为1/4（固定145秒）
4.home键退出回到桌面主界面，待桌面无变化。（约10秒）
5.记录整个过程3分钟（180秒）的平均功耗数据。</t>
  </si>
  <si>
    <t>dou3_drive_browce</t>
  </si>
  <si>
    <t>PPT_Power_UserScenario_00599</t>
  </si>
  <si>
    <t>PPT_Power_UserScenario_00600</t>
  </si>
  <si>
    <t>这里使用的是一键美化，上一条是改变滤镜确定是否一致？
明建确认一致，已修改
解决方案：步骤写错，需修改</t>
  </si>
  <si>
    <t>PPT_Power_UserScenario_00601</t>
  </si>
  <si>
    <t>PPT_Power_UserScenario_00602</t>
  </si>
  <si>
    <t>PPT_Power_UserScenario_00603</t>
  </si>
  <si>
    <t>PPT_Power_UserScenario_00604</t>
  </si>
  <si>
    <t>PPT_Power_UserScenario_00605</t>
  </si>
  <si>
    <t>默认的phone app应该是哪一个
解决方案：默认Phone</t>
  </si>
  <si>
    <t>PPT_Power_UserScenario_00606</t>
  </si>
  <si>
    <t>PPT_Power_UserScenario_00607</t>
  </si>
  <si>
    <t>Youtube滑动浏览+观看长视频-DATA</t>
  </si>
  <si>
    <t>1.当前处于亮屏状态，在home idle主界面等待（约5秒）
2.手机桌面主界面1秒一滑左右滑动2次后，点击Youtube应用图标，打开Youtube，待Youtube应用完全加载完成后。（约15秒）
3.Youtube主界面浏览每3秒从顶部向下开始滑动，每三秒滑动一次，每次滑动界面1/4距离（从屏幕距离底部1/4滑动到中间1/2）；若滑动到底部后无法滑动时，向上滑动，步长仍为1/4（约120秒）
4.上滑一次，点击左上角的搜索按钮，搜索《dava not coming back》并点击资源进入（约15秒）
5.进行全屏播放（约255秒）
6.home键退出Youtube回到桌面主界面，待桌面无变化（约10秒）
7.记录整个过程7分钟（420秒）的平均功耗数据。</t>
  </si>
  <si>
    <t>PPT_Power_UserScenario_00608</t>
  </si>
  <si>
    <t>PPT_Power_UserScenario_00609</t>
  </si>
  <si>
    <t>PPT_Power_UserScenario_00610</t>
  </si>
  <si>
    <t>PPT_Power_UserScenario_00611</t>
  </si>
  <si>
    <t>Google Maps 导航目的地-DATA</t>
  </si>
  <si>
    <t>1.当前处于亮屏状态，在home idle主界面等待，下拉状态栏关闭WIFI（约5秒）
2.手机桌面主界面1秒一滑左右滑动2次后，点击Google Maps 应用图标，打开Google Maps 应用，待Google Maps 应用完全加载完成。（约15秒）
3.Google Maps界面搜索目的"解放碑"（各国导航到本国的标注性地点），开始导航，导航100秒（约90秒）
4.home键退出回到桌面主界面，待桌面无变化。（约10秒）
5.记录整个过程2分钟（120秒）的平均功耗数据。</t>
  </si>
  <si>
    <t>dou3_googlemaps_navigation(True)</t>
  </si>
  <si>
    <t>PPT_Power_UserScenario_00612</t>
  </si>
  <si>
    <t>Tiktok播放视频并切换-WIFI</t>
  </si>
  <si>
    <t>1.当前处于灭屏状态，按POWER点亮屏幕，滑动解锁进入桌面主界面（约10秒）
2.下拉状态栏打开WIFI，home键退出到桌面主界面（约10秒）
2.手机桌面主界面1秒一滑左右滑动2次后，点击TikTok应用图标，打开TikTok应用，待TikTok应用完全加载完成。（约20秒）
3.TikTok推荐视频主界面每10秒滑动到下一个视频，持续刷2分40秒（约130秒）
4.home键退出TikTok回到桌面主界面，待桌面无变化。（约10秒）
5.记录整个过程3分钟（180秒）的平均功耗数据。</t>
  </si>
  <si>
    <t>PPT_Power_UserScenario_00613</t>
  </si>
  <si>
    <t>灭屏不使用短待机7min-WIFI</t>
  </si>
  <si>
    <t>PPT_Power_UserScenario_00614</t>
  </si>
  <si>
    <t>TikTok看直播（观看测试账号直播）-WIFI</t>
  </si>
  <si>
    <t>1.在home idle主界面等待（约5秒）
2.手机桌面主界面1秒一滑左右滑动2次后，点击TikTok应用图标，打开TikTok应用，待TikTok应用完全加载完成（约15秒）
3.搜索固定辅助机开的直播（固定lonely.mp3背景音乐及直播画面）。（约20秒）
4.测试机进入辅助机的直播间观看直播2分40秒（过程中每秒点击免费的爱心图标一次）。（约130秒）
5.关闭直播间后，home键退出TikTok回到桌面主界面，待桌面无变化。（约10秒）
6.记录整个过程3分钟（180秒）的平均功耗数据。</t>
  </si>
  <si>
    <t>已改用例，live列表第一个</t>
  </si>
  <si>
    <t>PPT_Power_UserScenario_00615</t>
  </si>
  <si>
    <t>Whatapp主界面+好友文字对话-WIFI</t>
  </si>
  <si>
    <t>PPT_Power_UserScenario_00616</t>
  </si>
  <si>
    <t>Facebook主界面，浏览滑动-WIFI</t>
  </si>
  <si>
    <t>1.若当前处于灭屏状态，按POWER点亮屏幕，滑动解锁进入主界面（约5秒）
2.下拉状态打开WIFI，退出主界面（约5秒）
2.手机桌面主界面1秒一滑左右滑动2次后，点击Facebook应用图标，打开Facebook应用，登录固定账号，待Facebook应用完全加载完成后。（约10秒）
3.Facebook主界面浏览每3秒从顶部向下开始滑动，每三秒滑动一次，每次滑动界面1/4距离（从屏幕距离底部1/4滑动到中间1/2）；若向下无法滑动，则向上滑动，步长仍为1/4，持续刷3分45秒（约150秒）
4.home键退出Facebook回到桌面主界面，待桌面无变化。（约10秒）
5.记录整个过程3分钟（180秒）的平均功耗数据。</t>
  </si>
  <si>
    <t>dou3_facebook_browse</t>
  </si>
  <si>
    <t>PPT_Power_UserScenario_00617</t>
  </si>
  <si>
    <t>dou3_tiktok_browser</t>
  </si>
  <si>
    <t>PPT_Power_UserScenario_00618</t>
  </si>
  <si>
    <t>Messenger主界面+好友发送消息-WIFI</t>
  </si>
  <si>
    <t>1.若当前处于灭屏状态，按POWER点亮屏幕，滑动解锁进入主界面（约5秒）
2.下拉状态栏打开WIFI，在home idle主界面等待（约5秒）
3.手机桌面主界面1秒一滑左右滑动2次后，点击Messenger应用图标，打开Messenger，待Messenger应用完全加载完成。（约10秒）
4.Messenger联系人界面每2秒向下滑动一次、向上滑动一次（循序两次），每次滑动界面1/4屏幕距离。（约15秒）
5.找到固定联系人，点击进入对话界面，每隔2秒向对方发送一条消息“T”（约75秒）
6.home键退出Messenger回到桌面主界面，待桌面无变化后（约10秒）
7.记录整个过程2分钟（120秒）的平均功耗数据。</t>
  </si>
  <si>
    <t>dou3_messenger_browce_chat
(pretest需要识图)</t>
  </si>
  <si>
    <t>PPT_Power_UserScenario_00619</t>
  </si>
  <si>
    <t>Facebook lite好友主页视频播放-WIFI</t>
  </si>
  <si>
    <t>1.当前处于亮屏状态，在home idle主界面等待（约5秒）
2.手机桌面主界面1秒一滑左右滑动2次后，点击Facebook lite应用图标，打开Facebook lite应用，登录固定账号，待Facebook lite应用完全加载完成。（约10秒）
3.点击固定好友进入他的主页，播放固定的一个lite视频，从头开始播放（约20秒）
4.持续播放该视频1分40秒（约75秒）
5.home键退出Facebook lite回到桌面主界面，待桌面无变化（约10秒）
6.记录整个过程2分钟（120秒）的平均功耗数据。</t>
  </si>
  <si>
    <t>dou3_facebooklite_friends_video</t>
  </si>
  <si>
    <t>PPT_Power_UserScenario_00620</t>
  </si>
  <si>
    <t>PPT_Power_UserScenario_00621</t>
  </si>
  <si>
    <t>TikTok个人视频列表并播放（看测试账号视频）-WIFI</t>
  </si>
  <si>
    <t>1.若当前处于灭屏状态，按POWER点亮屏幕，滑动解锁进入主界面（约5秒）
2.下拉状态栏打开WIFI，在home idle主界面等待（约5秒）
3.手机桌面主界面1秒一滑左右滑动2次后，点击TikTok应用图标，打开TikTok应用，待TikTok应用完全加载完成（约15秒）
4.，搜索固定账号（国内-袁川贵），点击进入他的账号主页（约15秒）
5.打开固定账号（国内-袁川贵）最上面第一个视频点击播放，每10秒滑动到下一个视频，持续刷3分钟35秒（约190秒）
6.home键退出TikTok回到桌面主界面，待桌面无变化后。（约10秒）
7.记录整个过程4分钟（240秒）的平均功耗数据。</t>
  </si>
  <si>
    <t>dou3_tiktok_firends_browser</t>
  </si>
  <si>
    <t>PPT_Power_UserScenario_00622</t>
  </si>
  <si>
    <t>Facebook主界面video短视频滑动-WIFI</t>
  </si>
  <si>
    <t>1.当前处于亮屏状态，在home idle主界面等待（约5秒）
2.手机桌面主界面1秒一滑左右滑动2次后，点击Facebook应用图标，打开Facebook应用，登录固定账号，待Facebook应用完全加载完成后。（约20秒）。
3.主界面点击Facebook文本下的视频图标，切换到Video界面，在Video界面点击reels进入reels短视频播放界面。（约10秒）（如果直接在短视频界面不做处理）。
4.每10秒滑动到下一个视频，持续刷2分钟40秒（约135秒）。
5.home键退出Facebook回到桌面主界面，待桌面无变化（约10秒）。
6.记录整个过程3分钟（180秒）的平均功耗数据。</t>
  </si>
  <si>
    <t>dou3_facebook_video</t>
  </si>
  <si>
    <t>PPT_Power_UserScenario_00623</t>
  </si>
  <si>
    <t>灭屏不使用短待机2min-WIFI</t>
  </si>
  <si>
    <t>PPT_Power_UserScenario_00624</t>
  </si>
  <si>
    <t>Facebook lite主界面，浏览滑动-WIFI</t>
  </si>
  <si>
    <t>1.如当前处于亮屏状态，下拉状态栏打开WIFI，在home idle主界面等待（约5秒）
2.手机桌面主界面1秒一滑左右滑动2次后，点击Facebook lite应用图标，打开Facebook lite应用，登录固定账号，待Facebook lite应用完全加载完成。（约15秒）
3.Facebook lite主界面浏览每3秒从顶部向下开始滑动，每三秒滑动一次，每次滑动界面1/4距离（从屏幕距离底部1/4滑动到中间1/2）；若滑动到底部后无法滑动时，向上滑动，步长仍为1/4，持续刷90秒（约90秒）
4.home键退出Facebook lite回到桌面主界面，待桌面无变化（约10秒）
5.记录整个过程2分钟（120秒）的平均功耗数据。</t>
  </si>
  <si>
    <t>dou3_facebooklite_browse</t>
  </si>
  <si>
    <t>PPT_Power_UserScenario_00625</t>
  </si>
  <si>
    <t>Whatapp主界面+好友视频通话-WIFI</t>
  </si>
  <si>
    <t>1.若当前处于灭屏状态，按POWER点亮屏幕，滑动解锁进入主界面（约5秒）
2.下拉状态打开WIFI(约5秒)
2.手机桌面主界面1秒一滑左右滑动2次后，点击Whatsapp应用图标，打开Whatsapp完全加载完成。（约10秒）
3.待Whatsapp应用完全加载完成后等待2秒，Whatsapp联系人界面每2秒向下滑动一次、向上滑动一次（循序两次），每次滑动界面1/4屏幕距离。（约15秒）
4.找到固定联系人，点击进入对话界面，点击右上角的视频通话按键，建立一通视频通话，保持前摄（固定预览画面），后挂断视频。（约135秒）
5.home键退出Whatsapp回到桌面主界面，待桌面无变化。（约10秒）
6.记录整个过程3分钟（180秒）的平均功耗数据。</t>
  </si>
  <si>
    <t>dou3_whatsapp_browce_video</t>
  </si>
  <si>
    <t>PPT_Power_UserScenario_00626</t>
  </si>
  <si>
    <t>PPT_Power_UserScenario_00627</t>
  </si>
  <si>
    <t>PPT_Power_UserScenario_00628</t>
  </si>
  <si>
    <t>Youtube滑动浏览+长视频小窗-WIFI</t>
  </si>
  <si>
    <t>dou3_youtube_browser_windowplay</t>
  </si>
  <si>
    <t>PPT_Power_UserScenario_00629</t>
  </si>
  <si>
    <t>PPT_Power_UserScenario_00630</t>
  </si>
  <si>
    <t>MLBB游戏中功耗-WIFI</t>
  </si>
  <si>
    <t>1.若当前处于灭屏状态，按POWER点亮屏幕，滑动解锁进入主界面，下拉状态栏打开WIFI（约20秒）
2.手机桌面主界面1秒一滑左右滑动2次后，点击MLBB应用图标，打开MLBB，待MLBB应用完全加载完成。（测试提前登录固定账号）（约40秒）
3.保持游戏默认配置，正常匹配玩游戏（约830秒）
4.home键退出MLBB回到桌面主界面，待桌面无变化后（约10秒）。
5.记录整个过程15分钟（900秒）的平均功耗数据。</t>
  </si>
  <si>
    <t>暂时直接调用机械臂里的用例</t>
  </si>
  <si>
    <t>PPT_Power_UserScenario_00631</t>
  </si>
  <si>
    <t>PPT_Power_UserScenario_00632</t>
  </si>
  <si>
    <t>PPT_Power_UserScenario_00633</t>
  </si>
  <si>
    <t>Messenger主界面+视频通话-WIFI</t>
  </si>
  <si>
    <t>1.若当前处于灭屏状态，按POWER点亮屏幕，滑动解锁进入主界面，打开WIFI（约10秒）
2.手机桌面主界面1秒一滑左右滑动2次后，点击Messenger应用图标，打开Messenger，待Messenger应用完全加载完成。（约15秒）
3.Messenger联系人界面每2秒向下滑动一次、向上滑动一次（循序两次），每次滑动界面1/4屏幕距离。（约15秒）
4.找到固定联系人，点击进入对话界面，点击右上角的视频通话按键（约10秒）
5.建立一通视频通话（持续时间92秒），后挂断视频。（约60秒）
6.home键退出Messenger回到桌面主界面，待桌面无变化（约10秒）
7.记录整个过程2分钟（120秒）的平均功耗数据。</t>
  </si>
  <si>
    <t>dou3_messenger_browce_video</t>
  </si>
  <si>
    <t>PPT_Power_UserScenario_00634</t>
  </si>
  <si>
    <t>PPT_Power_UserScenario_00635</t>
  </si>
  <si>
    <t>PPT_Power_UserScenario_00636</t>
  </si>
  <si>
    <t>PPT_Power_UserScenario_00637</t>
  </si>
  <si>
    <t>PPT_Power_UserScenario_00638</t>
  </si>
  <si>
    <t>PPT_Power_UserScenario_00639</t>
  </si>
  <si>
    <t>PPT_Power_UserScenario_00640</t>
  </si>
  <si>
    <t>PPT_Power_UserScenario_00641</t>
  </si>
  <si>
    <t>Imo主界面+好友聊天+好友视频通话-WIFI</t>
  </si>
  <si>
    <t>1.若当前处于灭屏状态，按POWER点亮屏幕，滑动解锁进入主界面（约5秒）
如当前处于亮屏状态，在home idle主界面等待（约5秒）
2.手机桌面主界面1秒一滑左右滑动2次后，点击Imo应用图标，打开Imo完全加载完成。（约10秒）
3.Imo联系人界面每2秒向下滑动一次、向上滑动一次（循序两次），每次滑动界面1/4屏幕距离。（约15秒）
4.找到固定联系人，点击进入对话界面，每隔2秒向对方发送一条消息“T”（约25秒）
5.点击右上角的视频通话按键，建立一通视频通话1分钟，后挂断电话。（约50秒）
6.home键退出Imo回到桌面主界面，待桌面无变化。（约10秒）
7.记录整个过程2分钟（120秒）的平均功耗数据。</t>
  </si>
  <si>
    <t>dou3_Imo_chat_video</t>
  </si>
  <si>
    <t>PPT_Power_UserScenario_00642</t>
  </si>
  <si>
    <t>PPT_Power_UserScenario_00643</t>
  </si>
  <si>
    <t>Facebook好友主页视频播放-WIFI</t>
  </si>
  <si>
    <t>1.若当前处于灭屏状态，按POWER点亮屏幕，滑动解锁进入主界面，下拉状态开启WIFI（约5秒）
2.手机桌面主界面1秒一滑左右滑动2次后，点击Facebook应用图标，打开Facebook应用，登录固定账号，待Facebook应用完全加载完成。（约20秒）。
3.点击固定好友进入他的主页，播放固定的一个视频，从头开始（约15秒）
4.持续播放该视频3分40秒（约130秒）。
5.home键退出Facebook回到桌面主界面，待桌面无变化（约10秒）。
6.记录整个过程3分钟（180秒）的平均功耗数据。</t>
  </si>
  <si>
    <t>dou3_facebook_friends_video</t>
  </si>
  <si>
    <t>PPT_Power_UserScenario_00644</t>
  </si>
  <si>
    <t>Gallery浏览视频-WIFI</t>
  </si>
  <si>
    <t>1.如当前处于亮屏状态，在home idle主界面等待（约5秒）
2.手机桌面主界面1秒一滑左右滑动2次后，点击AI gallery应用图标，打开AI gallery，待AI gallery应用完全加载完成。（约10秒）。
3.相册里点击视频相册，从头开始播放1080P《那些年》（约35秒）
4.home键退出AI gallery回到桌面主界面，待桌面无变化后（约10秒）。
5.记录整个过程1分钟（60秒）的平均功耗数据。</t>
  </si>
  <si>
    <t>dou3_gallery_movies_play</t>
  </si>
  <si>
    <t>PPT_Power_UserScenario_00645</t>
  </si>
  <si>
    <t>PPT_Power_UserScenario_00646</t>
  </si>
  <si>
    <t>Google Play主界面浏览 + 应用下载-WIFI</t>
  </si>
  <si>
    <t>1.当前处于亮屏状态，在home idle主界面等待，下拉状态开启WIFI（约10秒）
2.手机桌面主界面1秒一滑左右滑动2次后，点击Google Play应用图标，打开Google Play，待Google Play应用完全加载完成后。（约15秒）
3.Google Play主界面浏览每3秒从顶部向下开始滑动，每三秒滑动一次，每次滑动界面1/4距离（从屏幕距离底部1/4滑动到中间1/2）；若滑动到底部后无法滑动时，向上滑动，步长仍为1/4（约20秒）
4.上滑一次，点击左上角的搜索按钮，搜索candy crush并点击资源进入（约15秒）
5.下载candy crush应用（约50秒）
6.home键退出Google Play回到桌面主界面，待桌面无变化（约10秒）（自动化测试可卸载该应用）
7.记录整个过程2分钟（120秒）的平均功耗数据。</t>
  </si>
  <si>
    <t>dou3_google_browce_download（需要加图片识别）</t>
  </si>
  <si>
    <t>PPT_Power_UserScenario_00647</t>
  </si>
  <si>
    <t>PPT_Power_UserScenario_00648</t>
  </si>
  <si>
    <t>Netflix主界面电影浏览-WIFI</t>
  </si>
  <si>
    <t>1.若当前处于灭屏状态，按POWER点亮屏幕，滑动解锁进入主界面，下拉状态开启WIFI（约10秒）
2.手机桌面主界面1秒一滑左右滑动2次后，点击Netflix应用图标，打开Netflix应用，待Netflix应用完全加载完成。（约10秒）
3.Netflix主界面每3秒从顶部向下开始滑动，每三秒滑动一次，每次滑动界面1/4距离（从屏幕距离底部1/4滑动到中间1/2）；若滑动到底部后无法滑动时，向上滑动，步长仍为1/4（约150秒）
4.home键退出回到桌面主界面，待桌面无变化。（约10秒）
5.记录整个过程3分钟（180秒）的平均功耗数据。</t>
  </si>
  <si>
    <t>PPT_Power_UserScenario_00649</t>
  </si>
  <si>
    <t>PPT_Power_UserScenario_00650</t>
  </si>
  <si>
    <t>PPT_Power_UserScenario_00651</t>
  </si>
  <si>
    <t>PPT_Power_UserScenario_00652</t>
  </si>
  <si>
    <t>PPT_Power_UserScenario_00653</t>
  </si>
  <si>
    <t>PPT_Power_UserScenario_00654</t>
  </si>
  <si>
    <t>PPT_Power_UserScenario_00655</t>
  </si>
  <si>
    <t>PPT_Power_UserScenario_00656</t>
  </si>
  <si>
    <t>PPT_Power_UserScenario_00657</t>
  </si>
  <si>
    <t>PPT_Power_UserScenario_00658</t>
  </si>
  <si>
    <t>PPT_Power_UserScenario_00659</t>
  </si>
  <si>
    <t>PPT_Power_UserScenario_00660</t>
  </si>
  <si>
    <t>Messenger主界面+语音通话-WIFI</t>
  </si>
  <si>
    <r>
      <rPr>
        <sz val="9.75"/>
        <color rgb="FF000000"/>
        <rFont val="Calibri"/>
        <charset val="134"/>
      </rPr>
      <t>1.若当前处于灭屏状态，按POWER点亮屏幕，滑动解锁进入主界面，下拉状态开启WIFI（约10秒）
2.手机桌面主界面1秒一滑左右滑动2次后，点击Messenger应用图标，打开Messenger，待Messenger应用完全加载完成。（约10秒）
3.待Messenger应用完全加载完成后等待2秒，Messenger联系人界面每2秒向下滑动一次、向上滑动一次（循序两次），每次滑动界面1/4屏幕距离。（约15秒）
4.找到固定联系人，点击进入对话界面，点击右上角的语音通话按键（约10秒）
5.建立一通语音通话（持续时间92秒），后挂断电话。(约65秒)</t>
    </r>
    <r>
      <rPr>
        <b/>
        <sz val="9.75"/>
        <color rgb="FFF54A45"/>
        <rFont val="Calibri"/>
        <charset val="134"/>
      </rPr>
      <t xml:space="preserve"> 
</t>
    </r>
    <r>
      <rPr>
        <sz val="9.75"/>
        <color rgb="FF000000"/>
        <rFont val="Calibri"/>
        <charset val="134"/>
      </rPr>
      <t>6.home键退出Messenger回到桌面主界面，待桌面无变化(约10秒)
7.记录整个过程2分钟（120秒）的平均功耗数据。</t>
    </r>
  </si>
  <si>
    <t>dou3_messenger_browce_audio</t>
  </si>
  <si>
    <t>PPT_Power_UserScenario_00661</t>
  </si>
  <si>
    <t>Youtube滑动浏览+观看长视频-WIFI</t>
  </si>
  <si>
    <t>dou3_youtube_browser_play</t>
  </si>
  <si>
    <t>PPT_Power_UserScenario_00662</t>
  </si>
  <si>
    <t>Shopee 2.2 Men Sale购物浏览-WIFI</t>
  </si>
  <si>
    <t>1.若当前处于灭屏状态，按POWER点亮屏幕，滑动解锁进入主界面，下拉状态开启WIFI（约10秒）
2.手机桌面主界面1秒一滑左右滑动2次后，点击桌面Shopee 应用图标，打开Shopee 应用，待Shopee 应用完全加载完成。（约10秒）
3.Shopee主界面每3秒从顶部向下开始滑动，每三秒滑动一次，每次滑动界面1/4距离（从屏幕距离底部1/4滑动到中间1/2）；若滑动到底部后无法滑动时，向上滑动，步长仍为1/4（约150秒）
4.home键退出Shopee回到桌面主界面，待桌面无变化。（约10秒）
5.记录整个过程3分钟（180秒）的平均功耗数据。</t>
  </si>
  <si>
    <t>dou3_shopee_browce</t>
  </si>
  <si>
    <t>PPT_Power_UserScenario_00663</t>
  </si>
  <si>
    <t>PPT_Power_UserScenario_00664</t>
  </si>
  <si>
    <t>PPT_Power_UserScenario_00665</t>
  </si>
  <si>
    <t>PPT_Power_UserScenario_00666</t>
  </si>
  <si>
    <t>PPT_Power_UserScenario_00667</t>
  </si>
  <si>
    <t>Telegram主界面+文字聊天+语音通话-WIFI</t>
  </si>
  <si>
    <t>1.若当前处于灭屏状态，按POWER点亮屏幕，滑动解锁进入主界面，下拉开启WIFI（约10秒）
2.手机桌面主界面1秒一滑左右滑动2次后，点击Telegram应用图标，打开Telegram，待Telegram应用完全加载完成。（约15秒）
3.Telegram联系人界面每2秒向下滑动一次、向上滑动一次（循序两次），每次滑动界面1/4屏幕距离。（约20秒）
4.找到固定联系人，点击进入对话界面，每隔2秒向对方发送一条消息“T”（约30秒）。
5.点击右上角的语音通话按键，建立一通语音通话（持续时间60秒），后挂断电话。(约35秒)
6.home键退出Telegram回到桌面主界面，待桌面无变化后（约10秒）。
7.记录整个过程2分钟（120秒）的平均功耗数据。</t>
  </si>
  <si>
    <t>dou3_telegram_chat_audio</t>
  </si>
  <si>
    <t>PPT_Power_UserScenario_00668</t>
  </si>
  <si>
    <t>Truecaller主叫通话功耗，亮屏通话-WIFI</t>
  </si>
  <si>
    <t>1.当前处于亮屏状态，在home idle主界面等待（约5秒）
2.手机桌面主界面1秒一滑左右滑动2次后，点击truecaller应用图标，打开truecaller应用，待truecaller应用完全加载完成。（约10秒）
3.truecaller界面打开拨号盘，输入辅助机电话，播号建立一通电话。（约45秒）
4.打开免提外发功能，亮屏持续通话38秒后挂断电话。（约100秒）
5.home键退出truecaller回到桌面主界面，待桌面无变化。（约20秒）
6.记录整个过程3分钟（180秒）的平均功耗数据。</t>
  </si>
  <si>
    <t>PPT_Power_UserScenario_00669</t>
  </si>
  <si>
    <t>Youtube滑动浏览+观看短视频-WIFI</t>
  </si>
  <si>
    <t>PPT_Power_UserScenario_00670</t>
  </si>
  <si>
    <t>PPT_Power_UserScenario_00671</t>
  </si>
  <si>
    <t>Chrome浏览网页-WIFI</t>
  </si>
  <si>
    <t>dou3_chrome_web_browce</t>
  </si>
  <si>
    <t>PPT_Power_UserScenario_00672</t>
  </si>
  <si>
    <t>PPT_Power_UserScenario_00673</t>
  </si>
  <si>
    <t>CapCut图片视频剪辑-WIFI</t>
  </si>
  <si>
    <t>1.若当前处于灭屏状态，按POWER点亮屏幕，滑动解锁进入主界面，下拉状态栏开启WIFI（约10秒）
2.手机桌面主界面1秒一滑左右滑动2次后，点击桌面CapCut应用图标，打开CapCut应用，待CapCut应用完全加载完成。（约10秒）
3.CapCut界面进入后点击开始创作，创作界面选择图片，勾选5张图片，点击右下角新增按钮开始视频剪辑（约25秒）
4.视频剪辑界面点击中间的播放按钮观看视频效果，等待15秒（循环播放3次）（约15秒）
5.点击右上角的导出按钮（约110秒）
6.home键退出CapCut回到桌面主界面，待桌面无变化。（约10秒）
7.记录整个过程3分钟（180秒）的平均功耗数据。</t>
  </si>
  <si>
    <t>是否固定为之前5张彩色图片？
dou3_capcut_browce
解决方案：就用之前的5张彩色图片</t>
  </si>
  <si>
    <t>PPT_Power_UserScenario_00674</t>
  </si>
  <si>
    <t>PPT_Power_UserScenario_00675</t>
  </si>
  <si>
    <t>PPT_Power_UserScenario_00676</t>
  </si>
  <si>
    <t>灭屏不使用长待机210min-WIFI</t>
  </si>
  <si>
    <t>1.保持手机当前的后台状态，下拉状态栏打开WIFI，按power键灭屏。
2.记录灭屏长待机的平均功耗（固定210分钟）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</si>
</sst>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u/>
      <sz val="9.75"/>
      <color rgb="FF0000EE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  <font>
      <sz val="9.75"/>
      <color rgb="FF000000"/>
      <name val="Calibri"/>
      <charset val="134"/>
    </font>
    <font>
      <b/>
      <sz val="9.75"/>
      <color rgb="FFF54A45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5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9" fillId="18" borderId="2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youtube.com" TargetMode="External"/><Relationship Id="rId1" Type="http://schemas.openxmlformats.org/officeDocument/2006/relationships/hyperlink" Target="http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9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4" defaultRowHeight="12.75"/>
  <cols>
    <col min="1" max="1" width="42" customWidth="1"/>
    <col min="2" max="2" width="32" customWidth="1"/>
    <col min="3" max="4" width="21" customWidth="1"/>
    <col min="5" max="5" width="15" customWidth="1"/>
    <col min="6" max="6" width="8" customWidth="1"/>
    <col min="7" max="7" width="97" customWidth="1"/>
    <col min="8" max="9" width="18" customWidth="1"/>
    <col min="11" max="11" width="45" customWidth="1"/>
    <col min="12" max="12" width="20" customWidth="1"/>
  </cols>
  <sheetData>
    <row r="1" ht="1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85" customHeight="1" spans="1:12">
      <c r="A2" s="3" t="s">
        <v>11</v>
      </c>
      <c r="B2" s="4" t="s">
        <v>12</v>
      </c>
      <c r="C2" s="4"/>
      <c r="D2" s="5">
        <v>2</v>
      </c>
      <c r="E2" s="5">
        <f>D2</f>
        <v>2</v>
      </c>
      <c r="F2" s="6" t="str">
        <f t="shared" ref="F2:F65" si="0">INT(E2/60)&amp;"小时"&amp;MOD(E2,60)&amp;"分钟"</f>
        <v>0小时2分钟</v>
      </c>
      <c r="G2" s="7" t="s">
        <v>13</v>
      </c>
      <c r="H2" s="4" t="s">
        <v>14</v>
      </c>
      <c r="I2" s="4" t="s">
        <v>14</v>
      </c>
      <c r="J2" s="4"/>
      <c r="K2" s="4" t="s">
        <v>15</v>
      </c>
      <c r="L2" s="4"/>
    </row>
    <row r="3" ht="25.5" spans="1:12">
      <c r="A3" s="3" t="s">
        <v>16</v>
      </c>
      <c r="B3" s="4" t="s">
        <v>17</v>
      </c>
      <c r="C3" s="4" t="s">
        <v>18</v>
      </c>
      <c r="D3" s="5">
        <v>7</v>
      </c>
      <c r="E3" s="5">
        <f t="shared" ref="E3:E66" si="1">E2+D3</f>
        <v>9</v>
      </c>
      <c r="F3" s="6" t="str">
        <f t="shared" si="0"/>
        <v>0小时9分钟</v>
      </c>
      <c r="G3" s="7" t="s">
        <v>19</v>
      </c>
      <c r="H3" s="4" t="s">
        <v>20</v>
      </c>
      <c r="I3" s="4" t="s">
        <v>20</v>
      </c>
      <c r="J3" s="4"/>
      <c r="K3" s="4"/>
      <c r="L3" s="4"/>
    </row>
    <row r="4" ht="89.25" spans="1:12">
      <c r="A4" s="3" t="s">
        <v>21</v>
      </c>
      <c r="B4" s="4" t="s">
        <v>22</v>
      </c>
      <c r="C4" s="4"/>
      <c r="D4" s="5">
        <v>3</v>
      </c>
      <c r="E4" s="5">
        <f t="shared" si="1"/>
        <v>12</v>
      </c>
      <c r="F4" s="6" t="str">
        <f t="shared" si="0"/>
        <v>0小时12分钟</v>
      </c>
      <c r="G4" s="7" t="s">
        <v>23</v>
      </c>
      <c r="H4" s="4" t="s">
        <v>24</v>
      </c>
      <c r="I4" s="4" t="s">
        <v>24</v>
      </c>
      <c r="J4" s="4"/>
      <c r="K4" s="9" t="s">
        <v>25</v>
      </c>
      <c r="L4" s="4"/>
    </row>
    <row r="5" ht="25.5" spans="1:12">
      <c r="A5" s="3" t="s">
        <v>26</v>
      </c>
      <c r="B5" s="4" t="s">
        <v>27</v>
      </c>
      <c r="C5" s="4" t="s">
        <v>18</v>
      </c>
      <c r="D5" s="5">
        <v>2</v>
      </c>
      <c r="E5" s="5">
        <f t="shared" si="1"/>
        <v>14</v>
      </c>
      <c r="F5" s="6" t="str">
        <f t="shared" si="0"/>
        <v>0小时14分钟</v>
      </c>
      <c r="G5" s="7" t="s">
        <v>28</v>
      </c>
      <c r="H5" s="4" t="s">
        <v>20</v>
      </c>
      <c r="I5" s="4" t="s">
        <v>20</v>
      </c>
      <c r="J5" s="4"/>
      <c r="K5" s="4"/>
      <c r="L5" s="4"/>
    </row>
    <row r="6" ht="76.5" spans="1:12">
      <c r="A6" s="3" t="s">
        <v>29</v>
      </c>
      <c r="B6" s="4" t="s">
        <v>30</v>
      </c>
      <c r="C6" s="4"/>
      <c r="D6" s="5">
        <v>3</v>
      </c>
      <c r="E6" s="5">
        <f t="shared" si="1"/>
        <v>17</v>
      </c>
      <c r="F6" s="6" t="str">
        <f t="shared" si="0"/>
        <v>0小时17分钟</v>
      </c>
      <c r="G6" s="7" t="s">
        <v>31</v>
      </c>
      <c r="H6" s="4" t="s">
        <v>24</v>
      </c>
      <c r="I6" s="4" t="s">
        <v>24</v>
      </c>
      <c r="J6" s="4"/>
      <c r="K6" s="4" t="s">
        <v>32</v>
      </c>
      <c r="L6" s="4"/>
    </row>
    <row r="7" ht="25.5" spans="1:12">
      <c r="A7" s="3" t="s">
        <v>33</v>
      </c>
      <c r="B7" s="4" t="s">
        <v>17</v>
      </c>
      <c r="C7" s="4" t="s">
        <v>18</v>
      </c>
      <c r="D7" s="5">
        <v>7</v>
      </c>
      <c r="E7" s="5">
        <f t="shared" si="1"/>
        <v>24</v>
      </c>
      <c r="F7" s="6" t="str">
        <f t="shared" si="0"/>
        <v>0小时24分钟</v>
      </c>
      <c r="G7" s="7" t="s">
        <v>34</v>
      </c>
      <c r="H7" s="4" t="s">
        <v>20</v>
      </c>
      <c r="I7" s="4" t="s">
        <v>20</v>
      </c>
      <c r="J7" s="4"/>
      <c r="K7" s="4"/>
      <c r="L7" s="4"/>
    </row>
    <row r="8" ht="63.75" spans="1:12">
      <c r="A8" s="3" t="s">
        <v>35</v>
      </c>
      <c r="B8" s="4" t="s">
        <v>36</v>
      </c>
      <c r="C8" s="4"/>
      <c r="D8" s="5">
        <v>3</v>
      </c>
      <c r="E8" s="5">
        <f t="shared" si="1"/>
        <v>27</v>
      </c>
      <c r="F8" s="6" t="str">
        <f t="shared" si="0"/>
        <v>0小时27分钟</v>
      </c>
      <c r="G8" s="7" t="s">
        <v>37</v>
      </c>
      <c r="H8" s="4" t="s">
        <v>24</v>
      </c>
      <c r="I8" s="4" t="s">
        <v>24</v>
      </c>
      <c r="J8" s="4"/>
      <c r="K8" s="4" t="s">
        <v>38</v>
      </c>
      <c r="L8" s="4"/>
    </row>
    <row r="9" ht="25.5" spans="1:12">
      <c r="A9" s="3" t="s">
        <v>39</v>
      </c>
      <c r="B9" s="4" t="s">
        <v>27</v>
      </c>
      <c r="C9" s="4" t="s">
        <v>18</v>
      </c>
      <c r="D9" s="5">
        <v>2</v>
      </c>
      <c r="E9" s="5">
        <f t="shared" si="1"/>
        <v>29</v>
      </c>
      <c r="F9" s="6" t="str">
        <f t="shared" si="0"/>
        <v>0小时29分钟</v>
      </c>
      <c r="G9" s="7" t="s">
        <v>28</v>
      </c>
      <c r="H9" s="4" t="s">
        <v>20</v>
      </c>
      <c r="I9" s="4" t="s">
        <v>20</v>
      </c>
      <c r="J9" s="4"/>
      <c r="K9" s="4"/>
      <c r="L9" s="4"/>
    </row>
    <row r="10" ht="76.5" spans="1:12">
      <c r="A10" s="3" t="s">
        <v>40</v>
      </c>
      <c r="B10" s="4" t="s">
        <v>41</v>
      </c>
      <c r="C10" s="4"/>
      <c r="D10" s="5">
        <v>0.5</v>
      </c>
      <c r="E10" s="5">
        <f t="shared" si="1"/>
        <v>29.5</v>
      </c>
      <c r="F10" s="6" t="str">
        <f t="shared" si="0"/>
        <v>0小时29.5分钟</v>
      </c>
      <c r="G10" s="7" t="s">
        <v>42</v>
      </c>
      <c r="H10" s="4" t="s">
        <v>20</v>
      </c>
      <c r="I10" s="4" t="s">
        <v>20</v>
      </c>
      <c r="J10" s="4"/>
      <c r="K10" s="4"/>
      <c r="L10" s="4"/>
    </row>
    <row r="11" ht="25.5" spans="1:12">
      <c r="A11" s="3" t="s">
        <v>43</v>
      </c>
      <c r="B11" s="4" t="s">
        <v>17</v>
      </c>
      <c r="C11" s="4" t="s">
        <v>18</v>
      </c>
      <c r="D11" s="5">
        <v>7</v>
      </c>
      <c r="E11" s="5">
        <f t="shared" si="1"/>
        <v>36.5</v>
      </c>
      <c r="F11" s="6" t="str">
        <f t="shared" si="0"/>
        <v>0小时36.5分钟</v>
      </c>
      <c r="G11" s="7" t="s">
        <v>19</v>
      </c>
      <c r="H11" s="4" t="s">
        <v>20</v>
      </c>
      <c r="I11" s="4" t="s">
        <v>20</v>
      </c>
      <c r="J11" s="4"/>
      <c r="K11" s="4"/>
      <c r="L11" s="4"/>
    </row>
    <row r="12" ht="102" spans="1:12">
      <c r="A12" s="3" t="s">
        <v>44</v>
      </c>
      <c r="B12" s="4" t="s">
        <v>45</v>
      </c>
      <c r="C12" s="4"/>
      <c r="D12" s="5">
        <v>7</v>
      </c>
      <c r="E12" s="5">
        <f t="shared" si="1"/>
        <v>43.5</v>
      </c>
      <c r="F12" s="6" t="str">
        <f t="shared" si="0"/>
        <v>0小时43.5分钟</v>
      </c>
      <c r="G12" s="7" t="s">
        <v>46</v>
      </c>
      <c r="H12" s="4" t="s">
        <v>24</v>
      </c>
      <c r="I12" s="4" t="s">
        <v>24</v>
      </c>
      <c r="J12" s="4"/>
      <c r="K12" s="4" t="s">
        <v>47</v>
      </c>
      <c r="L12" s="4"/>
    </row>
    <row r="13" ht="25.5" spans="1:12">
      <c r="A13" s="3" t="s">
        <v>48</v>
      </c>
      <c r="B13" s="4" t="s">
        <v>17</v>
      </c>
      <c r="C13" s="4" t="s">
        <v>18</v>
      </c>
      <c r="D13" s="5">
        <v>7</v>
      </c>
      <c r="E13" s="5">
        <f t="shared" si="1"/>
        <v>50.5</v>
      </c>
      <c r="F13" s="6" t="str">
        <f t="shared" si="0"/>
        <v>0小时50.5分钟</v>
      </c>
      <c r="G13" s="7" t="s">
        <v>19</v>
      </c>
      <c r="H13" s="4" t="s">
        <v>20</v>
      </c>
      <c r="I13" s="4" t="s">
        <v>20</v>
      </c>
      <c r="J13" s="4"/>
      <c r="K13" s="4"/>
      <c r="L13" s="4"/>
    </row>
    <row r="14" ht="89.25" spans="1:12">
      <c r="A14" s="3" t="s">
        <v>49</v>
      </c>
      <c r="B14" s="4" t="s">
        <v>50</v>
      </c>
      <c r="C14" s="4"/>
      <c r="D14" s="5">
        <v>2</v>
      </c>
      <c r="E14" s="5">
        <f t="shared" si="1"/>
        <v>52.5</v>
      </c>
      <c r="F14" s="6" t="str">
        <f t="shared" si="0"/>
        <v>0小时52.5分钟</v>
      </c>
      <c r="G14" s="7" t="s">
        <v>51</v>
      </c>
      <c r="H14" s="4" t="s">
        <v>24</v>
      </c>
      <c r="I14" s="4" t="s">
        <v>24</v>
      </c>
      <c r="J14" s="4"/>
      <c r="K14" s="4" t="s">
        <v>52</v>
      </c>
      <c r="L14" s="4"/>
    </row>
    <row r="15" ht="25.5" spans="1:12">
      <c r="A15" s="3" t="s">
        <v>53</v>
      </c>
      <c r="B15" s="4" t="s">
        <v>27</v>
      </c>
      <c r="C15" s="4" t="s">
        <v>18</v>
      </c>
      <c r="D15" s="5">
        <v>2</v>
      </c>
      <c r="E15" s="5">
        <f t="shared" si="1"/>
        <v>54.5</v>
      </c>
      <c r="F15" s="6" t="str">
        <f t="shared" si="0"/>
        <v>0小时54.5分钟</v>
      </c>
      <c r="G15" s="7" t="s">
        <v>54</v>
      </c>
      <c r="H15" s="4"/>
      <c r="I15" s="4" t="s">
        <v>20</v>
      </c>
      <c r="J15" s="4"/>
      <c r="K15" s="4"/>
      <c r="L15" s="4"/>
    </row>
    <row r="16" ht="89.25" spans="1:12">
      <c r="A16" s="3" t="s">
        <v>55</v>
      </c>
      <c r="B16" s="4" t="s">
        <v>22</v>
      </c>
      <c r="C16" s="4"/>
      <c r="D16" s="5">
        <v>3</v>
      </c>
      <c r="E16" s="5">
        <f t="shared" si="1"/>
        <v>57.5</v>
      </c>
      <c r="F16" s="6" t="str">
        <f t="shared" si="0"/>
        <v>0小时57.5分钟</v>
      </c>
      <c r="G16" s="7" t="s">
        <v>23</v>
      </c>
      <c r="H16" s="4"/>
      <c r="I16" s="4" t="s">
        <v>14</v>
      </c>
      <c r="J16" s="4"/>
      <c r="K16" s="4"/>
      <c r="L16" s="4"/>
    </row>
    <row r="17" ht="25.5" spans="1:12">
      <c r="A17" s="3" t="s">
        <v>56</v>
      </c>
      <c r="B17" s="4" t="s">
        <v>27</v>
      </c>
      <c r="C17" s="4" t="s">
        <v>18</v>
      </c>
      <c r="D17" s="5">
        <v>2</v>
      </c>
      <c r="E17" s="5">
        <f t="shared" si="1"/>
        <v>59.5</v>
      </c>
      <c r="F17" s="6" t="str">
        <f t="shared" si="0"/>
        <v>0小时59.5分钟</v>
      </c>
      <c r="G17" s="7" t="s">
        <v>54</v>
      </c>
      <c r="H17" s="4" t="s">
        <v>20</v>
      </c>
      <c r="I17" s="4" t="s">
        <v>20</v>
      </c>
      <c r="J17" s="4"/>
      <c r="K17" s="4"/>
      <c r="L17" s="4"/>
    </row>
    <row r="18" ht="25.5" spans="1:12">
      <c r="A18" s="3" t="s">
        <v>57</v>
      </c>
      <c r="B18" s="4" t="s">
        <v>17</v>
      </c>
      <c r="C18" s="4" t="s">
        <v>18</v>
      </c>
      <c r="D18" s="5">
        <v>7</v>
      </c>
      <c r="E18" s="5">
        <f t="shared" si="1"/>
        <v>66.5</v>
      </c>
      <c r="F18" s="6" t="str">
        <f t="shared" si="0"/>
        <v>1小时6.5分钟</v>
      </c>
      <c r="G18" s="7" t="s">
        <v>19</v>
      </c>
      <c r="H18" s="4" t="s">
        <v>20</v>
      </c>
      <c r="I18" s="4" t="s">
        <v>20</v>
      </c>
      <c r="J18" s="4"/>
      <c r="K18" s="4"/>
      <c r="L18" s="4"/>
    </row>
    <row r="19" ht="89.25" spans="1:12">
      <c r="A19" s="3" t="s">
        <v>58</v>
      </c>
      <c r="B19" s="4" t="s">
        <v>59</v>
      </c>
      <c r="C19" s="4"/>
      <c r="D19" s="5">
        <v>2</v>
      </c>
      <c r="E19" s="5">
        <f t="shared" si="1"/>
        <v>68.5</v>
      </c>
      <c r="F19" s="6" t="str">
        <f t="shared" si="0"/>
        <v>1小时8.5分钟</v>
      </c>
      <c r="G19" s="7" t="s">
        <v>60</v>
      </c>
      <c r="H19" s="4" t="s">
        <v>24</v>
      </c>
      <c r="I19" s="4" t="s">
        <v>24</v>
      </c>
      <c r="J19" s="4"/>
      <c r="K19" s="4" t="s">
        <v>61</v>
      </c>
      <c r="L19" s="4"/>
    </row>
    <row r="20" ht="25.5" spans="1:12">
      <c r="A20" s="3" t="s">
        <v>62</v>
      </c>
      <c r="B20" s="4" t="s">
        <v>27</v>
      </c>
      <c r="C20" s="4" t="s">
        <v>18</v>
      </c>
      <c r="D20" s="5">
        <v>2</v>
      </c>
      <c r="E20" s="5">
        <f t="shared" si="1"/>
        <v>70.5</v>
      </c>
      <c r="F20" s="6" t="str">
        <f t="shared" si="0"/>
        <v>1小时10.5分钟</v>
      </c>
      <c r="G20" s="7" t="s">
        <v>54</v>
      </c>
      <c r="H20" s="4" t="s">
        <v>20</v>
      </c>
      <c r="I20" s="4" t="s">
        <v>20</v>
      </c>
      <c r="J20" s="4"/>
      <c r="K20" s="4"/>
      <c r="L20" s="4"/>
    </row>
    <row r="21" ht="76.5" spans="1:12">
      <c r="A21" s="3" t="s">
        <v>63</v>
      </c>
      <c r="B21" s="4" t="s">
        <v>64</v>
      </c>
      <c r="C21" s="4"/>
      <c r="D21" s="5">
        <v>1</v>
      </c>
      <c r="E21" s="5">
        <f t="shared" si="1"/>
        <v>71.5</v>
      </c>
      <c r="F21" s="6" t="str">
        <f t="shared" si="0"/>
        <v>1小时11.5分钟</v>
      </c>
      <c r="G21" s="7" t="s">
        <v>65</v>
      </c>
      <c r="H21" s="4"/>
      <c r="I21" s="4"/>
      <c r="J21" s="4"/>
      <c r="K21" s="9" t="s">
        <v>66</v>
      </c>
      <c r="L21" s="4"/>
    </row>
    <row r="22" ht="76.5" spans="1:12">
      <c r="A22" s="3" t="s">
        <v>67</v>
      </c>
      <c r="B22" s="4" t="s">
        <v>12</v>
      </c>
      <c r="C22" s="4"/>
      <c r="D22" s="5">
        <v>2</v>
      </c>
      <c r="E22" s="5">
        <f t="shared" si="1"/>
        <v>73.5</v>
      </c>
      <c r="F22" s="6" t="str">
        <f t="shared" si="0"/>
        <v>1小时13.5分钟</v>
      </c>
      <c r="G22" s="7" t="s">
        <v>13</v>
      </c>
      <c r="H22" s="4"/>
      <c r="I22" s="4" t="s">
        <v>14</v>
      </c>
      <c r="J22" s="4"/>
      <c r="K22" s="4"/>
      <c r="L22" s="4"/>
    </row>
    <row r="23" ht="25.5" spans="1:12">
      <c r="A23" s="3" t="s">
        <v>68</v>
      </c>
      <c r="B23" s="4" t="s">
        <v>17</v>
      </c>
      <c r="C23" s="4" t="s">
        <v>18</v>
      </c>
      <c r="D23" s="5">
        <v>7</v>
      </c>
      <c r="E23" s="5">
        <f t="shared" si="1"/>
        <v>80.5</v>
      </c>
      <c r="F23" s="6" t="str">
        <f t="shared" si="0"/>
        <v>1小时20.5分钟</v>
      </c>
      <c r="G23" s="7" t="s">
        <v>19</v>
      </c>
      <c r="H23" s="4" t="s">
        <v>20</v>
      </c>
      <c r="I23" s="4" t="s">
        <v>20</v>
      </c>
      <c r="J23" s="4"/>
      <c r="K23" s="4"/>
      <c r="L23" s="4"/>
    </row>
    <row r="24" ht="102" spans="1:12">
      <c r="A24" s="3" t="s">
        <v>69</v>
      </c>
      <c r="B24" s="4" t="s">
        <v>70</v>
      </c>
      <c r="C24" s="4"/>
      <c r="D24" s="5">
        <v>2</v>
      </c>
      <c r="E24" s="5">
        <f t="shared" si="1"/>
        <v>82.5</v>
      </c>
      <c r="F24" s="6" t="str">
        <f t="shared" si="0"/>
        <v>1小时22.5分钟</v>
      </c>
      <c r="G24" s="7" t="s">
        <v>71</v>
      </c>
      <c r="H24" s="4" t="s">
        <v>24</v>
      </c>
      <c r="I24" s="4" t="s">
        <v>24</v>
      </c>
      <c r="J24" s="4"/>
      <c r="K24" s="10" t="s">
        <v>72</v>
      </c>
      <c r="L24" s="4"/>
    </row>
    <row r="25" ht="50" customHeight="1" spans="1:12">
      <c r="A25" s="3" t="s">
        <v>73</v>
      </c>
      <c r="B25" s="4" t="s">
        <v>74</v>
      </c>
      <c r="C25" s="4" t="s">
        <v>18</v>
      </c>
      <c r="D25" s="5">
        <v>3</v>
      </c>
      <c r="E25" s="5">
        <f t="shared" si="1"/>
        <v>85.5</v>
      </c>
      <c r="F25" s="6" t="str">
        <f t="shared" si="0"/>
        <v>1小时25.5分钟</v>
      </c>
      <c r="G25" s="7" t="s">
        <v>75</v>
      </c>
      <c r="H25" s="4" t="s">
        <v>24</v>
      </c>
      <c r="I25" s="4" t="s">
        <v>24</v>
      </c>
      <c r="J25" s="4"/>
      <c r="K25" s="11" t="s">
        <v>76</v>
      </c>
      <c r="L25" s="4"/>
    </row>
    <row r="26" ht="25.5" spans="1:12">
      <c r="A26" s="3" t="s">
        <v>77</v>
      </c>
      <c r="B26" s="4" t="s">
        <v>27</v>
      </c>
      <c r="C26" s="4" t="s">
        <v>18</v>
      </c>
      <c r="D26" s="5">
        <v>2</v>
      </c>
      <c r="E26" s="5">
        <f t="shared" si="1"/>
        <v>87.5</v>
      </c>
      <c r="F26" s="6" t="str">
        <f t="shared" si="0"/>
        <v>1小时27.5分钟</v>
      </c>
      <c r="G26" s="7" t="s">
        <v>54</v>
      </c>
      <c r="H26" s="4" t="s">
        <v>20</v>
      </c>
      <c r="I26" s="4" t="s">
        <v>20</v>
      </c>
      <c r="J26" s="4"/>
      <c r="K26" s="4"/>
      <c r="L26" s="4"/>
    </row>
    <row r="27" ht="89.25" spans="1:12">
      <c r="A27" s="3" t="s">
        <v>78</v>
      </c>
      <c r="B27" s="4" t="s">
        <v>22</v>
      </c>
      <c r="C27" s="4"/>
      <c r="D27" s="5">
        <v>3</v>
      </c>
      <c r="E27" s="5">
        <f t="shared" si="1"/>
        <v>90.5</v>
      </c>
      <c r="F27" s="6" t="str">
        <f t="shared" si="0"/>
        <v>1小时30.5分钟</v>
      </c>
      <c r="G27" s="7" t="s">
        <v>23</v>
      </c>
      <c r="H27" s="4"/>
      <c r="I27" s="4" t="s">
        <v>14</v>
      </c>
      <c r="J27" s="4"/>
      <c r="K27" s="4"/>
      <c r="L27" s="4"/>
    </row>
    <row r="28" ht="76.5" spans="1:12">
      <c r="A28" s="3" t="s">
        <v>79</v>
      </c>
      <c r="B28" s="4" t="s">
        <v>80</v>
      </c>
      <c r="C28" s="4"/>
      <c r="D28" s="5">
        <v>0.5</v>
      </c>
      <c r="E28" s="5">
        <f t="shared" si="1"/>
        <v>91</v>
      </c>
      <c r="F28" s="6" t="str">
        <f t="shared" si="0"/>
        <v>1小时31分钟</v>
      </c>
      <c r="G28" s="7" t="s">
        <v>81</v>
      </c>
      <c r="H28" s="4" t="s">
        <v>20</v>
      </c>
      <c r="I28" s="4" t="s">
        <v>20</v>
      </c>
      <c r="J28" s="4"/>
      <c r="K28" s="4"/>
      <c r="L28" s="4"/>
    </row>
    <row r="29" ht="89.25" spans="1:12">
      <c r="A29" s="3" t="s">
        <v>82</v>
      </c>
      <c r="B29" s="4" t="s">
        <v>83</v>
      </c>
      <c r="C29" s="4"/>
      <c r="D29" s="5">
        <v>3</v>
      </c>
      <c r="E29" s="5">
        <f t="shared" si="1"/>
        <v>94</v>
      </c>
      <c r="F29" s="6" t="str">
        <f t="shared" si="0"/>
        <v>1小时34分钟</v>
      </c>
      <c r="G29" s="7" t="s">
        <v>84</v>
      </c>
      <c r="H29" s="4" t="s">
        <v>20</v>
      </c>
      <c r="I29" s="4" t="s">
        <v>20</v>
      </c>
      <c r="J29" s="4"/>
      <c r="K29" s="4" t="s">
        <v>85</v>
      </c>
      <c r="L29" s="4"/>
    </row>
    <row r="30" ht="25.5" spans="1:12">
      <c r="A30" s="3" t="s">
        <v>86</v>
      </c>
      <c r="B30" s="4" t="s">
        <v>17</v>
      </c>
      <c r="C30" s="4" t="s">
        <v>18</v>
      </c>
      <c r="D30" s="5">
        <v>7</v>
      </c>
      <c r="E30" s="5">
        <f t="shared" si="1"/>
        <v>101</v>
      </c>
      <c r="F30" s="6" t="str">
        <f t="shared" si="0"/>
        <v>1小时41分钟</v>
      </c>
      <c r="G30" s="7" t="s">
        <v>19</v>
      </c>
      <c r="H30" s="4" t="s">
        <v>20</v>
      </c>
      <c r="I30" s="4" t="s">
        <v>20</v>
      </c>
      <c r="J30" s="4"/>
      <c r="K30" s="4"/>
      <c r="L30" s="4"/>
    </row>
    <row r="31" ht="38.25" spans="1:12">
      <c r="A31" s="3" t="s">
        <v>87</v>
      </c>
      <c r="B31" s="4" t="s">
        <v>88</v>
      </c>
      <c r="C31" s="4" t="s">
        <v>18</v>
      </c>
      <c r="D31" s="5">
        <v>5</v>
      </c>
      <c r="E31" s="5">
        <f t="shared" si="1"/>
        <v>106</v>
      </c>
      <c r="F31" s="6" t="str">
        <f t="shared" si="0"/>
        <v>1小时46分钟</v>
      </c>
      <c r="G31" s="7" t="s">
        <v>89</v>
      </c>
      <c r="H31" s="4"/>
      <c r="I31" s="4"/>
      <c r="J31" s="4"/>
      <c r="K31" s="12" t="s">
        <v>90</v>
      </c>
      <c r="L31" s="4"/>
    </row>
    <row r="32" ht="25.5" spans="1:12">
      <c r="A32" s="3" t="s">
        <v>91</v>
      </c>
      <c r="B32" s="4" t="s">
        <v>27</v>
      </c>
      <c r="C32" s="4" t="s">
        <v>18</v>
      </c>
      <c r="D32" s="5">
        <v>2</v>
      </c>
      <c r="E32" s="5">
        <f t="shared" si="1"/>
        <v>108</v>
      </c>
      <c r="F32" s="6" t="str">
        <f t="shared" si="0"/>
        <v>1小时48分钟</v>
      </c>
      <c r="G32" s="7" t="s">
        <v>54</v>
      </c>
      <c r="H32" s="4" t="s">
        <v>20</v>
      </c>
      <c r="I32" s="4" t="s">
        <v>20</v>
      </c>
      <c r="J32" s="4"/>
      <c r="K32" s="4"/>
      <c r="L32" s="4"/>
    </row>
    <row r="33" ht="76.5" spans="1:12">
      <c r="A33" s="3" t="s">
        <v>92</v>
      </c>
      <c r="B33" s="4" t="s">
        <v>41</v>
      </c>
      <c r="C33" s="4"/>
      <c r="D33" s="5">
        <v>0.5</v>
      </c>
      <c r="E33" s="5">
        <f t="shared" si="1"/>
        <v>108.5</v>
      </c>
      <c r="F33" s="6" t="str">
        <f t="shared" si="0"/>
        <v>1小时48.5分钟</v>
      </c>
      <c r="G33" s="7" t="s">
        <v>42</v>
      </c>
      <c r="H33" s="4" t="s">
        <v>20</v>
      </c>
      <c r="I33" s="4" t="s">
        <v>20</v>
      </c>
      <c r="J33" s="4"/>
      <c r="K33" s="4"/>
      <c r="L33" s="4"/>
    </row>
    <row r="34" ht="25.5" spans="1:12">
      <c r="A34" s="3" t="s">
        <v>93</v>
      </c>
      <c r="B34" s="4" t="s">
        <v>17</v>
      </c>
      <c r="C34" s="4" t="s">
        <v>18</v>
      </c>
      <c r="D34" s="5">
        <v>7</v>
      </c>
      <c r="E34" s="5">
        <f t="shared" si="1"/>
        <v>115.5</v>
      </c>
      <c r="F34" s="6" t="str">
        <f t="shared" si="0"/>
        <v>1小时55.5分钟</v>
      </c>
      <c r="G34" s="7" t="s">
        <v>19</v>
      </c>
      <c r="H34" s="4"/>
      <c r="I34" s="4" t="s">
        <v>20</v>
      </c>
      <c r="J34" s="4"/>
      <c r="K34" s="4"/>
      <c r="L34" s="4"/>
    </row>
    <row r="35" ht="127.5" spans="1:12">
      <c r="A35" s="3" t="s">
        <v>94</v>
      </c>
      <c r="B35" s="4" t="s">
        <v>95</v>
      </c>
      <c r="C35" s="4"/>
      <c r="D35" s="5">
        <v>7</v>
      </c>
      <c r="E35" s="5">
        <f t="shared" si="1"/>
        <v>122.5</v>
      </c>
      <c r="F35" s="6" t="str">
        <f t="shared" si="0"/>
        <v>2小时2.5分钟</v>
      </c>
      <c r="G35" s="7" t="s">
        <v>96</v>
      </c>
      <c r="H35" s="4" t="s">
        <v>24</v>
      </c>
      <c r="I35" s="4" t="s">
        <v>14</v>
      </c>
      <c r="J35" s="4"/>
      <c r="K35" s="4"/>
      <c r="L35" s="4"/>
    </row>
    <row r="36" ht="25.5" spans="1:12">
      <c r="A36" s="3" t="s">
        <v>97</v>
      </c>
      <c r="B36" s="4" t="s">
        <v>27</v>
      </c>
      <c r="C36" s="4" t="s">
        <v>18</v>
      </c>
      <c r="D36" s="5">
        <v>2</v>
      </c>
      <c r="E36" s="5">
        <f t="shared" si="1"/>
        <v>124.5</v>
      </c>
      <c r="F36" s="6" t="str">
        <f t="shared" si="0"/>
        <v>2小时4.5分钟</v>
      </c>
      <c r="G36" s="7" t="s">
        <v>54</v>
      </c>
      <c r="H36" s="4"/>
      <c r="I36" s="4" t="s">
        <v>20</v>
      </c>
      <c r="J36" s="4"/>
      <c r="K36" s="4"/>
      <c r="L36" s="4"/>
    </row>
    <row r="37" ht="89.25" spans="1:12">
      <c r="A37" s="3" t="s">
        <v>98</v>
      </c>
      <c r="B37" s="4" t="s">
        <v>99</v>
      </c>
      <c r="C37" s="4"/>
      <c r="D37" s="5">
        <v>3</v>
      </c>
      <c r="E37" s="5">
        <f t="shared" si="1"/>
        <v>127.5</v>
      </c>
      <c r="F37" s="6" t="str">
        <f t="shared" si="0"/>
        <v>2小时7.5分钟</v>
      </c>
      <c r="G37" s="7" t="s">
        <v>100</v>
      </c>
      <c r="H37" s="4" t="s">
        <v>24</v>
      </c>
      <c r="I37" s="4" t="s">
        <v>24</v>
      </c>
      <c r="J37" s="4"/>
      <c r="K37" s="4" t="s">
        <v>101</v>
      </c>
      <c r="L37" s="4"/>
    </row>
    <row r="38" ht="25.5" spans="1:12">
      <c r="A38" s="3" t="s">
        <v>102</v>
      </c>
      <c r="B38" s="4" t="s">
        <v>27</v>
      </c>
      <c r="C38" s="4" t="s">
        <v>18</v>
      </c>
      <c r="D38" s="5">
        <v>2</v>
      </c>
      <c r="E38" s="5">
        <f t="shared" si="1"/>
        <v>129.5</v>
      </c>
      <c r="F38" s="6" t="str">
        <f t="shared" si="0"/>
        <v>2小时9.5分钟</v>
      </c>
      <c r="G38" s="7" t="s">
        <v>54</v>
      </c>
      <c r="H38" s="4"/>
      <c r="I38" s="4" t="s">
        <v>20</v>
      </c>
      <c r="J38" s="4"/>
      <c r="K38" s="4"/>
      <c r="L38" s="4"/>
    </row>
    <row r="39" ht="97.5" spans="1:12">
      <c r="A39" s="3" t="s">
        <v>103</v>
      </c>
      <c r="B39" s="4" t="s">
        <v>104</v>
      </c>
      <c r="C39" s="4"/>
      <c r="D39" s="5">
        <v>2</v>
      </c>
      <c r="E39" s="5">
        <f t="shared" si="1"/>
        <v>131.5</v>
      </c>
      <c r="F39" s="6" t="str">
        <f t="shared" si="0"/>
        <v>2小时11.5分钟</v>
      </c>
      <c r="G39" s="7" t="s">
        <v>105</v>
      </c>
      <c r="H39" s="4"/>
      <c r="I39" s="4" t="s">
        <v>14</v>
      </c>
      <c r="J39" s="4"/>
      <c r="K39" s="4"/>
      <c r="L39" s="4"/>
    </row>
    <row r="40" ht="25.5" spans="1:12">
      <c r="A40" s="3" t="s">
        <v>106</v>
      </c>
      <c r="B40" s="4" t="s">
        <v>17</v>
      </c>
      <c r="C40" s="4" t="s">
        <v>18</v>
      </c>
      <c r="D40" s="5">
        <v>7</v>
      </c>
      <c r="E40" s="5">
        <f t="shared" si="1"/>
        <v>138.5</v>
      </c>
      <c r="F40" s="6" t="str">
        <f t="shared" si="0"/>
        <v>2小时18.5分钟</v>
      </c>
      <c r="G40" s="7" t="s">
        <v>34</v>
      </c>
      <c r="H40" s="4"/>
      <c r="I40" s="4" t="s">
        <v>20</v>
      </c>
      <c r="J40" s="4"/>
      <c r="K40" s="4"/>
      <c r="L40" s="4"/>
    </row>
    <row r="41" ht="89.25" spans="1:12">
      <c r="A41" s="3" t="s">
        <v>107</v>
      </c>
      <c r="B41" s="4" t="s">
        <v>50</v>
      </c>
      <c r="C41" s="4"/>
      <c r="D41" s="5">
        <v>2</v>
      </c>
      <c r="E41" s="5">
        <f t="shared" si="1"/>
        <v>140.5</v>
      </c>
      <c r="F41" s="6" t="str">
        <f t="shared" si="0"/>
        <v>2小时20.5分钟</v>
      </c>
      <c r="G41" s="7" t="s">
        <v>51</v>
      </c>
      <c r="H41" s="4" t="s">
        <v>14</v>
      </c>
      <c r="I41" s="4" t="s">
        <v>14</v>
      </c>
      <c r="J41" s="4"/>
      <c r="K41" s="4"/>
      <c r="L41" s="4"/>
    </row>
    <row r="42" ht="89.25" spans="1:12">
      <c r="A42" s="3" t="s">
        <v>108</v>
      </c>
      <c r="B42" s="4" t="s">
        <v>109</v>
      </c>
      <c r="C42" s="4"/>
      <c r="D42" s="5">
        <v>3</v>
      </c>
      <c r="E42" s="5">
        <f t="shared" si="1"/>
        <v>143.5</v>
      </c>
      <c r="F42" s="6" t="str">
        <f t="shared" si="0"/>
        <v>2小时23.5分钟</v>
      </c>
      <c r="G42" s="7" t="s">
        <v>110</v>
      </c>
      <c r="H42" s="4"/>
      <c r="I42" s="4" t="s">
        <v>14</v>
      </c>
      <c r="J42" s="4"/>
      <c r="K42" s="4"/>
      <c r="L42" s="4"/>
    </row>
    <row r="43" ht="25.5" spans="1:12">
      <c r="A43" s="3" t="s">
        <v>111</v>
      </c>
      <c r="B43" s="4" t="s">
        <v>17</v>
      </c>
      <c r="C43" s="4" t="s">
        <v>18</v>
      </c>
      <c r="D43" s="5">
        <v>7</v>
      </c>
      <c r="E43" s="5">
        <f t="shared" si="1"/>
        <v>150.5</v>
      </c>
      <c r="F43" s="6" t="str">
        <f t="shared" si="0"/>
        <v>2小时30.5分钟</v>
      </c>
      <c r="G43" s="7" t="s">
        <v>19</v>
      </c>
      <c r="H43" s="4"/>
      <c r="I43" s="4" t="s">
        <v>20</v>
      </c>
      <c r="J43" s="4"/>
      <c r="K43" s="4"/>
      <c r="L43" s="4"/>
    </row>
    <row r="44" ht="89.25" spans="1:12">
      <c r="A44" s="3" t="s">
        <v>112</v>
      </c>
      <c r="B44" s="4" t="s">
        <v>22</v>
      </c>
      <c r="C44" s="4"/>
      <c r="D44" s="5">
        <v>3</v>
      </c>
      <c r="E44" s="5">
        <f t="shared" si="1"/>
        <v>153.5</v>
      </c>
      <c r="F44" s="6" t="str">
        <f t="shared" si="0"/>
        <v>2小时33.5分钟</v>
      </c>
      <c r="G44" s="7" t="s">
        <v>23</v>
      </c>
      <c r="H44" s="4"/>
      <c r="I44" s="4" t="s">
        <v>14</v>
      </c>
      <c r="J44" s="4"/>
      <c r="K44" s="4"/>
      <c r="L44" s="4"/>
    </row>
    <row r="45" ht="25.5" spans="1:12">
      <c r="A45" s="3" t="s">
        <v>113</v>
      </c>
      <c r="B45" s="4" t="s">
        <v>27</v>
      </c>
      <c r="C45" s="4" t="s">
        <v>18</v>
      </c>
      <c r="D45" s="5">
        <v>2</v>
      </c>
      <c r="E45" s="5">
        <f t="shared" si="1"/>
        <v>155.5</v>
      </c>
      <c r="F45" s="6" t="str">
        <f t="shared" si="0"/>
        <v>2小时35.5分钟</v>
      </c>
      <c r="G45" s="7" t="s">
        <v>54</v>
      </c>
      <c r="H45" s="4"/>
      <c r="I45" s="4" t="s">
        <v>20</v>
      </c>
      <c r="J45" s="4"/>
      <c r="K45" s="4"/>
      <c r="L45" s="4"/>
    </row>
    <row r="46" ht="25.5" spans="1:12">
      <c r="A46" s="3" t="s">
        <v>114</v>
      </c>
      <c r="B46" s="4" t="s">
        <v>17</v>
      </c>
      <c r="C46" s="4" t="s">
        <v>18</v>
      </c>
      <c r="D46" s="5">
        <v>7</v>
      </c>
      <c r="E46" s="5">
        <f t="shared" si="1"/>
        <v>162.5</v>
      </c>
      <c r="F46" s="6" t="str">
        <f t="shared" si="0"/>
        <v>2小时42.5分钟</v>
      </c>
      <c r="G46" s="7" t="s">
        <v>19</v>
      </c>
      <c r="H46" s="4"/>
      <c r="I46" s="4" t="s">
        <v>20</v>
      </c>
      <c r="J46" s="4"/>
      <c r="K46" s="4"/>
      <c r="L46" s="4"/>
    </row>
    <row r="47" ht="76.5" spans="1:12">
      <c r="A47" s="3" t="s">
        <v>115</v>
      </c>
      <c r="B47" s="4" t="s">
        <v>116</v>
      </c>
      <c r="C47" s="4"/>
      <c r="D47" s="5">
        <v>4</v>
      </c>
      <c r="E47" s="5">
        <f t="shared" si="1"/>
        <v>166.5</v>
      </c>
      <c r="F47" s="6" t="str">
        <f t="shared" si="0"/>
        <v>2小时46.5分钟</v>
      </c>
      <c r="G47" s="7" t="s">
        <v>117</v>
      </c>
      <c r="H47" s="4" t="s">
        <v>24</v>
      </c>
      <c r="I47" s="4" t="s">
        <v>24</v>
      </c>
      <c r="J47" s="4"/>
      <c r="K47" s="13" t="s">
        <v>118</v>
      </c>
      <c r="L47" s="4"/>
    </row>
    <row r="48" ht="89.25" spans="1:12">
      <c r="A48" s="3" t="s">
        <v>119</v>
      </c>
      <c r="B48" s="4" t="s">
        <v>120</v>
      </c>
      <c r="C48" s="4"/>
      <c r="D48" s="5">
        <v>3</v>
      </c>
      <c r="E48" s="5">
        <f t="shared" si="1"/>
        <v>169.5</v>
      </c>
      <c r="F48" s="6" t="str">
        <f t="shared" si="0"/>
        <v>2小时49.5分钟</v>
      </c>
      <c r="G48" s="7" t="s">
        <v>121</v>
      </c>
      <c r="H48" s="4" t="s">
        <v>24</v>
      </c>
      <c r="I48" s="4" t="s">
        <v>24</v>
      </c>
      <c r="J48" s="4"/>
      <c r="K48" s="4" t="s">
        <v>122</v>
      </c>
      <c r="L48" s="4"/>
    </row>
    <row r="49" ht="38.25" spans="1:12">
      <c r="A49" s="3" t="s">
        <v>123</v>
      </c>
      <c r="B49" s="4" t="s">
        <v>124</v>
      </c>
      <c r="C49" s="4" t="s">
        <v>18</v>
      </c>
      <c r="D49" s="5">
        <v>3</v>
      </c>
      <c r="E49" s="5">
        <f t="shared" si="1"/>
        <v>172.5</v>
      </c>
      <c r="F49" s="6" t="str">
        <f t="shared" si="0"/>
        <v>2小时52.5分钟</v>
      </c>
      <c r="G49" s="7" t="s">
        <v>125</v>
      </c>
      <c r="H49" s="4" t="s">
        <v>24</v>
      </c>
      <c r="I49" s="4" t="s">
        <v>24</v>
      </c>
      <c r="J49" s="4"/>
      <c r="K49" s="14" t="s">
        <v>126</v>
      </c>
      <c r="L49" s="4"/>
    </row>
    <row r="50" ht="76.5" spans="1:12">
      <c r="A50" s="3" t="s">
        <v>127</v>
      </c>
      <c r="B50" s="4" t="s">
        <v>128</v>
      </c>
      <c r="C50" s="4"/>
      <c r="D50" s="5">
        <v>2</v>
      </c>
      <c r="E50" s="5">
        <f t="shared" si="1"/>
        <v>174.5</v>
      </c>
      <c r="F50" s="6" t="str">
        <f t="shared" si="0"/>
        <v>2小时54.5分钟</v>
      </c>
      <c r="G50" s="7" t="s">
        <v>129</v>
      </c>
      <c r="H50" s="4" t="s">
        <v>24</v>
      </c>
      <c r="I50" s="4" t="s">
        <v>24</v>
      </c>
      <c r="J50" s="4"/>
      <c r="K50" s="4" t="s">
        <v>130</v>
      </c>
      <c r="L50" s="4"/>
    </row>
    <row r="51" ht="25.5" spans="1:12">
      <c r="A51" s="3" t="s">
        <v>131</v>
      </c>
      <c r="B51" s="4" t="s">
        <v>17</v>
      </c>
      <c r="C51" s="4" t="s">
        <v>18</v>
      </c>
      <c r="D51" s="5">
        <v>7</v>
      </c>
      <c r="E51" s="5">
        <f t="shared" si="1"/>
        <v>181.5</v>
      </c>
      <c r="F51" s="6" t="str">
        <f t="shared" si="0"/>
        <v>3小时1.5分钟</v>
      </c>
      <c r="G51" s="7" t="s">
        <v>19</v>
      </c>
      <c r="H51" s="4"/>
      <c r="I51" s="4" t="s">
        <v>20</v>
      </c>
      <c r="J51" s="4"/>
      <c r="K51" s="4"/>
      <c r="L51" s="4"/>
    </row>
    <row r="52" ht="114.75" spans="1:12">
      <c r="A52" s="3" t="s">
        <v>132</v>
      </c>
      <c r="B52" s="4" t="s">
        <v>133</v>
      </c>
      <c r="C52" s="4"/>
      <c r="D52" s="5">
        <v>2</v>
      </c>
      <c r="E52" s="5">
        <f t="shared" si="1"/>
        <v>183.5</v>
      </c>
      <c r="F52" s="6" t="str">
        <f t="shared" si="0"/>
        <v>3小时3.5分钟</v>
      </c>
      <c r="G52" s="7" t="s">
        <v>134</v>
      </c>
      <c r="H52" s="4" t="s">
        <v>24</v>
      </c>
      <c r="I52" s="4" t="s">
        <v>24</v>
      </c>
      <c r="J52" s="4"/>
      <c r="K52" s="15" t="s">
        <v>135</v>
      </c>
      <c r="L52" s="4"/>
    </row>
    <row r="53" ht="25.5" spans="1:12">
      <c r="A53" s="3" t="s">
        <v>136</v>
      </c>
      <c r="B53" s="4" t="s">
        <v>27</v>
      </c>
      <c r="C53" s="4" t="s">
        <v>18</v>
      </c>
      <c r="D53" s="5">
        <v>2</v>
      </c>
      <c r="E53" s="5">
        <f t="shared" si="1"/>
        <v>185.5</v>
      </c>
      <c r="F53" s="6" t="str">
        <f t="shared" si="0"/>
        <v>3小时5.5分钟</v>
      </c>
      <c r="G53" s="7" t="s">
        <v>54</v>
      </c>
      <c r="H53" s="4"/>
      <c r="I53" s="4" t="s">
        <v>20</v>
      </c>
      <c r="J53" s="4"/>
      <c r="K53" s="4"/>
      <c r="L53" s="4"/>
    </row>
    <row r="54" ht="89.25" spans="1:12">
      <c r="A54" s="3" t="s">
        <v>137</v>
      </c>
      <c r="B54" s="4" t="s">
        <v>138</v>
      </c>
      <c r="C54" s="4"/>
      <c r="D54" s="5">
        <v>2</v>
      </c>
      <c r="E54" s="5">
        <f t="shared" si="1"/>
        <v>187.5</v>
      </c>
      <c r="F54" s="6" t="str">
        <f t="shared" si="0"/>
        <v>3小时7.5分钟</v>
      </c>
      <c r="G54" s="7" t="s">
        <v>139</v>
      </c>
      <c r="H54" s="4" t="s">
        <v>24</v>
      </c>
      <c r="I54" s="4" t="s">
        <v>24</v>
      </c>
      <c r="J54" s="4"/>
      <c r="K54" s="4" t="s">
        <v>140</v>
      </c>
      <c r="L54" s="4"/>
    </row>
    <row r="55" ht="25.5" spans="1:12">
      <c r="A55" s="3" t="s">
        <v>141</v>
      </c>
      <c r="B55" s="4" t="s">
        <v>17</v>
      </c>
      <c r="C55" s="4" t="s">
        <v>18</v>
      </c>
      <c r="D55" s="5">
        <v>7</v>
      </c>
      <c r="E55" s="5">
        <f t="shared" si="1"/>
        <v>194.5</v>
      </c>
      <c r="F55" s="6" t="str">
        <f t="shared" si="0"/>
        <v>3小时14.5分钟</v>
      </c>
      <c r="G55" s="7" t="s">
        <v>19</v>
      </c>
      <c r="H55" s="4"/>
      <c r="I55" s="4" t="s">
        <v>20</v>
      </c>
      <c r="J55" s="4"/>
      <c r="K55" s="4"/>
      <c r="L55" s="4"/>
    </row>
    <row r="56" ht="76.5" spans="1:12">
      <c r="A56" s="3" t="s">
        <v>142</v>
      </c>
      <c r="B56" s="4" t="s">
        <v>80</v>
      </c>
      <c r="C56" s="4"/>
      <c r="D56" s="5">
        <v>0.5</v>
      </c>
      <c r="E56" s="5">
        <f t="shared" si="1"/>
        <v>195</v>
      </c>
      <c r="F56" s="6" t="str">
        <f t="shared" si="0"/>
        <v>3小时15分钟</v>
      </c>
      <c r="G56" s="7" t="s">
        <v>81</v>
      </c>
      <c r="H56" s="4" t="s">
        <v>20</v>
      </c>
      <c r="I56" s="4" t="s">
        <v>20</v>
      </c>
      <c r="J56" s="4"/>
      <c r="K56" s="4"/>
      <c r="L56" s="4"/>
    </row>
    <row r="57" ht="89.25" spans="1:12">
      <c r="A57" s="3" t="s">
        <v>143</v>
      </c>
      <c r="B57" s="4" t="s">
        <v>144</v>
      </c>
      <c r="C57" s="4"/>
      <c r="D57" s="5">
        <v>3</v>
      </c>
      <c r="E57" s="5">
        <f t="shared" si="1"/>
        <v>198</v>
      </c>
      <c r="F57" s="6" t="str">
        <f t="shared" si="0"/>
        <v>3小时18分钟</v>
      </c>
      <c r="G57" s="7" t="s">
        <v>145</v>
      </c>
      <c r="H57" s="4" t="s">
        <v>24</v>
      </c>
      <c r="I57" s="4" t="s">
        <v>24</v>
      </c>
      <c r="J57" s="4"/>
      <c r="K57" s="14" t="s">
        <v>146</v>
      </c>
      <c r="L57" s="4"/>
    </row>
    <row r="58" ht="25.5" spans="1:12">
      <c r="A58" s="3" t="s">
        <v>147</v>
      </c>
      <c r="B58" s="4" t="s">
        <v>27</v>
      </c>
      <c r="C58" s="4" t="s">
        <v>18</v>
      </c>
      <c r="D58" s="5">
        <v>2</v>
      </c>
      <c r="E58" s="5">
        <f t="shared" si="1"/>
        <v>200</v>
      </c>
      <c r="F58" s="6" t="str">
        <f t="shared" si="0"/>
        <v>3小时20分钟</v>
      </c>
      <c r="G58" s="7" t="s">
        <v>54</v>
      </c>
      <c r="H58" s="4"/>
      <c r="I58" s="4" t="s">
        <v>20</v>
      </c>
      <c r="J58" s="4"/>
      <c r="K58" s="4"/>
      <c r="L58" s="4"/>
    </row>
    <row r="59" ht="76.5" spans="1:12">
      <c r="A59" s="3" t="s">
        <v>148</v>
      </c>
      <c r="B59" s="4" t="s">
        <v>41</v>
      </c>
      <c r="C59" s="4"/>
      <c r="D59" s="5">
        <v>0.5</v>
      </c>
      <c r="E59" s="5">
        <f t="shared" si="1"/>
        <v>200.5</v>
      </c>
      <c r="F59" s="6" t="str">
        <f t="shared" si="0"/>
        <v>3小时20.5分钟</v>
      </c>
      <c r="G59" s="7" t="s">
        <v>42</v>
      </c>
      <c r="H59" s="4"/>
      <c r="I59" s="4" t="s">
        <v>20</v>
      </c>
      <c r="J59" s="4"/>
      <c r="K59" s="4"/>
      <c r="L59" s="4"/>
    </row>
    <row r="60" ht="38.25" spans="1:12">
      <c r="A60" s="3" t="s">
        <v>149</v>
      </c>
      <c r="B60" s="4" t="s">
        <v>150</v>
      </c>
      <c r="C60" s="4" t="s">
        <v>18</v>
      </c>
      <c r="D60" s="5">
        <v>4</v>
      </c>
      <c r="E60" s="5">
        <f t="shared" si="1"/>
        <v>204.5</v>
      </c>
      <c r="F60" s="6" t="str">
        <f t="shared" si="0"/>
        <v>3小时24.5分钟</v>
      </c>
      <c r="G60" s="8" t="s">
        <v>151</v>
      </c>
      <c r="H60" s="4" t="s">
        <v>24</v>
      </c>
      <c r="I60" s="4" t="s">
        <v>24</v>
      </c>
      <c r="J60" s="4"/>
      <c r="K60" s="9" t="s">
        <v>152</v>
      </c>
      <c r="L60" s="4"/>
    </row>
    <row r="61" ht="102" spans="1:12">
      <c r="A61" s="3" t="s">
        <v>153</v>
      </c>
      <c r="B61" s="4" t="s">
        <v>154</v>
      </c>
      <c r="C61" s="4"/>
      <c r="D61" s="5">
        <v>3</v>
      </c>
      <c r="E61" s="5">
        <f t="shared" si="1"/>
        <v>207.5</v>
      </c>
      <c r="F61" s="6" t="str">
        <f t="shared" si="0"/>
        <v>3小时27.5分钟</v>
      </c>
      <c r="G61" s="7" t="s">
        <v>155</v>
      </c>
      <c r="H61" s="4" t="s">
        <v>24</v>
      </c>
      <c r="I61" s="4" t="s">
        <v>24</v>
      </c>
      <c r="J61" s="4"/>
      <c r="K61" s="4" t="s">
        <v>156</v>
      </c>
      <c r="L61" s="4"/>
    </row>
    <row r="62" ht="25.5" spans="1:12">
      <c r="A62" s="3" t="s">
        <v>157</v>
      </c>
      <c r="B62" s="4" t="s">
        <v>27</v>
      </c>
      <c r="C62" s="4" t="s">
        <v>18</v>
      </c>
      <c r="D62" s="5">
        <v>2</v>
      </c>
      <c r="E62" s="5">
        <f t="shared" si="1"/>
        <v>209.5</v>
      </c>
      <c r="F62" s="6" t="str">
        <f t="shared" si="0"/>
        <v>3小时29.5分钟</v>
      </c>
      <c r="G62" s="7" t="s">
        <v>54</v>
      </c>
      <c r="H62" s="4"/>
      <c r="I62" s="4" t="s">
        <v>20</v>
      </c>
      <c r="J62" s="4"/>
      <c r="K62" s="4"/>
      <c r="L62" s="4"/>
    </row>
    <row r="63" ht="63.75" spans="1:12">
      <c r="A63" s="3" t="s">
        <v>158</v>
      </c>
      <c r="B63" s="4" t="s">
        <v>36</v>
      </c>
      <c r="C63" s="4"/>
      <c r="D63" s="5">
        <v>3</v>
      </c>
      <c r="E63" s="5">
        <f t="shared" si="1"/>
        <v>212.5</v>
      </c>
      <c r="F63" s="6" t="str">
        <f t="shared" si="0"/>
        <v>3小时32.5分钟</v>
      </c>
      <c r="G63" s="7" t="s">
        <v>37</v>
      </c>
      <c r="H63" s="4"/>
      <c r="I63" s="4" t="s">
        <v>14</v>
      </c>
      <c r="J63" s="4"/>
      <c r="K63" s="9" t="s">
        <v>159</v>
      </c>
      <c r="L63" s="4"/>
    </row>
    <row r="64" ht="25.5" spans="1:12">
      <c r="A64" s="3" t="s">
        <v>160</v>
      </c>
      <c r="B64" s="4" t="s">
        <v>17</v>
      </c>
      <c r="C64" s="4" t="s">
        <v>18</v>
      </c>
      <c r="D64" s="5">
        <v>7</v>
      </c>
      <c r="E64" s="5">
        <f t="shared" si="1"/>
        <v>219.5</v>
      </c>
      <c r="F64" s="6" t="str">
        <f t="shared" si="0"/>
        <v>3小时39.5分钟</v>
      </c>
      <c r="G64" s="7" t="s">
        <v>19</v>
      </c>
      <c r="H64" s="4"/>
      <c r="I64" s="4" t="s">
        <v>20</v>
      </c>
      <c r="J64" s="4"/>
      <c r="K64" s="4"/>
      <c r="L64" s="4"/>
    </row>
    <row r="65" ht="25.5" spans="1:12">
      <c r="A65" s="3" t="s">
        <v>161</v>
      </c>
      <c r="B65" s="4" t="s">
        <v>27</v>
      </c>
      <c r="C65" s="4" t="s">
        <v>18</v>
      </c>
      <c r="D65" s="5">
        <v>2</v>
      </c>
      <c r="E65" s="5">
        <f t="shared" si="1"/>
        <v>221.5</v>
      </c>
      <c r="F65" s="6" t="str">
        <f t="shared" si="0"/>
        <v>3小时41.5分钟</v>
      </c>
      <c r="G65" s="7" t="s">
        <v>54</v>
      </c>
      <c r="H65" s="4"/>
      <c r="I65" s="4" t="s">
        <v>20</v>
      </c>
      <c r="J65" s="4"/>
      <c r="K65" s="4"/>
      <c r="L65" s="4"/>
    </row>
    <row r="66" ht="76.5" spans="1:12">
      <c r="A66" s="3" t="s">
        <v>162</v>
      </c>
      <c r="B66" s="4" t="s">
        <v>12</v>
      </c>
      <c r="C66" s="4"/>
      <c r="D66" s="5">
        <v>2</v>
      </c>
      <c r="E66" s="5">
        <f t="shared" si="1"/>
        <v>223.5</v>
      </c>
      <c r="F66" s="6" t="str">
        <f t="shared" ref="F66:F129" si="2">INT(E66/60)&amp;"小时"&amp;MOD(E66,60)&amp;"分钟"</f>
        <v>3小时43.5分钟</v>
      </c>
      <c r="G66" s="7" t="s">
        <v>13</v>
      </c>
      <c r="H66" s="4"/>
      <c r="I66" s="4" t="s">
        <v>14</v>
      </c>
      <c r="J66" s="4"/>
      <c r="K66" s="4"/>
      <c r="L66" s="4"/>
    </row>
    <row r="67" ht="25.5" spans="1:12">
      <c r="A67" s="3" t="s">
        <v>163</v>
      </c>
      <c r="B67" s="4" t="s">
        <v>17</v>
      </c>
      <c r="C67" s="4" t="s">
        <v>18</v>
      </c>
      <c r="D67" s="5">
        <v>7</v>
      </c>
      <c r="E67" s="5">
        <f t="shared" ref="E67:E130" si="3">E66+D67</f>
        <v>230.5</v>
      </c>
      <c r="F67" s="6" t="str">
        <f t="shared" si="2"/>
        <v>3小时50.5分钟</v>
      </c>
      <c r="G67" s="7" t="s">
        <v>19</v>
      </c>
      <c r="H67" s="4"/>
      <c r="I67" s="4" t="s">
        <v>20</v>
      </c>
      <c r="J67" s="4"/>
      <c r="K67" s="4"/>
      <c r="L67" s="4"/>
    </row>
    <row r="68" ht="38.25" spans="1:12">
      <c r="A68" s="3" t="s">
        <v>164</v>
      </c>
      <c r="B68" s="4" t="s">
        <v>74</v>
      </c>
      <c r="C68" s="4" t="s">
        <v>18</v>
      </c>
      <c r="D68" s="5">
        <v>3</v>
      </c>
      <c r="E68" s="5">
        <f t="shared" si="3"/>
        <v>233.5</v>
      </c>
      <c r="F68" s="6" t="str">
        <f t="shared" si="2"/>
        <v>3小时53.5分钟</v>
      </c>
      <c r="G68" s="7" t="s">
        <v>75</v>
      </c>
      <c r="H68" s="4"/>
      <c r="I68" s="4" t="s">
        <v>14</v>
      </c>
      <c r="J68" s="4"/>
      <c r="K68" s="9" t="s">
        <v>165</v>
      </c>
      <c r="L68" s="4"/>
    </row>
    <row r="69" ht="25.5" spans="1:12">
      <c r="A69" s="3" t="s">
        <v>166</v>
      </c>
      <c r="B69" s="4" t="s">
        <v>27</v>
      </c>
      <c r="C69" s="4" t="s">
        <v>18</v>
      </c>
      <c r="D69" s="5">
        <v>2</v>
      </c>
      <c r="E69" s="5">
        <f t="shared" si="3"/>
        <v>235.5</v>
      </c>
      <c r="F69" s="6" t="str">
        <f t="shared" si="2"/>
        <v>3小时55.5分钟</v>
      </c>
      <c r="G69" s="7" t="s">
        <v>54</v>
      </c>
      <c r="H69" s="4"/>
      <c r="I69" s="4" t="s">
        <v>20</v>
      </c>
      <c r="J69" s="4"/>
      <c r="K69" s="4"/>
      <c r="L69" s="4"/>
    </row>
    <row r="70" ht="114.75" spans="1:12">
      <c r="A70" s="3" t="s">
        <v>167</v>
      </c>
      <c r="B70" s="4" t="s">
        <v>168</v>
      </c>
      <c r="C70" s="4"/>
      <c r="D70" s="5">
        <v>7</v>
      </c>
      <c r="E70" s="5">
        <f t="shared" si="3"/>
        <v>242.5</v>
      </c>
      <c r="F70" s="6" t="str">
        <f t="shared" si="2"/>
        <v>4小时2.5分钟</v>
      </c>
      <c r="G70" s="7" t="s">
        <v>169</v>
      </c>
      <c r="H70" s="4" t="s">
        <v>14</v>
      </c>
      <c r="I70" s="4" t="s">
        <v>14</v>
      </c>
      <c r="J70" s="4"/>
      <c r="K70" s="4"/>
      <c r="L70" s="4"/>
    </row>
    <row r="71" ht="25.5" spans="1:12">
      <c r="A71" s="3" t="s">
        <v>170</v>
      </c>
      <c r="B71" s="4" t="s">
        <v>17</v>
      </c>
      <c r="C71" s="4" t="s">
        <v>18</v>
      </c>
      <c r="D71" s="5">
        <v>7</v>
      </c>
      <c r="E71" s="5">
        <f t="shared" si="3"/>
        <v>249.5</v>
      </c>
      <c r="F71" s="6" t="str">
        <f t="shared" si="2"/>
        <v>4小时9.5分钟</v>
      </c>
      <c r="G71" s="7" t="s">
        <v>19</v>
      </c>
      <c r="H71" s="4"/>
      <c r="I71" s="4" t="s">
        <v>20</v>
      </c>
      <c r="J71" s="4"/>
      <c r="K71" s="4"/>
      <c r="L71" s="4"/>
    </row>
    <row r="72" ht="76.5" spans="1:12">
      <c r="A72" s="3" t="s">
        <v>171</v>
      </c>
      <c r="B72" s="4" t="s">
        <v>80</v>
      </c>
      <c r="C72" s="4"/>
      <c r="D72" s="5">
        <v>0.5</v>
      </c>
      <c r="E72" s="5">
        <f t="shared" si="3"/>
        <v>250</v>
      </c>
      <c r="F72" s="6" t="str">
        <f t="shared" si="2"/>
        <v>4小时10分钟</v>
      </c>
      <c r="G72" s="7" t="s">
        <v>81</v>
      </c>
      <c r="H72" s="4"/>
      <c r="I72" s="4" t="s">
        <v>20</v>
      </c>
      <c r="J72" s="4"/>
      <c r="K72" s="4"/>
      <c r="L72" s="4"/>
    </row>
    <row r="73" ht="25.5" spans="1:12">
      <c r="A73" s="3" t="s">
        <v>172</v>
      </c>
      <c r="B73" s="4" t="s">
        <v>27</v>
      </c>
      <c r="C73" s="4" t="s">
        <v>18</v>
      </c>
      <c r="D73" s="5">
        <v>2</v>
      </c>
      <c r="E73" s="5">
        <f t="shared" si="3"/>
        <v>252</v>
      </c>
      <c r="F73" s="6" t="str">
        <f t="shared" si="2"/>
        <v>4小时12分钟</v>
      </c>
      <c r="G73" s="7" t="s">
        <v>54</v>
      </c>
      <c r="H73" s="4"/>
      <c r="I73" s="4" t="s">
        <v>20</v>
      </c>
      <c r="J73" s="4"/>
      <c r="K73" s="4"/>
      <c r="L73" s="4"/>
    </row>
    <row r="74" ht="76.5" spans="1:12">
      <c r="A74" s="3" t="s">
        <v>173</v>
      </c>
      <c r="B74" s="4" t="s">
        <v>174</v>
      </c>
      <c r="C74" s="4"/>
      <c r="D74" s="5">
        <v>2</v>
      </c>
      <c r="E74" s="5">
        <f t="shared" si="3"/>
        <v>254</v>
      </c>
      <c r="F74" s="6" t="str">
        <f t="shared" si="2"/>
        <v>4小时14分钟</v>
      </c>
      <c r="G74" s="7" t="s">
        <v>175</v>
      </c>
      <c r="H74" s="4" t="s">
        <v>24</v>
      </c>
      <c r="I74" s="4" t="s">
        <v>24</v>
      </c>
      <c r="J74" s="4"/>
      <c r="K74" s="4" t="s">
        <v>176</v>
      </c>
      <c r="L74" s="4"/>
    </row>
    <row r="75" ht="89.25" spans="1:12">
      <c r="A75" s="3" t="s">
        <v>177</v>
      </c>
      <c r="B75" s="4" t="s">
        <v>178</v>
      </c>
      <c r="C75" s="4"/>
      <c r="D75" s="5">
        <v>3</v>
      </c>
      <c r="E75" s="5">
        <f t="shared" si="3"/>
        <v>257</v>
      </c>
      <c r="F75" s="6" t="str">
        <f t="shared" si="2"/>
        <v>4小时17分钟</v>
      </c>
      <c r="G75" s="7" t="s">
        <v>179</v>
      </c>
      <c r="H75" s="4"/>
      <c r="I75" s="4" t="s">
        <v>14</v>
      </c>
      <c r="J75" s="4"/>
      <c r="K75" s="4"/>
      <c r="L75" s="4"/>
    </row>
    <row r="76" ht="25.5" spans="1:12">
      <c r="A76" s="3" t="s">
        <v>180</v>
      </c>
      <c r="B76" s="4" t="s">
        <v>181</v>
      </c>
      <c r="C76" s="4" t="s">
        <v>18</v>
      </c>
      <c r="D76" s="5">
        <v>7</v>
      </c>
      <c r="E76" s="5">
        <f t="shared" si="3"/>
        <v>264</v>
      </c>
      <c r="F76" s="6" t="str">
        <f t="shared" si="2"/>
        <v>4小时24分钟</v>
      </c>
      <c r="G76" s="7" t="s">
        <v>19</v>
      </c>
      <c r="H76" s="4"/>
      <c r="I76" s="4" t="s">
        <v>20</v>
      </c>
      <c r="J76" s="4"/>
      <c r="K76" s="4"/>
      <c r="L76" s="4"/>
    </row>
    <row r="77" ht="89.25" spans="1:12">
      <c r="A77" s="3" t="s">
        <v>182</v>
      </c>
      <c r="B77" s="4" t="s">
        <v>183</v>
      </c>
      <c r="C77" s="4"/>
      <c r="D77" s="5">
        <v>3</v>
      </c>
      <c r="E77" s="5">
        <f t="shared" si="3"/>
        <v>267</v>
      </c>
      <c r="F77" s="6" t="str">
        <f t="shared" si="2"/>
        <v>4小时27分钟</v>
      </c>
      <c r="G77" s="7" t="s">
        <v>184</v>
      </c>
      <c r="H77" s="4" t="s">
        <v>24</v>
      </c>
      <c r="I77" s="4" t="s">
        <v>24</v>
      </c>
      <c r="J77" s="4"/>
      <c r="K77" s="9" t="s">
        <v>185</v>
      </c>
      <c r="L77" s="4"/>
    </row>
    <row r="78" ht="76.5" spans="1:12">
      <c r="A78" s="3" t="s">
        <v>186</v>
      </c>
      <c r="B78" s="4" t="s">
        <v>187</v>
      </c>
      <c r="C78" s="4"/>
      <c r="D78" s="5">
        <v>2</v>
      </c>
      <c r="E78" s="5">
        <f t="shared" si="3"/>
        <v>269</v>
      </c>
      <c r="F78" s="6" t="str">
        <f t="shared" si="2"/>
        <v>4小时29分钟</v>
      </c>
      <c r="G78" s="7" t="s">
        <v>13</v>
      </c>
      <c r="H78" s="4" t="s">
        <v>24</v>
      </c>
      <c r="I78" s="4" t="s">
        <v>24</v>
      </c>
      <c r="J78" s="4"/>
      <c r="K78" s="4" t="s">
        <v>15</v>
      </c>
      <c r="L78" s="4"/>
    </row>
    <row r="79" ht="102" spans="1:12">
      <c r="A79" s="3" t="s">
        <v>188</v>
      </c>
      <c r="B79" s="4" t="s">
        <v>189</v>
      </c>
      <c r="C79" s="4"/>
      <c r="D79" s="5">
        <v>3</v>
      </c>
      <c r="E79" s="5">
        <f t="shared" si="3"/>
        <v>272</v>
      </c>
      <c r="F79" s="6" t="str">
        <f t="shared" si="2"/>
        <v>4小时32分钟</v>
      </c>
      <c r="G79" s="7" t="s">
        <v>190</v>
      </c>
      <c r="H79" s="4" t="s">
        <v>24</v>
      </c>
      <c r="I79" s="4" t="s">
        <v>24</v>
      </c>
      <c r="J79" s="4"/>
      <c r="K79" s="4" t="s">
        <v>191</v>
      </c>
      <c r="L79" s="4"/>
    </row>
    <row r="80" ht="89.25" spans="1:12">
      <c r="A80" s="3" t="s">
        <v>192</v>
      </c>
      <c r="B80" s="4" t="s">
        <v>178</v>
      </c>
      <c r="C80" s="4"/>
      <c r="D80" s="5">
        <v>3</v>
      </c>
      <c r="E80" s="5">
        <f t="shared" si="3"/>
        <v>275</v>
      </c>
      <c r="F80" s="6" t="str">
        <f t="shared" si="2"/>
        <v>4小时35分钟</v>
      </c>
      <c r="G80" s="7" t="s">
        <v>179</v>
      </c>
      <c r="H80" s="4" t="s">
        <v>24</v>
      </c>
      <c r="I80" s="4" t="s">
        <v>24</v>
      </c>
      <c r="J80" s="4"/>
      <c r="K80" s="4" t="s">
        <v>193</v>
      </c>
      <c r="L80" s="4"/>
    </row>
    <row r="81" ht="102" spans="1:12">
      <c r="A81" s="3" t="s">
        <v>194</v>
      </c>
      <c r="B81" s="4" t="s">
        <v>195</v>
      </c>
      <c r="C81" s="4"/>
      <c r="D81" s="5">
        <v>2</v>
      </c>
      <c r="E81" s="5">
        <f t="shared" si="3"/>
        <v>277</v>
      </c>
      <c r="F81" s="6" t="str">
        <f t="shared" si="2"/>
        <v>4小时37分钟</v>
      </c>
      <c r="G81" s="7" t="s">
        <v>196</v>
      </c>
      <c r="H81" s="4" t="s">
        <v>24</v>
      </c>
      <c r="I81" s="4" t="s">
        <v>24</v>
      </c>
      <c r="J81" s="4"/>
      <c r="K81" s="16" t="s">
        <v>197</v>
      </c>
      <c r="L81" s="4"/>
    </row>
    <row r="82" ht="89.25" spans="1:12">
      <c r="A82" s="3" t="s">
        <v>198</v>
      </c>
      <c r="B82" s="4" t="s">
        <v>199</v>
      </c>
      <c r="C82" s="4"/>
      <c r="D82" s="5">
        <v>2</v>
      </c>
      <c r="E82" s="5">
        <f t="shared" si="3"/>
        <v>279</v>
      </c>
      <c r="F82" s="6" t="str">
        <f t="shared" si="2"/>
        <v>4小时39分钟</v>
      </c>
      <c r="G82" s="7" t="s">
        <v>200</v>
      </c>
      <c r="H82" s="4" t="s">
        <v>24</v>
      </c>
      <c r="I82" s="4" t="s">
        <v>24</v>
      </c>
      <c r="J82" s="4"/>
      <c r="K82" s="4" t="s">
        <v>201</v>
      </c>
      <c r="L82" s="4"/>
    </row>
    <row r="83" ht="25.5" spans="1:12">
      <c r="A83" s="3" t="s">
        <v>202</v>
      </c>
      <c r="B83" s="4" t="s">
        <v>181</v>
      </c>
      <c r="C83" s="4" t="s">
        <v>18</v>
      </c>
      <c r="D83" s="5">
        <v>7</v>
      </c>
      <c r="E83" s="5">
        <f t="shared" si="3"/>
        <v>286</v>
      </c>
      <c r="F83" s="6" t="str">
        <f t="shared" si="2"/>
        <v>4小时46分钟</v>
      </c>
      <c r="G83" s="7" t="s">
        <v>19</v>
      </c>
      <c r="H83" s="4" t="s">
        <v>20</v>
      </c>
      <c r="I83" s="4" t="s">
        <v>20</v>
      </c>
      <c r="J83" s="4"/>
      <c r="K83" s="4"/>
      <c r="L83" s="4"/>
    </row>
    <row r="84" ht="114.75" spans="1:12">
      <c r="A84" s="3" t="s">
        <v>203</v>
      </c>
      <c r="B84" s="4" t="s">
        <v>204</v>
      </c>
      <c r="C84" s="4"/>
      <c r="D84" s="5">
        <v>4</v>
      </c>
      <c r="E84" s="5">
        <f t="shared" si="3"/>
        <v>290</v>
      </c>
      <c r="F84" s="6" t="str">
        <f t="shared" si="2"/>
        <v>4小时50分钟</v>
      </c>
      <c r="G84" s="7" t="s">
        <v>205</v>
      </c>
      <c r="H84" s="4" t="s">
        <v>24</v>
      </c>
      <c r="I84" s="4" t="s">
        <v>24</v>
      </c>
      <c r="J84" s="4"/>
      <c r="K84" s="4" t="s">
        <v>206</v>
      </c>
      <c r="L84" s="4"/>
    </row>
    <row r="85" ht="102" spans="1:12">
      <c r="A85" s="3" t="s">
        <v>207</v>
      </c>
      <c r="B85" s="4" t="s">
        <v>208</v>
      </c>
      <c r="C85" s="4"/>
      <c r="D85" s="5">
        <v>3</v>
      </c>
      <c r="E85" s="5">
        <f t="shared" si="3"/>
        <v>293</v>
      </c>
      <c r="F85" s="6" t="str">
        <f t="shared" si="2"/>
        <v>4小时53分钟</v>
      </c>
      <c r="G85" s="7" t="s">
        <v>209</v>
      </c>
      <c r="H85" s="4" t="s">
        <v>24</v>
      </c>
      <c r="I85" s="4" t="s">
        <v>24</v>
      </c>
      <c r="J85" s="4"/>
      <c r="K85" s="4" t="s">
        <v>210</v>
      </c>
      <c r="L85" s="4"/>
    </row>
    <row r="86" ht="25.5" spans="1:12">
      <c r="A86" s="3" t="s">
        <v>211</v>
      </c>
      <c r="B86" s="4" t="s">
        <v>212</v>
      </c>
      <c r="C86" s="4" t="s">
        <v>18</v>
      </c>
      <c r="D86" s="5">
        <v>2</v>
      </c>
      <c r="E86" s="5">
        <f t="shared" si="3"/>
        <v>295</v>
      </c>
      <c r="F86" s="6" t="str">
        <f t="shared" si="2"/>
        <v>4小时55分钟</v>
      </c>
      <c r="G86" s="7" t="s">
        <v>54</v>
      </c>
      <c r="H86" s="4" t="s">
        <v>20</v>
      </c>
      <c r="I86" s="4" t="s">
        <v>20</v>
      </c>
      <c r="J86" s="4"/>
      <c r="K86" s="4"/>
      <c r="L86" s="4"/>
    </row>
    <row r="87" ht="89.25" spans="1:12">
      <c r="A87" s="3" t="s">
        <v>213</v>
      </c>
      <c r="B87" s="4" t="s">
        <v>214</v>
      </c>
      <c r="C87" s="4"/>
      <c r="D87" s="5">
        <v>2</v>
      </c>
      <c r="E87" s="5">
        <f t="shared" si="3"/>
        <v>297</v>
      </c>
      <c r="F87" s="6" t="str">
        <f t="shared" si="2"/>
        <v>4小时57分钟</v>
      </c>
      <c r="G87" s="7" t="s">
        <v>215</v>
      </c>
      <c r="H87" s="4" t="s">
        <v>24</v>
      </c>
      <c r="I87" s="4" t="s">
        <v>24</v>
      </c>
      <c r="J87" s="4"/>
      <c r="K87" s="4" t="s">
        <v>216</v>
      </c>
      <c r="L87" s="4"/>
    </row>
    <row r="88" ht="114.75" spans="1:12">
      <c r="A88" s="3" t="s">
        <v>217</v>
      </c>
      <c r="B88" s="4" t="s">
        <v>218</v>
      </c>
      <c r="C88" s="4"/>
      <c r="D88" s="5">
        <v>3</v>
      </c>
      <c r="E88" s="5">
        <f t="shared" si="3"/>
        <v>300</v>
      </c>
      <c r="F88" s="6" t="str">
        <f t="shared" si="2"/>
        <v>5小时0分钟</v>
      </c>
      <c r="G88" s="7" t="s">
        <v>219</v>
      </c>
      <c r="H88" s="4" t="s">
        <v>24</v>
      </c>
      <c r="I88" s="4" t="s">
        <v>24</v>
      </c>
      <c r="J88" s="4"/>
      <c r="K88" s="4" t="s">
        <v>220</v>
      </c>
      <c r="L88" s="4"/>
    </row>
    <row r="89" ht="102" spans="1:12">
      <c r="A89" s="3" t="s">
        <v>221</v>
      </c>
      <c r="B89" s="4" t="s">
        <v>189</v>
      </c>
      <c r="C89" s="4"/>
      <c r="D89" s="5">
        <v>3</v>
      </c>
      <c r="E89" s="5">
        <f t="shared" si="3"/>
        <v>303</v>
      </c>
      <c r="F89" s="6" t="str">
        <f t="shared" si="2"/>
        <v>5小时3分钟</v>
      </c>
      <c r="G89" s="7" t="s">
        <v>190</v>
      </c>
      <c r="H89" s="4" t="s">
        <v>14</v>
      </c>
      <c r="I89" s="4" t="s">
        <v>14</v>
      </c>
      <c r="J89" s="4"/>
      <c r="K89" s="4"/>
      <c r="L89" s="4"/>
    </row>
    <row r="90" ht="102" spans="1:12">
      <c r="A90" s="3" t="s">
        <v>222</v>
      </c>
      <c r="B90" s="4" t="s">
        <v>208</v>
      </c>
      <c r="C90" s="4"/>
      <c r="D90" s="5">
        <v>3</v>
      </c>
      <c r="E90" s="5">
        <f t="shared" si="3"/>
        <v>306</v>
      </c>
      <c r="F90" s="6" t="str">
        <f t="shared" si="2"/>
        <v>5小时6分钟</v>
      </c>
      <c r="G90" s="7" t="s">
        <v>209</v>
      </c>
      <c r="H90" s="4" t="s">
        <v>14</v>
      </c>
      <c r="I90" s="4" t="s">
        <v>14</v>
      </c>
      <c r="J90" s="4"/>
      <c r="K90" s="4"/>
      <c r="L90" s="4"/>
    </row>
    <row r="91" ht="127.5" spans="1:12">
      <c r="A91" s="3" t="s">
        <v>223</v>
      </c>
      <c r="B91" s="4" t="s">
        <v>224</v>
      </c>
      <c r="C91" s="4"/>
      <c r="D91" s="5">
        <v>7</v>
      </c>
      <c r="E91" s="5">
        <f t="shared" si="3"/>
        <v>313</v>
      </c>
      <c r="F91" s="6" t="str">
        <f t="shared" si="2"/>
        <v>5小时13分钟</v>
      </c>
      <c r="G91" s="7" t="s">
        <v>96</v>
      </c>
      <c r="H91" s="4" t="s">
        <v>24</v>
      </c>
      <c r="I91" s="4" t="s">
        <v>24</v>
      </c>
      <c r="J91" s="4"/>
      <c r="K91" s="4" t="s">
        <v>225</v>
      </c>
      <c r="L91" s="4"/>
    </row>
    <row r="92" ht="25.5" spans="1:12">
      <c r="A92" s="3" t="s">
        <v>226</v>
      </c>
      <c r="B92" s="4" t="s">
        <v>181</v>
      </c>
      <c r="C92" s="4" t="s">
        <v>18</v>
      </c>
      <c r="D92" s="5">
        <v>7</v>
      </c>
      <c r="E92" s="5">
        <f t="shared" si="3"/>
        <v>320</v>
      </c>
      <c r="F92" s="6" t="str">
        <f t="shared" si="2"/>
        <v>5小时20分钟</v>
      </c>
      <c r="G92" s="7" t="s">
        <v>19</v>
      </c>
      <c r="H92" s="4" t="s">
        <v>20</v>
      </c>
      <c r="I92" s="4" t="s">
        <v>20</v>
      </c>
      <c r="J92" s="4"/>
      <c r="K92" s="4"/>
      <c r="L92" s="4"/>
    </row>
    <row r="93" ht="76.5" spans="1:12">
      <c r="A93" s="3" t="s">
        <v>227</v>
      </c>
      <c r="B93" s="4" t="s">
        <v>228</v>
      </c>
      <c r="C93" s="4"/>
      <c r="D93" s="5">
        <v>15</v>
      </c>
      <c r="E93" s="5">
        <f t="shared" si="3"/>
        <v>335</v>
      </c>
      <c r="F93" s="6" t="str">
        <f t="shared" si="2"/>
        <v>5小时35分钟</v>
      </c>
      <c r="G93" s="7" t="s">
        <v>229</v>
      </c>
      <c r="H93" s="4" t="s">
        <v>20</v>
      </c>
      <c r="I93" s="4" t="s">
        <v>20</v>
      </c>
      <c r="J93" s="4"/>
      <c r="K93" s="15" t="s">
        <v>230</v>
      </c>
      <c r="L93" s="4"/>
    </row>
    <row r="94" ht="25.5" spans="1:12">
      <c r="A94" s="3" t="s">
        <v>231</v>
      </c>
      <c r="B94" s="4" t="s">
        <v>212</v>
      </c>
      <c r="C94" s="4" t="s">
        <v>18</v>
      </c>
      <c r="D94" s="5">
        <v>2</v>
      </c>
      <c r="E94" s="5">
        <f t="shared" si="3"/>
        <v>337</v>
      </c>
      <c r="F94" s="6" t="str">
        <f t="shared" si="2"/>
        <v>5小时37分钟</v>
      </c>
      <c r="G94" s="7" t="s">
        <v>54</v>
      </c>
      <c r="H94" s="4" t="s">
        <v>20</v>
      </c>
      <c r="I94" s="4" t="s">
        <v>20</v>
      </c>
      <c r="J94" s="4"/>
      <c r="K94" s="4"/>
      <c r="L94" s="4"/>
    </row>
    <row r="95" ht="89.25" spans="1:12">
      <c r="A95" s="3" t="s">
        <v>232</v>
      </c>
      <c r="B95" s="4" t="s">
        <v>178</v>
      </c>
      <c r="C95" s="4"/>
      <c r="D95" s="5">
        <v>3</v>
      </c>
      <c r="E95" s="5">
        <f t="shared" si="3"/>
        <v>340</v>
      </c>
      <c r="F95" s="6" t="str">
        <f t="shared" si="2"/>
        <v>5小时40分钟</v>
      </c>
      <c r="G95" s="7" t="s">
        <v>179</v>
      </c>
      <c r="H95" s="4"/>
      <c r="I95" s="4" t="s">
        <v>14</v>
      </c>
      <c r="J95" s="4"/>
      <c r="K95" s="4"/>
      <c r="L95" s="4"/>
    </row>
    <row r="96" ht="102" spans="1:12">
      <c r="A96" s="3" t="s">
        <v>233</v>
      </c>
      <c r="B96" s="4" t="s">
        <v>234</v>
      </c>
      <c r="C96" s="4"/>
      <c r="D96" s="5">
        <v>2</v>
      </c>
      <c r="E96" s="5">
        <f t="shared" si="3"/>
        <v>342</v>
      </c>
      <c r="F96" s="6" t="str">
        <f t="shared" si="2"/>
        <v>5小时42分钟</v>
      </c>
      <c r="G96" s="7" t="s">
        <v>235</v>
      </c>
      <c r="H96" s="4" t="s">
        <v>24</v>
      </c>
      <c r="I96" s="4" t="s">
        <v>24</v>
      </c>
      <c r="J96" s="4"/>
      <c r="K96" s="4" t="s">
        <v>236</v>
      </c>
      <c r="L96" s="4"/>
    </row>
    <row r="97" ht="89.25" spans="1:12">
      <c r="A97" s="3" t="s">
        <v>237</v>
      </c>
      <c r="B97" s="4" t="s">
        <v>178</v>
      </c>
      <c r="C97" s="4"/>
      <c r="D97" s="5">
        <v>3</v>
      </c>
      <c r="E97" s="5">
        <f t="shared" si="3"/>
        <v>345</v>
      </c>
      <c r="F97" s="6" t="str">
        <f t="shared" si="2"/>
        <v>5小时45分钟</v>
      </c>
      <c r="G97" s="7" t="s">
        <v>179</v>
      </c>
      <c r="H97" s="4"/>
      <c r="I97" s="4" t="s">
        <v>14</v>
      </c>
      <c r="J97" s="4"/>
      <c r="K97" s="4"/>
      <c r="L97" s="4"/>
    </row>
    <row r="98" ht="102" spans="1:12">
      <c r="A98" s="3" t="s">
        <v>238</v>
      </c>
      <c r="B98" s="4" t="s">
        <v>195</v>
      </c>
      <c r="C98" s="4"/>
      <c r="D98" s="5">
        <v>2</v>
      </c>
      <c r="E98" s="5">
        <f t="shared" si="3"/>
        <v>347</v>
      </c>
      <c r="F98" s="6" t="str">
        <f t="shared" si="2"/>
        <v>5小时47分钟</v>
      </c>
      <c r="G98" s="7" t="s">
        <v>196</v>
      </c>
      <c r="H98" s="4"/>
      <c r="I98" s="4" t="s">
        <v>14</v>
      </c>
      <c r="J98" s="4"/>
      <c r="K98" s="4"/>
      <c r="L98" s="4"/>
    </row>
    <row r="99" ht="76.5" spans="1:12">
      <c r="A99" s="3" t="s">
        <v>239</v>
      </c>
      <c r="B99" s="4" t="s">
        <v>187</v>
      </c>
      <c r="C99" s="4"/>
      <c r="D99" s="5">
        <v>2</v>
      </c>
      <c r="E99" s="5">
        <f t="shared" si="3"/>
        <v>349</v>
      </c>
      <c r="F99" s="6" t="str">
        <f t="shared" si="2"/>
        <v>5小时49分钟</v>
      </c>
      <c r="G99" s="7" t="s">
        <v>13</v>
      </c>
      <c r="H99" s="4"/>
      <c r="I99" s="4" t="s">
        <v>14</v>
      </c>
      <c r="J99" s="4"/>
      <c r="K99" s="4"/>
      <c r="L99" s="4"/>
    </row>
    <row r="100" ht="25.5" spans="1:12">
      <c r="A100" s="3" t="s">
        <v>240</v>
      </c>
      <c r="B100" s="4" t="s">
        <v>181</v>
      </c>
      <c r="C100" s="4" t="s">
        <v>18</v>
      </c>
      <c r="D100" s="5">
        <v>7</v>
      </c>
      <c r="E100" s="5">
        <f t="shared" si="3"/>
        <v>356</v>
      </c>
      <c r="F100" s="6" t="str">
        <f t="shared" si="2"/>
        <v>5小时56分钟</v>
      </c>
      <c r="G100" s="7" t="s">
        <v>19</v>
      </c>
      <c r="H100" s="4" t="s">
        <v>20</v>
      </c>
      <c r="I100" s="4" t="s">
        <v>20</v>
      </c>
      <c r="J100" s="4"/>
      <c r="K100" s="4"/>
      <c r="L100" s="4"/>
    </row>
    <row r="101" ht="76.5" spans="1:12">
      <c r="A101" s="3" t="s">
        <v>241</v>
      </c>
      <c r="B101" s="4" t="s">
        <v>187</v>
      </c>
      <c r="C101" s="4"/>
      <c r="D101" s="5">
        <v>2</v>
      </c>
      <c r="E101" s="5">
        <f t="shared" si="3"/>
        <v>358</v>
      </c>
      <c r="F101" s="6" t="str">
        <f t="shared" si="2"/>
        <v>5小时58分钟</v>
      </c>
      <c r="G101" s="7" t="s">
        <v>13</v>
      </c>
      <c r="H101" s="4"/>
      <c r="I101" s="4" t="s">
        <v>14</v>
      </c>
      <c r="J101" s="4"/>
      <c r="K101" s="4"/>
      <c r="L101" s="4"/>
    </row>
    <row r="102" ht="25.5" spans="1:12">
      <c r="A102" s="3" t="s">
        <v>242</v>
      </c>
      <c r="B102" s="4" t="s">
        <v>212</v>
      </c>
      <c r="C102" s="4" t="s">
        <v>18</v>
      </c>
      <c r="D102" s="5">
        <v>2</v>
      </c>
      <c r="E102" s="5">
        <f t="shared" si="3"/>
        <v>360</v>
      </c>
      <c r="F102" s="6" t="str">
        <f t="shared" si="2"/>
        <v>6小时0分钟</v>
      </c>
      <c r="G102" s="7" t="s">
        <v>54</v>
      </c>
      <c r="H102" s="4" t="s">
        <v>20</v>
      </c>
      <c r="I102" s="4" t="s">
        <v>20</v>
      </c>
      <c r="J102" s="4"/>
      <c r="K102" s="4"/>
      <c r="L102" s="4"/>
    </row>
    <row r="103" ht="102" spans="1:12">
      <c r="A103" s="3" t="s">
        <v>243</v>
      </c>
      <c r="B103" s="4" t="s">
        <v>189</v>
      </c>
      <c r="C103" s="4"/>
      <c r="D103" s="5">
        <v>3</v>
      </c>
      <c r="E103" s="5">
        <f t="shared" si="3"/>
        <v>363</v>
      </c>
      <c r="F103" s="6" t="str">
        <f t="shared" si="2"/>
        <v>6小时3分钟</v>
      </c>
      <c r="G103" s="7" t="s">
        <v>190</v>
      </c>
      <c r="H103" s="4"/>
      <c r="I103" s="4" t="s">
        <v>14</v>
      </c>
      <c r="J103" s="4"/>
      <c r="K103" s="4"/>
      <c r="L103" s="4"/>
    </row>
    <row r="104" ht="102" spans="1:12">
      <c r="A104" s="3" t="s">
        <v>244</v>
      </c>
      <c r="B104" s="4" t="s">
        <v>245</v>
      </c>
      <c r="C104" s="4"/>
      <c r="D104" s="5">
        <v>2</v>
      </c>
      <c r="E104" s="5">
        <f t="shared" si="3"/>
        <v>365</v>
      </c>
      <c r="F104" s="6" t="str">
        <f t="shared" si="2"/>
        <v>6小时5分钟</v>
      </c>
      <c r="G104" s="7" t="s">
        <v>246</v>
      </c>
      <c r="H104" s="4" t="s">
        <v>24</v>
      </c>
      <c r="I104" s="4" t="s">
        <v>24</v>
      </c>
      <c r="J104" s="4"/>
      <c r="K104" s="4" t="s">
        <v>247</v>
      </c>
      <c r="L104" s="4"/>
    </row>
    <row r="105" ht="89.25" spans="1:12">
      <c r="A105" s="3" t="s">
        <v>248</v>
      </c>
      <c r="B105" s="4" t="s">
        <v>178</v>
      </c>
      <c r="C105" s="4"/>
      <c r="D105" s="5">
        <v>3</v>
      </c>
      <c r="E105" s="5">
        <f t="shared" si="3"/>
        <v>368</v>
      </c>
      <c r="F105" s="6" t="str">
        <f t="shared" si="2"/>
        <v>6小时8分钟</v>
      </c>
      <c r="G105" s="7" t="s">
        <v>179</v>
      </c>
      <c r="H105" s="4"/>
      <c r="I105" s="4" t="s">
        <v>14</v>
      </c>
      <c r="J105" s="4"/>
      <c r="K105" s="4"/>
      <c r="L105" s="4"/>
    </row>
    <row r="106" ht="89.25" spans="1:12">
      <c r="A106" s="3" t="s">
        <v>249</v>
      </c>
      <c r="B106" s="4" t="s">
        <v>250</v>
      </c>
      <c r="C106" s="4"/>
      <c r="D106" s="5">
        <v>3</v>
      </c>
      <c r="E106" s="5">
        <f t="shared" si="3"/>
        <v>371</v>
      </c>
      <c r="F106" s="6" t="str">
        <f t="shared" si="2"/>
        <v>6小时11分钟</v>
      </c>
      <c r="G106" s="7" t="s">
        <v>251</v>
      </c>
      <c r="H106" s="4" t="s">
        <v>24</v>
      </c>
      <c r="I106" s="4" t="s">
        <v>24</v>
      </c>
      <c r="J106" s="4"/>
      <c r="K106" s="4" t="s">
        <v>252</v>
      </c>
      <c r="L106" s="4"/>
    </row>
    <row r="107" ht="76.5" spans="1:12">
      <c r="A107" s="3" t="s">
        <v>253</v>
      </c>
      <c r="B107" s="4" t="s">
        <v>254</v>
      </c>
      <c r="C107" s="4"/>
      <c r="D107" s="5">
        <v>1</v>
      </c>
      <c r="E107" s="5">
        <f t="shared" si="3"/>
        <v>372</v>
      </c>
      <c r="F107" s="6" t="str">
        <f t="shared" si="2"/>
        <v>6小时12分钟</v>
      </c>
      <c r="G107" s="7" t="s">
        <v>255</v>
      </c>
      <c r="H107" s="4" t="s">
        <v>24</v>
      </c>
      <c r="I107" s="4" t="s">
        <v>24</v>
      </c>
      <c r="J107" s="4"/>
      <c r="K107" s="4" t="s">
        <v>256</v>
      </c>
      <c r="L107" s="4"/>
    </row>
    <row r="108" ht="25.5" spans="1:12">
      <c r="A108" s="3" t="s">
        <v>257</v>
      </c>
      <c r="B108" s="4" t="s">
        <v>181</v>
      </c>
      <c r="C108" s="4" t="s">
        <v>18</v>
      </c>
      <c r="D108" s="5">
        <v>7</v>
      </c>
      <c r="E108" s="5">
        <f t="shared" si="3"/>
        <v>379</v>
      </c>
      <c r="F108" s="6" t="str">
        <f t="shared" si="2"/>
        <v>6小时19分钟</v>
      </c>
      <c r="G108" s="7" t="s">
        <v>19</v>
      </c>
      <c r="H108" s="4"/>
      <c r="I108" s="4" t="s">
        <v>20</v>
      </c>
      <c r="J108" s="4"/>
      <c r="K108" s="4"/>
      <c r="L108" s="4"/>
    </row>
    <row r="109" ht="114.75" spans="1:12">
      <c r="A109" s="3" t="s">
        <v>258</v>
      </c>
      <c r="B109" s="4" t="s">
        <v>259</v>
      </c>
      <c r="C109" s="4"/>
      <c r="D109" s="5">
        <v>2</v>
      </c>
      <c r="E109" s="5">
        <f t="shared" si="3"/>
        <v>381</v>
      </c>
      <c r="F109" s="6" t="str">
        <f t="shared" si="2"/>
        <v>6小时21分钟</v>
      </c>
      <c r="G109" s="7" t="s">
        <v>260</v>
      </c>
      <c r="H109" s="4" t="s">
        <v>24</v>
      </c>
      <c r="I109" s="4" t="s">
        <v>24</v>
      </c>
      <c r="J109" s="4"/>
      <c r="K109" s="15" t="s">
        <v>261</v>
      </c>
      <c r="L109" s="4"/>
    </row>
    <row r="110" ht="25.5" spans="1:12">
      <c r="A110" s="3" t="s">
        <v>262</v>
      </c>
      <c r="B110" s="4" t="s">
        <v>212</v>
      </c>
      <c r="C110" s="4" t="s">
        <v>18</v>
      </c>
      <c r="D110" s="5">
        <v>2</v>
      </c>
      <c r="E110" s="5">
        <f t="shared" si="3"/>
        <v>383</v>
      </c>
      <c r="F110" s="6" t="str">
        <f t="shared" si="2"/>
        <v>6小时23分钟</v>
      </c>
      <c r="G110" s="7" t="s">
        <v>54</v>
      </c>
      <c r="H110" s="4"/>
      <c r="I110" s="4" t="s">
        <v>20</v>
      </c>
      <c r="J110" s="4"/>
      <c r="K110" s="4"/>
      <c r="L110" s="4"/>
    </row>
    <row r="111" ht="89.25" spans="1:12">
      <c r="A111" s="3" t="s">
        <v>263</v>
      </c>
      <c r="B111" s="4" t="s">
        <v>264</v>
      </c>
      <c r="C111" s="4"/>
      <c r="D111" s="5">
        <v>3</v>
      </c>
      <c r="E111" s="5">
        <f t="shared" si="3"/>
        <v>386</v>
      </c>
      <c r="F111" s="6" t="str">
        <f t="shared" si="2"/>
        <v>6小时26分钟</v>
      </c>
      <c r="G111" s="7" t="s">
        <v>265</v>
      </c>
      <c r="H111" s="4"/>
      <c r="I111" s="4"/>
      <c r="J111" s="4"/>
      <c r="K111" s="4"/>
      <c r="L111" s="4"/>
    </row>
    <row r="112" ht="89.25" spans="1:12">
      <c r="A112" s="3" t="s">
        <v>266</v>
      </c>
      <c r="B112" s="4" t="s">
        <v>178</v>
      </c>
      <c r="C112" s="4"/>
      <c r="D112" s="5">
        <v>3</v>
      </c>
      <c r="E112" s="5">
        <f t="shared" si="3"/>
        <v>389</v>
      </c>
      <c r="F112" s="6" t="str">
        <f t="shared" si="2"/>
        <v>6小时29分钟</v>
      </c>
      <c r="G112" s="7" t="s">
        <v>179</v>
      </c>
      <c r="H112" s="4"/>
      <c r="I112" s="4" t="s">
        <v>14</v>
      </c>
      <c r="J112" s="4"/>
      <c r="K112" s="4"/>
      <c r="L112" s="4"/>
    </row>
    <row r="113" ht="102" spans="1:12">
      <c r="A113" s="3" t="s">
        <v>267</v>
      </c>
      <c r="B113" s="4" t="s">
        <v>208</v>
      </c>
      <c r="C113" s="4"/>
      <c r="D113" s="5">
        <v>3</v>
      </c>
      <c r="E113" s="5">
        <f t="shared" si="3"/>
        <v>392</v>
      </c>
      <c r="F113" s="6" t="str">
        <f t="shared" si="2"/>
        <v>6小时32分钟</v>
      </c>
      <c r="G113" s="7" t="s">
        <v>209</v>
      </c>
      <c r="H113" s="4"/>
      <c r="I113" s="4" t="s">
        <v>14</v>
      </c>
      <c r="J113" s="4"/>
      <c r="K113" s="4"/>
      <c r="L113" s="4"/>
    </row>
    <row r="114" ht="76.5" spans="1:12">
      <c r="A114" s="3" t="s">
        <v>268</v>
      </c>
      <c r="B114" s="4" t="s">
        <v>187</v>
      </c>
      <c r="C114" s="4"/>
      <c r="D114" s="5">
        <v>2</v>
      </c>
      <c r="E114" s="5">
        <f t="shared" si="3"/>
        <v>394</v>
      </c>
      <c r="F114" s="6" t="str">
        <f t="shared" si="2"/>
        <v>6小时34分钟</v>
      </c>
      <c r="G114" s="7" t="s">
        <v>13</v>
      </c>
      <c r="H114" s="4"/>
      <c r="I114" s="4" t="s">
        <v>14</v>
      </c>
      <c r="J114" s="4"/>
      <c r="K114" s="4"/>
      <c r="L114" s="4"/>
    </row>
    <row r="115" ht="25.5" spans="1:12">
      <c r="A115" s="3" t="s">
        <v>269</v>
      </c>
      <c r="B115" s="4" t="s">
        <v>181</v>
      </c>
      <c r="C115" s="4" t="s">
        <v>18</v>
      </c>
      <c r="D115" s="5">
        <v>7</v>
      </c>
      <c r="E115" s="5">
        <f t="shared" si="3"/>
        <v>401</v>
      </c>
      <c r="F115" s="6" t="str">
        <f t="shared" si="2"/>
        <v>6小时41分钟</v>
      </c>
      <c r="G115" s="7" t="s">
        <v>19</v>
      </c>
      <c r="H115" s="4"/>
      <c r="I115" s="4" t="s">
        <v>20</v>
      </c>
      <c r="J115" s="4"/>
      <c r="K115" s="4"/>
      <c r="L115" s="4"/>
    </row>
    <row r="116" ht="102" spans="1:12">
      <c r="A116" s="3" t="s">
        <v>270</v>
      </c>
      <c r="B116" s="4" t="s">
        <v>195</v>
      </c>
      <c r="C116" s="4"/>
      <c r="D116" s="5">
        <v>2</v>
      </c>
      <c r="E116" s="5">
        <f t="shared" si="3"/>
        <v>403</v>
      </c>
      <c r="F116" s="6" t="str">
        <f t="shared" si="2"/>
        <v>6小时43分钟</v>
      </c>
      <c r="G116" s="7" t="s">
        <v>196</v>
      </c>
      <c r="H116" s="4"/>
      <c r="I116" s="4" t="s">
        <v>14</v>
      </c>
      <c r="J116" s="4"/>
      <c r="K116" s="4"/>
      <c r="L116" s="4"/>
    </row>
    <row r="117" ht="25.5" spans="1:12">
      <c r="A117" s="3" t="s">
        <v>271</v>
      </c>
      <c r="B117" s="4" t="s">
        <v>212</v>
      </c>
      <c r="C117" s="4" t="s">
        <v>18</v>
      </c>
      <c r="D117" s="5">
        <v>2</v>
      </c>
      <c r="E117" s="5">
        <f t="shared" si="3"/>
        <v>405</v>
      </c>
      <c r="F117" s="6" t="str">
        <f t="shared" si="2"/>
        <v>6小时45分钟</v>
      </c>
      <c r="G117" s="7" t="s">
        <v>54</v>
      </c>
      <c r="H117" s="4"/>
      <c r="I117" s="4" t="s">
        <v>20</v>
      </c>
      <c r="J117" s="4"/>
      <c r="K117" s="4"/>
      <c r="L117" s="4"/>
    </row>
    <row r="118" ht="89.25" spans="1:12">
      <c r="A118" s="3" t="s">
        <v>272</v>
      </c>
      <c r="B118" s="4" t="s">
        <v>214</v>
      </c>
      <c r="C118" s="4"/>
      <c r="D118" s="5">
        <v>2</v>
      </c>
      <c r="E118" s="5">
        <f t="shared" si="3"/>
        <v>407</v>
      </c>
      <c r="F118" s="6" t="str">
        <f t="shared" si="2"/>
        <v>6小时47分钟</v>
      </c>
      <c r="G118" s="7" t="s">
        <v>215</v>
      </c>
      <c r="H118" s="4"/>
      <c r="I118" s="4" t="s">
        <v>14</v>
      </c>
      <c r="J118" s="4"/>
      <c r="K118" s="4"/>
      <c r="L118" s="4"/>
    </row>
    <row r="119" ht="96" customHeight="1" spans="1:12">
      <c r="A119" s="3" t="s">
        <v>273</v>
      </c>
      <c r="B119" s="4" t="s">
        <v>187</v>
      </c>
      <c r="C119" s="4"/>
      <c r="D119" s="5">
        <v>2</v>
      </c>
      <c r="E119" s="5">
        <f t="shared" si="3"/>
        <v>409</v>
      </c>
      <c r="F119" s="6" t="str">
        <f t="shared" si="2"/>
        <v>6小时49分钟</v>
      </c>
      <c r="G119" s="7" t="s">
        <v>13</v>
      </c>
      <c r="H119" s="4"/>
      <c r="I119" s="4" t="s">
        <v>14</v>
      </c>
      <c r="J119" s="4"/>
      <c r="K119" s="4"/>
      <c r="L119" s="4"/>
    </row>
    <row r="120" ht="89.25" spans="1:12">
      <c r="A120" s="3" t="s">
        <v>274</v>
      </c>
      <c r="B120" s="4" t="s">
        <v>214</v>
      </c>
      <c r="C120" s="4"/>
      <c r="D120" s="5">
        <v>2</v>
      </c>
      <c r="E120" s="5">
        <f t="shared" si="3"/>
        <v>411</v>
      </c>
      <c r="F120" s="6" t="str">
        <f t="shared" si="2"/>
        <v>6小时51分钟</v>
      </c>
      <c r="G120" s="7" t="s">
        <v>215</v>
      </c>
      <c r="H120" s="4"/>
      <c r="I120" s="4" t="s">
        <v>14</v>
      </c>
      <c r="J120" s="4"/>
      <c r="K120" s="4"/>
      <c r="L120" s="4"/>
    </row>
    <row r="121" ht="25.5" spans="1:12">
      <c r="A121" s="3" t="s">
        <v>275</v>
      </c>
      <c r="B121" s="4" t="s">
        <v>212</v>
      </c>
      <c r="C121" s="4" t="s">
        <v>18</v>
      </c>
      <c r="D121" s="5">
        <v>2</v>
      </c>
      <c r="E121" s="5">
        <f t="shared" si="3"/>
        <v>413</v>
      </c>
      <c r="F121" s="6" t="str">
        <f t="shared" si="2"/>
        <v>6小时53分钟</v>
      </c>
      <c r="G121" s="7" t="s">
        <v>54</v>
      </c>
      <c r="H121" s="4"/>
      <c r="I121" s="4" t="s">
        <v>20</v>
      </c>
      <c r="J121" s="4"/>
      <c r="K121" s="4"/>
      <c r="L121" s="4"/>
    </row>
    <row r="122" ht="89.25" spans="1:12">
      <c r="A122" s="3" t="s">
        <v>276</v>
      </c>
      <c r="B122" s="4" t="s">
        <v>199</v>
      </c>
      <c r="C122" s="4"/>
      <c r="D122" s="5">
        <v>2</v>
      </c>
      <c r="E122" s="5">
        <f t="shared" si="3"/>
        <v>415</v>
      </c>
      <c r="F122" s="6" t="str">
        <f t="shared" si="2"/>
        <v>6小时55分钟</v>
      </c>
      <c r="G122" s="7" t="s">
        <v>200</v>
      </c>
      <c r="H122" s="4"/>
      <c r="I122" s="4" t="s">
        <v>14</v>
      </c>
      <c r="J122" s="4"/>
      <c r="K122" s="4"/>
      <c r="L122" s="4"/>
    </row>
    <row r="123" ht="114.75" spans="1:12">
      <c r="A123" s="3" t="s">
        <v>277</v>
      </c>
      <c r="B123" s="4" t="s">
        <v>278</v>
      </c>
      <c r="C123" s="4"/>
      <c r="D123" s="5">
        <v>2</v>
      </c>
      <c r="E123" s="5">
        <f t="shared" si="3"/>
        <v>417</v>
      </c>
      <c r="F123" s="6" t="str">
        <f t="shared" si="2"/>
        <v>6小时57分钟</v>
      </c>
      <c r="G123" s="7" t="s">
        <v>279</v>
      </c>
      <c r="H123" s="4" t="s">
        <v>24</v>
      </c>
      <c r="I123" s="4" t="s">
        <v>24</v>
      </c>
      <c r="J123" s="4"/>
      <c r="K123" s="4" t="s">
        <v>280</v>
      </c>
      <c r="L123" s="4"/>
    </row>
    <row r="124" ht="114.75" spans="1:12">
      <c r="A124" s="3" t="s">
        <v>281</v>
      </c>
      <c r="B124" s="4" t="s">
        <v>282</v>
      </c>
      <c r="C124" s="4"/>
      <c r="D124" s="5">
        <v>7</v>
      </c>
      <c r="E124" s="5">
        <f t="shared" si="3"/>
        <v>424</v>
      </c>
      <c r="F124" s="6" t="str">
        <f t="shared" si="2"/>
        <v>7小时4分钟</v>
      </c>
      <c r="G124" s="7" t="s">
        <v>169</v>
      </c>
      <c r="H124" s="4" t="s">
        <v>24</v>
      </c>
      <c r="I124" s="4" t="s">
        <v>24</v>
      </c>
      <c r="J124" s="4"/>
      <c r="K124" s="4" t="s">
        <v>283</v>
      </c>
      <c r="L124" s="4"/>
    </row>
    <row r="125" ht="89.25" spans="1:12">
      <c r="A125" s="3" t="s">
        <v>284</v>
      </c>
      <c r="B125" s="4" t="s">
        <v>285</v>
      </c>
      <c r="C125" s="4"/>
      <c r="D125" s="5">
        <v>3</v>
      </c>
      <c r="E125" s="5">
        <f t="shared" si="3"/>
        <v>427</v>
      </c>
      <c r="F125" s="6" t="str">
        <f t="shared" si="2"/>
        <v>7小时7分钟</v>
      </c>
      <c r="G125" s="7" t="s">
        <v>286</v>
      </c>
      <c r="H125" s="4" t="s">
        <v>24</v>
      </c>
      <c r="I125" s="4" t="s">
        <v>24</v>
      </c>
      <c r="J125" s="4"/>
      <c r="K125" s="4" t="s">
        <v>287</v>
      </c>
      <c r="L125" s="4"/>
    </row>
    <row r="126" ht="25.5" spans="1:12">
      <c r="A126" s="3" t="s">
        <v>288</v>
      </c>
      <c r="B126" s="4" t="s">
        <v>181</v>
      </c>
      <c r="C126" s="4" t="s">
        <v>18</v>
      </c>
      <c r="D126" s="5">
        <v>7</v>
      </c>
      <c r="E126" s="5">
        <f t="shared" si="3"/>
        <v>434</v>
      </c>
      <c r="F126" s="6" t="str">
        <f t="shared" si="2"/>
        <v>7小时14分钟</v>
      </c>
      <c r="G126" s="7" t="s">
        <v>19</v>
      </c>
      <c r="H126" s="4"/>
      <c r="I126" s="4" t="s">
        <v>20</v>
      </c>
      <c r="J126" s="4"/>
      <c r="K126" s="4"/>
      <c r="L126" s="4"/>
    </row>
    <row r="127" ht="89.25" spans="1:12">
      <c r="A127" s="3" t="s">
        <v>289</v>
      </c>
      <c r="B127" s="4" t="s">
        <v>250</v>
      </c>
      <c r="C127" s="4"/>
      <c r="D127" s="5">
        <v>3</v>
      </c>
      <c r="E127" s="5">
        <f t="shared" si="3"/>
        <v>437</v>
      </c>
      <c r="F127" s="6" t="str">
        <f t="shared" si="2"/>
        <v>7小时17分钟</v>
      </c>
      <c r="G127" s="7" t="s">
        <v>251</v>
      </c>
      <c r="H127" s="4"/>
      <c r="I127" s="4" t="s">
        <v>14</v>
      </c>
      <c r="J127" s="4"/>
      <c r="K127" s="4" t="s">
        <v>252</v>
      </c>
      <c r="L127" s="4"/>
    </row>
    <row r="128" ht="25.5" spans="1:12">
      <c r="A128" s="3" t="s">
        <v>290</v>
      </c>
      <c r="B128" s="4" t="s">
        <v>212</v>
      </c>
      <c r="C128" s="4" t="s">
        <v>18</v>
      </c>
      <c r="D128" s="5">
        <v>2</v>
      </c>
      <c r="E128" s="5">
        <f t="shared" si="3"/>
        <v>439</v>
      </c>
      <c r="F128" s="6" t="str">
        <f t="shared" si="2"/>
        <v>7小时19分钟</v>
      </c>
      <c r="G128" s="7" t="s">
        <v>54</v>
      </c>
      <c r="H128" s="4"/>
      <c r="I128" s="4" t="s">
        <v>20</v>
      </c>
      <c r="J128" s="4"/>
      <c r="K128" s="4"/>
      <c r="L128" s="4"/>
    </row>
    <row r="129" ht="89.25" spans="1:12">
      <c r="A129" s="3" t="s">
        <v>291</v>
      </c>
      <c r="B129" s="4" t="s">
        <v>178</v>
      </c>
      <c r="C129" s="4"/>
      <c r="D129" s="5">
        <v>3</v>
      </c>
      <c r="E129" s="5">
        <f t="shared" si="3"/>
        <v>442</v>
      </c>
      <c r="F129" s="6" t="str">
        <f t="shared" si="2"/>
        <v>7小时22分钟</v>
      </c>
      <c r="G129" s="7" t="s">
        <v>179</v>
      </c>
      <c r="H129" s="4"/>
      <c r="I129" s="4" t="s">
        <v>14</v>
      </c>
      <c r="J129" s="4"/>
      <c r="K129" s="4"/>
      <c r="L129" s="4"/>
    </row>
    <row r="130" ht="102" spans="1:12">
      <c r="A130" s="3" t="s">
        <v>292</v>
      </c>
      <c r="B130" s="4" t="s">
        <v>293</v>
      </c>
      <c r="C130" s="4"/>
      <c r="D130" s="5">
        <v>2</v>
      </c>
      <c r="E130" s="5">
        <f t="shared" si="3"/>
        <v>444</v>
      </c>
      <c r="F130" s="6" t="str">
        <f t="shared" ref="F130:F139" si="4">INT(E130/60)&amp;"小时"&amp;MOD(E130,60)&amp;"分钟"</f>
        <v>7小时24分钟</v>
      </c>
      <c r="G130" s="7" t="s">
        <v>294</v>
      </c>
      <c r="H130" s="4" t="s">
        <v>24</v>
      </c>
      <c r="I130" s="4" t="s">
        <v>24</v>
      </c>
      <c r="J130" s="4"/>
      <c r="K130" s="4" t="s">
        <v>295</v>
      </c>
      <c r="L130" s="4"/>
    </row>
    <row r="131" ht="89.25" spans="1:12">
      <c r="A131" s="3" t="s">
        <v>296</v>
      </c>
      <c r="B131" s="4" t="s">
        <v>297</v>
      </c>
      <c r="C131" s="4"/>
      <c r="D131" s="5">
        <v>3</v>
      </c>
      <c r="E131" s="5">
        <f t="shared" ref="E131:E139" si="5">E130+D131</f>
        <v>447</v>
      </c>
      <c r="F131" s="6" t="str">
        <f t="shared" si="4"/>
        <v>7小时27分钟</v>
      </c>
      <c r="G131" s="7" t="s">
        <v>298</v>
      </c>
      <c r="H131" s="4"/>
      <c r="I131" s="4" t="s">
        <v>14</v>
      </c>
      <c r="J131" s="4"/>
      <c r="K131" s="4"/>
      <c r="L131" s="4"/>
    </row>
    <row r="132" ht="102" spans="1:12">
      <c r="A132" s="3" t="s">
        <v>299</v>
      </c>
      <c r="B132" s="4" t="s">
        <v>300</v>
      </c>
      <c r="C132" s="4"/>
      <c r="D132" s="5">
        <v>7</v>
      </c>
      <c r="E132" s="5">
        <f t="shared" si="5"/>
        <v>454</v>
      </c>
      <c r="F132" s="6" t="str">
        <f t="shared" si="4"/>
        <v>7小时34分钟</v>
      </c>
      <c r="G132" s="7" t="s">
        <v>46</v>
      </c>
      <c r="H132" s="4" t="s">
        <v>14</v>
      </c>
      <c r="I132" s="4" t="s">
        <v>14</v>
      </c>
      <c r="J132" s="4"/>
      <c r="K132" s="4"/>
      <c r="L132" s="4"/>
    </row>
    <row r="133" ht="89.25" spans="1:12">
      <c r="A133" s="3" t="s">
        <v>301</v>
      </c>
      <c r="B133" s="4" t="s">
        <v>178</v>
      </c>
      <c r="C133" s="4"/>
      <c r="D133" s="5">
        <v>3</v>
      </c>
      <c r="E133" s="5">
        <f t="shared" si="5"/>
        <v>457</v>
      </c>
      <c r="F133" s="6" t="str">
        <f t="shared" si="4"/>
        <v>7小时37分钟</v>
      </c>
      <c r="G133" s="7" t="s">
        <v>179</v>
      </c>
      <c r="H133" s="4"/>
      <c r="I133" s="4" t="s">
        <v>14</v>
      </c>
      <c r="J133" s="4"/>
      <c r="K133" s="4"/>
      <c r="L133" s="4"/>
    </row>
    <row r="134" ht="97.5" spans="1:12">
      <c r="A134" s="3" t="s">
        <v>302</v>
      </c>
      <c r="B134" s="4" t="s">
        <v>303</v>
      </c>
      <c r="C134" s="4"/>
      <c r="D134" s="5">
        <v>2</v>
      </c>
      <c r="E134" s="5">
        <f t="shared" si="5"/>
        <v>459</v>
      </c>
      <c r="F134" s="6" t="str">
        <f t="shared" si="4"/>
        <v>7小时39分钟</v>
      </c>
      <c r="G134" s="7" t="s">
        <v>105</v>
      </c>
      <c r="H134" s="4" t="s">
        <v>24</v>
      </c>
      <c r="I134" s="4" t="s">
        <v>24</v>
      </c>
      <c r="J134" s="4"/>
      <c r="K134" s="4" t="s">
        <v>304</v>
      </c>
      <c r="L134" s="4"/>
    </row>
    <row r="135" ht="25.5" spans="1:12">
      <c r="A135" s="3" t="s">
        <v>305</v>
      </c>
      <c r="B135" s="4" t="s">
        <v>181</v>
      </c>
      <c r="C135" s="4" t="s">
        <v>18</v>
      </c>
      <c r="D135" s="5">
        <v>7</v>
      </c>
      <c r="E135" s="5">
        <f t="shared" si="5"/>
        <v>466</v>
      </c>
      <c r="F135" s="6" t="str">
        <f t="shared" si="4"/>
        <v>7小时46分钟</v>
      </c>
      <c r="G135" s="7" t="s">
        <v>19</v>
      </c>
      <c r="H135" s="4"/>
      <c r="I135" s="4" t="s">
        <v>20</v>
      </c>
      <c r="J135" s="4"/>
      <c r="K135" s="4"/>
      <c r="L135" s="4"/>
    </row>
    <row r="136" ht="102" spans="1:12">
      <c r="A136" s="3" t="s">
        <v>306</v>
      </c>
      <c r="B136" s="4" t="s">
        <v>307</v>
      </c>
      <c r="C136" s="4"/>
      <c r="D136" s="5">
        <v>3</v>
      </c>
      <c r="E136" s="5">
        <f t="shared" si="5"/>
        <v>469</v>
      </c>
      <c r="F136" s="6" t="str">
        <f t="shared" si="4"/>
        <v>7小时49分钟</v>
      </c>
      <c r="G136" s="7" t="s">
        <v>308</v>
      </c>
      <c r="H136" s="4" t="s">
        <v>24</v>
      </c>
      <c r="I136" s="4" t="s">
        <v>24</v>
      </c>
      <c r="J136" s="4"/>
      <c r="K136" s="9" t="s">
        <v>309</v>
      </c>
      <c r="L136" s="4"/>
    </row>
    <row r="137" ht="25.5" spans="1:12">
      <c r="A137" s="3" t="s">
        <v>310</v>
      </c>
      <c r="B137" s="4" t="s">
        <v>212</v>
      </c>
      <c r="C137" s="4" t="s">
        <v>18</v>
      </c>
      <c r="D137" s="5">
        <v>2</v>
      </c>
      <c r="E137" s="5">
        <f t="shared" si="5"/>
        <v>471</v>
      </c>
      <c r="F137" s="6" t="str">
        <f t="shared" si="4"/>
        <v>7小时51分钟</v>
      </c>
      <c r="G137" s="7" t="s">
        <v>54</v>
      </c>
      <c r="H137" s="4"/>
      <c r="I137" s="4" t="s">
        <v>20</v>
      </c>
      <c r="J137" s="4"/>
      <c r="K137" s="4"/>
      <c r="L137" s="4"/>
    </row>
    <row r="138" ht="102" spans="1:12">
      <c r="A138" s="3" t="s">
        <v>311</v>
      </c>
      <c r="B138" s="4" t="s">
        <v>208</v>
      </c>
      <c r="C138" s="4"/>
      <c r="D138" s="5">
        <v>3</v>
      </c>
      <c r="E138" s="5">
        <f t="shared" si="5"/>
        <v>474</v>
      </c>
      <c r="F138" s="6" t="str">
        <f t="shared" si="4"/>
        <v>7小时54分钟</v>
      </c>
      <c r="G138" s="7" t="s">
        <v>209</v>
      </c>
      <c r="H138" s="4"/>
      <c r="I138" s="4" t="s">
        <v>14</v>
      </c>
      <c r="J138" s="4"/>
      <c r="K138" s="4"/>
      <c r="L138" s="4"/>
    </row>
    <row r="139" ht="25.5" spans="1:12">
      <c r="A139" s="3" t="s">
        <v>312</v>
      </c>
      <c r="B139" s="4" t="s">
        <v>313</v>
      </c>
      <c r="C139" s="4" t="s">
        <v>18</v>
      </c>
      <c r="D139" s="5">
        <v>210</v>
      </c>
      <c r="E139" s="5">
        <f t="shared" si="5"/>
        <v>684</v>
      </c>
      <c r="F139" s="6" t="str">
        <f t="shared" si="4"/>
        <v>11小时24分钟</v>
      </c>
      <c r="G139" s="7" t="s">
        <v>314</v>
      </c>
      <c r="H139" s="4"/>
      <c r="I139" s="4" t="s">
        <v>20</v>
      </c>
      <c r="J139" s="4"/>
      <c r="K139" s="4"/>
      <c r="L139" s="4"/>
    </row>
    <row r="140" spans="4:7">
      <c r="D140" s="17"/>
      <c r="E140" s="17"/>
      <c r="F140" s="18"/>
      <c r="G140" s="19"/>
    </row>
    <row r="141" spans="4:7">
      <c r="D141" s="17"/>
      <c r="E141" s="17"/>
      <c r="F141" s="19"/>
      <c r="G141" s="19"/>
    </row>
    <row r="142" spans="4:7">
      <c r="D142" s="17"/>
      <c r="E142" s="17"/>
      <c r="F142" s="19"/>
      <c r="G142" s="19"/>
    </row>
    <row r="143" spans="4:7">
      <c r="D143" s="17"/>
      <c r="E143" s="17"/>
      <c r="F143" s="19"/>
      <c r="G143" s="19"/>
    </row>
    <row r="144" spans="4:7">
      <c r="D144" s="17"/>
      <c r="E144" s="17"/>
      <c r="F144" s="19"/>
      <c r="G144" s="19"/>
    </row>
    <row r="145" spans="4:7">
      <c r="D145" s="17"/>
      <c r="E145" s="17"/>
      <c r="F145" s="19"/>
      <c r="G145" s="19"/>
    </row>
    <row r="146" spans="4:7">
      <c r="D146" s="17"/>
      <c r="E146" s="17"/>
      <c r="F146" s="19"/>
      <c r="G146" s="19"/>
    </row>
    <row r="147" spans="4:7">
      <c r="D147" s="17"/>
      <c r="E147" s="17"/>
      <c r="F147" s="19"/>
      <c r="G147" s="19"/>
    </row>
    <row r="148" spans="4:7">
      <c r="D148" s="17"/>
      <c r="E148" s="17"/>
      <c r="F148" s="19"/>
      <c r="G148" s="19"/>
    </row>
    <row r="149" spans="4:7">
      <c r="D149" s="17"/>
      <c r="E149" s="17"/>
      <c r="F149" s="19"/>
      <c r="G149" s="19"/>
    </row>
    <row r="150" spans="4:7">
      <c r="D150" s="17"/>
      <c r="E150" s="17"/>
      <c r="F150" s="19"/>
      <c r="G150" s="19"/>
    </row>
    <row r="151" spans="4:7">
      <c r="D151" s="17"/>
      <c r="E151" s="17"/>
      <c r="F151" s="19"/>
      <c r="G151" s="19"/>
    </row>
    <row r="152" spans="4:7">
      <c r="D152" s="17"/>
      <c r="E152" s="17"/>
      <c r="F152" s="19"/>
      <c r="G152" s="19"/>
    </row>
    <row r="153" spans="4:7">
      <c r="D153" s="17"/>
      <c r="E153" s="17"/>
      <c r="F153" s="19"/>
      <c r="G153" s="19"/>
    </row>
    <row r="154" spans="4:7">
      <c r="D154" s="17"/>
      <c r="E154" s="17"/>
      <c r="F154" s="19"/>
      <c r="G154" s="19"/>
    </row>
    <row r="155" spans="4:7">
      <c r="D155" s="17"/>
      <c r="E155" s="17"/>
      <c r="F155" s="19"/>
      <c r="G155" s="19"/>
    </row>
    <row r="156" spans="4:7">
      <c r="D156" s="17"/>
      <c r="E156" s="17"/>
      <c r="F156" s="19"/>
      <c r="G156" s="19"/>
    </row>
    <row r="157" spans="4:7">
      <c r="D157" s="17"/>
      <c r="E157" s="17"/>
      <c r="F157" s="19"/>
      <c r="G157" s="19"/>
    </row>
    <row r="158" spans="4:7">
      <c r="D158" s="17"/>
      <c r="E158" s="17"/>
      <c r="F158" s="19"/>
      <c r="G158" s="19"/>
    </row>
    <row r="159" spans="4:7">
      <c r="D159" s="17"/>
      <c r="E159" s="17"/>
      <c r="F159" s="19"/>
      <c r="G159" s="19"/>
    </row>
    <row r="160" spans="4:7">
      <c r="D160" s="17"/>
      <c r="E160" s="17"/>
      <c r="F160" s="19"/>
      <c r="G160" s="19"/>
    </row>
    <row r="161" spans="4:7">
      <c r="D161" s="17"/>
      <c r="E161" s="17"/>
      <c r="F161" s="19"/>
      <c r="G161" s="19"/>
    </row>
    <row r="162" spans="4:7">
      <c r="D162" s="17"/>
      <c r="E162" s="17"/>
      <c r="F162" s="19"/>
      <c r="G162" s="19"/>
    </row>
    <row r="163" spans="4:7">
      <c r="D163" s="17"/>
      <c r="E163" s="17"/>
      <c r="F163" s="19"/>
      <c r="G163" s="19"/>
    </row>
    <row r="164" spans="4:7">
      <c r="D164" s="17"/>
      <c r="E164" s="17"/>
      <c r="F164" s="19"/>
      <c r="G164" s="19"/>
    </row>
    <row r="165" spans="4:7">
      <c r="D165" s="17"/>
      <c r="E165" s="17"/>
      <c r="F165" s="19"/>
      <c r="G165" s="19"/>
    </row>
    <row r="166" spans="4:7">
      <c r="D166" s="17"/>
      <c r="E166" s="17"/>
      <c r="F166" s="19"/>
      <c r="G166" s="19"/>
    </row>
    <row r="167" spans="4:7">
      <c r="D167" s="17"/>
      <c r="E167" s="17"/>
      <c r="F167" s="19"/>
      <c r="G167" s="19"/>
    </row>
    <row r="168" spans="4:7">
      <c r="D168" s="17"/>
      <c r="E168" s="17"/>
      <c r="F168" s="19"/>
      <c r="G168" s="19"/>
    </row>
    <row r="169" spans="4:7">
      <c r="D169" s="17"/>
      <c r="E169" s="17"/>
      <c r="F169" s="19"/>
      <c r="G169" s="19"/>
    </row>
    <row r="170" spans="4:7">
      <c r="D170" s="17"/>
      <c r="E170" s="17"/>
      <c r="F170" s="19"/>
      <c r="G170" s="19"/>
    </row>
    <row r="171" spans="4:7">
      <c r="D171" s="17"/>
      <c r="E171" s="17"/>
      <c r="F171" s="19"/>
      <c r="G171" s="19"/>
    </row>
    <row r="172" spans="4:7">
      <c r="D172" s="17"/>
      <c r="E172" s="17"/>
      <c r="F172" s="19"/>
      <c r="G172" s="19"/>
    </row>
    <row r="173" spans="4:7">
      <c r="D173" s="17"/>
      <c r="E173" s="17"/>
      <c r="F173" s="19"/>
      <c r="G173" s="19"/>
    </row>
    <row r="174" spans="4:7">
      <c r="D174" s="17"/>
      <c r="E174" s="17"/>
      <c r="F174" s="19"/>
      <c r="G174" s="19"/>
    </row>
    <row r="175" spans="4:7">
      <c r="D175" s="17"/>
      <c r="E175" s="17"/>
      <c r="F175" s="19"/>
      <c r="G175" s="19"/>
    </row>
    <row r="176" spans="4:7">
      <c r="D176" s="17"/>
      <c r="E176" s="17"/>
      <c r="F176" s="19"/>
      <c r="G176" s="19"/>
    </row>
    <row r="177" spans="4:7">
      <c r="D177" s="17"/>
      <c r="E177" s="17"/>
      <c r="F177" s="19"/>
      <c r="G177" s="19"/>
    </row>
    <row r="178" spans="4:7">
      <c r="D178" s="17"/>
      <c r="E178" s="17"/>
      <c r="F178" s="19"/>
      <c r="G178" s="19"/>
    </row>
    <row r="179" spans="4:7">
      <c r="D179" s="17"/>
      <c r="E179" s="17"/>
      <c r="F179" s="19"/>
      <c r="G179" s="19"/>
    </row>
    <row r="180" spans="4:7">
      <c r="D180" s="17"/>
      <c r="E180" s="17"/>
      <c r="F180" s="19"/>
      <c r="G180" s="19"/>
    </row>
    <row r="181" spans="4:7">
      <c r="D181" s="17"/>
      <c r="E181" s="17"/>
      <c r="F181" s="19"/>
      <c r="G181" s="19"/>
    </row>
    <row r="182" spans="4:7">
      <c r="D182" s="17"/>
      <c r="E182" s="17"/>
      <c r="F182" s="19"/>
      <c r="G182" s="19"/>
    </row>
    <row r="183" spans="4:7">
      <c r="D183" s="17"/>
      <c r="E183" s="17"/>
      <c r="F183" s="19"/>
      <c r="G183" s="19"/>
    </row>
    <row r="184" spans="4:7">
      <c r="D184" s="17"/>
      <c r="E184" s="17"/>
      <c r="F184" s="19"/>
      <c r="G184" s="19"/>
    </row>
    <row r="185" spans="4:7">
      <c r="D185" s="17"/>
      <c r="E185" s="17"/>
      <c r="F185" s="19"/>
      <c r="G185" s="19"/>
    </row>
    <row r="186" spans="4:7">
      <c r="D186" s="17"/>
      <c r="E186" s="17"/>
      <c r="F186" s="19"/>
      <c r="G186" s="19"/>
    </row>
    <row r="187" spans="4:7">
      <c r="D187" s="17"/>
      <c r="E187" s="17"/>
      <c r="F187" s="19"/>
      <c r="G187" s="19"/>
    </row>
    <row r="188" spans="4:7">
      <c r="D188" s="17"/>
      <c r="E188" s="17"/>
      <c r="F188" s="19"/>
      <c r="G188" s="19"/>
    </row>
    <row r="189" spans="4:7">
      <c r="D189" s="17"/>
      <c r="E189" s="17"/>
      <c r="F189" s="19"/>
      <c r="G189" s="19"/>
    </row>
    <row r="190" spans="4:7">
      <c r="D190" s="17"/>
      <c r="E190" s="17"/>
      <c r="F190" s="19"/>
      <c r="G190" s="19"/>
    </row>
    <row r="191" spans="4:7">
      <c r="D191" s="17"/>
      <c r="E191" s="17"/>
      <c r="F191" s="19"/>
      <c r="G191" s="19"/>
    </row>
    <row r="192" spans="4:7">
      <c r="D192" s="17"/>
      <c r="E192" s="17"/>
      <c r="F192" s="19"/>
      <c r="G192" s="19"/>
    </row>
    <row r="193" spans="4:7">
      <c r="D193" s="17"/>
      <c r="E193" s="17"/>
      <c r="F193" s="19"/>
      <c r="G193" s="19"/>
    </row>
    <row r="194" spans="4:7">
      <c r="D194" s="17"/>
      <c r="E194" s="17"/>
      <c r="F194" s="19"/>
      <c r="G194" s="19"/>
    </row>
    <row r="195" spans="4:7">
      <c r="D195" s="17"/>
      <c r="E195" s="17"/>
      <c r="F195" s="19"/>
      <c r="G195" s="19"/>
    </row>
  </sheetData>
  <hyperlinks>
    <hyperlink ref="G134" r:id="rId1" display="1.若当前处于灭屏状态，按POWER点亮屏幕，滑动解锁进入主界面，下拉状态打开WIFI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  <hyperlink ref="K24" r:id="rId2" display="点击Youtube后直接跳转到APP，无法在chrome网页播放小窗。改为搜索www.youtube.com dou3_chrome_youtube_play&#10;&#10;解决方案：修改测试步骤"/>
    <hyperlink ref="G39" r:id="rId1" display="1.若当前处于灭屏状态，按POWER点亮屏幕，滑动解锁进入主界面，下拉状态打开WIFI（约5秒）&#10;2.手机桌面主界面1秒一滑左右滑动2次后，点击Chrome应用图标，打开Chrome，待Chrome应用完全加载完成后。（约10秒）&#10;3.Chrome界面点击搜索栏，输入www.baidu.com，并进入百度主页（约10秒）&#10;4.百度界面每3秒从顶部向下开始滑动，每三秒滑动一次，每次滑动界面1/4距离（从屏幕距离底部1/4滑动到中间1/2）；若滑动到底部后无法滑动时，向上滑动，步长仍为1/4（约85秒）&#10;5.home键退出Chrome回到桌面主界面，待桌面无变化（约10秒）&#10;6.记录整个过程2分钟（120秒）的平均功耗数据。"/>
  </hyperlinks>
  <pageMargins left="0.75" right="0.75" top="1" bottom="1" header="0.5" footer="0.5"/>
  <headerFooter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东南亚+南亚3.0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tingting.yao1</cp:lastModifiedBy>
  <dcterms:created xsi:type="dcterms:W3CDTF">2025-06-17T03:31:37Z</dcterms:created>
  <dcterms:modified xsi:type="dcterms:W3CDTF">2025-06-17T03:32:03Z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CBD732E786A14DFD88072F226508ACF9</vt:lpwstr>
  </property>
  <property fmtid="{D5CDD505-2E9C-101B-9397-08002B2CF9AE}" pid="3" name="KSOProductBuildVer">
    <vt:lpwstr>2052-11.8.2.12085</vt:lpwstr>
  </property>
</Properties>
</file>