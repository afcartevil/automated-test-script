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 17" sheetId="1" r:id="rId4"/>
    <sheet state="visible" name="B 16" sheetId="2" r:id="rId5"/>
    <sheet state="visible" name="V 15" sheetId="3" r:id="rId6"/>
    <sheet state="visible" name="U 14" sheetId="4" r:id="rId7"/>
    <sheet state="visible" name="T 13" sheetId="5" r:id="rId8"/>
    <sheet state="visible" name="S 12" sheetId="6" r:id="rId9"/>
    <sheet state="visible" name="R 11" sheetId="7" r:id="rId10"/>
    <sheet state="visible" name="Q 10" sheetId="8" r:id="rId11"/>
    <sheet state="visible" name="P 9" sheetId="9" r:id="rId12"/>
    <sheet state="visible" name="Oreo 8.1" sheetId="10" r:id="rId13"/>
    <sheet state="visible" name="Oreo 8.0" sheetId="11" r:id="rId14"/>
    <sheet state="visible" name="Nougat 7.1" sheetId="12" r:id="rId15"/>
    <sheet state="visible" name="Nougat 7.0" sheetId="13" r:id="rId16"/>
    <sheet state="visible" name="Marshmallow 6.0" sheetId="14" r:id="rId17"/>
    <sheet state="visible" name="Lollipop 5.1" sheetId="15" r:id="rId18"/>
    <sheet state="visible" name="Lollipop 5.0" sheetId="16" r:id="rId19"/>
    <sheet state="visible" name="(KK MR1MR2)" sheetId="17" r:id="rId20"/>
    <sheet state="hidden" name="Jelly Bean 4.3.x (MR2)" sheetId="18" r:id="rId21"/>
    <sheet state="hidden" name="Jelly Bean MR1MR1.1 (4.2.x)" sheetId="19" r:id="rId22"/>
    <sheet state="hidden" name="Jelly Bean 4.1.x" sheetId="20" r:id="rId23"/>
    <sheet state="hidden" name="Ice Cream Sandwich 4.0.X" sheetId="21" r:id="rId24"/>
    <sheet state="hidden" name="Gingerbread 2.3" sheetId="22" r:id="rId25"/>
  </sheets>
  <definedNames>
    <definedName name="GeoAvailabilityStatus">#REF!</definedName>
    <definedName name="GeoAvailabilityData">#REF!</definedName>
    <definedName name="CCTabl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just for Landscape picture --medina Mon Apr 16 2012 14:34:35 GMT-0700 (PDT)</t>
      </text>
    </comment>
    <comment authorId="0" ref="I34">
      <text>
        <t xml:space="preserve">Only impacts Video Hnagouts --medina Mon Apr 16 2012 14:33:27 GMT-0700 (PDT)</t>
      </text>
    </comment>
  </commentList>
</comments>
</file>

<file path=xl/sharedStrings.xml><?xml version="1.0" encoding="utf-8"?>
<sst xmlns="http://schemas.openxmlformats.org/spreadsheetml/2006/main" count="14327" uniqueCount="3283">
  <si>
    <t>App Name</t>
  </si>
  <si>
    <t>Apk Filename</t>
  </si>
  <si>
    <t>App Package Name</t>
  </si>
  <si>
    <t>17_202601</t>
  </si>
  <si>
    <t>17_202604</t>
  </si>
  <si>
    <t>17_202605</t>
  </si>
  <si>
    <t>Apps in /system/priv-app</t>
  </si>
  <si>
    <t>ConfigUpdater</t>
  </si>
  <si>
    <t>com.google.android.configupdater</t>
  </si>
  <si>
    <t>CinnamonBun-14738297</t>
  </si>
  <si>
    <t>36.0.4</t>
  </si>
  <si>
    <t>36.0.5</t>
  </si>
  <si>
    <t>Android Platform Services</t>
  </si>
  <si>
    <t>AndroidPlatformServices</t>
  </si>
  <si>
    <t>com.google.android.gms.policy_sidecar_aps</t>
  </si>
  <si>
    <t>251330800021.748366938.748366938</t>
  </si>
  <si>
    <t>251330800025.748366938.748366938</t>
  </si>
  <si>
    <t>Google Play services</t>
  </si>
  <si>
    <t>GmsCore</t>
  </si>
  <si>
    <t>25.50.34 (260300-855735097)</t>
  </si>
  <si>
    <t>26.11.36</t>
  </si>
  <si>
    <t>Market Feedback Agent</t>
  </si>
  <si>
    <t>GoogleFeedback</t>
  </si>
  <si>
    <t>com.google.android.feedback</t>
  </si>
  <si>
    <t>17-15127070</t>
  </si>
  <si>
    <t>17-15375138</t>
  </si>
  <si>
    <t>Google Partner Setup</t>
  </si>
  <si>
    <t>GooglePartnerSetup</t>
  </si>
  <si>
    <t>com.google.android.partnersetup</t>
  </si>
  <si>
    <t>100.773392826</t>
  </si>
  <si>
    <t>100.874117303</t>
  </si>
  <si>
    <t>Android Setup</t>
  </si>
  <si>
    <t>GoogleRestore</t>
  </si>
  <si>
    <t>com.google.android.apps.restore</t>
  </si>
  <si>
    <t>1.0.802985534</t>
  </si>
  <si>
    <t>1.0.882455745</t>
  </si>
  <si>
    <t>Google Services Framework</t>
  </si>
  <si>
    <t>GoogleServicesFramework</t>
  </si>
  <si>
    <t>com.google.android.gsf</t>
  </si>
  <si>
    <t>Google Location History</t>
  </si>
  <si>
    <t>GoogleLocationHistory</t>
  </si>
  <si>
    <t>com.google.android.gms.location.history</t>
  </si>
  <si>
    <t>1.2</t>
  </si>
  <si>
    <t>Voice Actions Services</t>
  </si>
  <si>
    <t>GoogleActionsService</t>
  </si>
  <si>
    <t>com.google.android.apps.actionsservice</t>
  </si>
  <si>
    <t>2.18.0.769468747</t>
  </si>
  <si>
    <t>2.18.0.884895114</t>
  </si>
  <si>
    <t>Google Play Store</t>
  </si>
  <si>
    <t>Phonesky</t>
  </si>
  <si>
    <t>com.android.vending</t>
  </si>
  <si>
    <t>49.6.23-31</t>
  </si>
  <si>
    <t>50.7.24-29</t>
  </si>
  <si>
    <t>Setup Wizard</t>
  </si>
  <si>
    <t>SetupWizard</t>
  </si>
  <si>
    <t>com.google.android.setupwizard</t>
  </si>
  <si>
    <t>236.840037380</t>
  </si>
  <si>
    <t>236.890345816</t>
  </si>
  <si>
    <t>Search Selector</t>
  </si>
  <si>
    <t>SearchSelector</t>
  </si>
  <si>
    <t>com.google.android.apps.setupwizard.searchselector</t>
  </si>
  <si>
    <t>1.36.839559840</t>
  </si>
  <si>
    <t>Google Search</t>
  </si>
  <si>
    <t>Velvet</t>
  </si>
  <si>
    <t>17.0.4</t>
  </si>
  <si>
    <t>17.12.51</t>
  </si>
  <si>
    <t>Android Auto</t>
  </si>
  <si>
    <t>AndroidAuto</t>
  </si>
  <si>
    <t>com.google.android.projection.gearhead</t>
  </si>
  <si>
    <t>1.2.558700</t>
  </si>
  <si>
    <t>1.2.565520-stub</t>
  </si>
  <si>
    <t>1.2.566220-stub</t>
  </si>
  <si>
    <t>Digital Wellbeing</t>
  </si>
  <si>
    <t>Wellbeing</t>
  </si>
  <si>
    <t>com.google.android.apps.wellbeing</t>
  </si>
  <si>
    <t>1.36.834316632</t>
  </si>
  <si>
    <t>1.39.892086365</t>
  </si>
  <si>
    <t>Android System Intelligence</t>
  </si>
  <si>
    <t>AndroidSystemIntelligence</t>
  </si>
  <si>
    <t>com.google.android.as</t>
  </si>
  <si>
    <t>836618692</t>
  </si>
  <si>
    <t>885134531</t>
  </si>
  <si>
    <t>Private Compute Services</t>
  </si>
  <si>
    <t>PrivateComputeServices</t>
  </si>
  <si>
    <t>com.google.android.as.oss</t>
  </si>
  <si>
    <t>1.0..836669443</t>
  </si>
  <si>
    <t>1.0..877997153</t>
  </si>
  <si>
    <t>Family Link Parental Controls</t>
  </si>
  <si>
    <t>FamilyLinkParentalControls</t>
  </si>
  <si>
    <t>com.google.android.gms.supervision</t>
  </si>
  <si>
    <t>1.0.800961816</t>
  </si>
  <si>
    <t>1.0.881395152</t>
  </si>
  <si>
    <t>Android Developer Verifier</t>
  </si>
  <si>
    <t>AndroidDeveloperVerifier</t>
  </si>
  <si>
    <t>com.google.android.verifier</t>
  </si>
  <si>
    <t>1.0.804814953</t>
  </si>
  <si>
    <t>1.0.866414232</t>
  </si>
  <si>
    <t>Phone</t>
  </si>
  <si>
    <t>GoogleDialer</t>
  </si>
  <si>
    <t>203.0.841416996</t>
  </si>
  <si>
    <t>215.0.888983929</t>
  </si>
  <si>
    <t>Device Health Services</t>
  </si>
  <si>
    <t>Turbo</t>
  </si>
  <si>
    <t>1.27.0.800299854</t>
  </si>
  <si>
    <t>1.27.0.878899984</t>
  </si>
  <si>
    <t>Personal Safety</t>
  </si>
  <si>
    <t>PersonalSafety</t>
  </si>
  <si>
    <t>com.google.android.apps.safetyhub</t>
  </si>
  <si>
    <t xml:space="preserve"> 2025.11.27.842255435.2</t>
  </si>
  <si>
    <t>2026.03.19.889765599.1</t>
  </si>
  <si>
    <t>Package Installer</t>
  </si>
  <si>
    <t>GooglePackageInstaller</t>
  </si>
  <si>
    <t>com.google.android.packageinstaller</t>
  </si>
  <si>
    <t>Apps in /system/app</t>
  </si>
  <si>
    <t>Chrome</t>
  </si>
  <si>
    <t>143.0.7499.192</t>
  </si>
  <si>
    <t>146.0.7680.177</t>
  </si>
  <si>
    <t>Drive</t>
  </si>
  <si>
    <t>2.26.017.0</t>
  </si>
  <si>
    <t>2.26.127.4.all.alldpi</t>
  </si>
  <si>
    <t>Meet</t>
  </si>
  <si>
    <t>336.0.838832812</t>
  </si>
  <si>
    <t>354.0.900835264</t>
  </si>
  <si>
    <t>Gmail</t>
  </si>
  <si>
    <t>Gmail2</t>
  </si>
  <si>
    <t>2025.12.01.843385623</t>
  </si>
  <si>
    <t>2026.03.30.892466532</t>
  </si>
  <si>
    <t>Google Calendar Sync</t>
  </si>
  <si>
    <t>GoogleCalendarSyncAdapter</t>
  </si>
  <si>
    <t>com.google.android.syncadapters.calendar</t>
  </si>
  <si>
    <t>2025.10.0-735189449</t>
  </si>
  <si>
    <t>Maps</t>
  </si>
  <si>
    <t>25.49.06.838461706</t>
  </si>
  <si>
    <t>26.13.06.887680004</t>
  </si>
  <si>
    <t>Google Photos</t>
  </si>
  <si>
    <t>Photos</t>
  </si>
  <si>
    <t>7.58.0.854390600</t>
  </si>
  <si>
    <t>7.70.0.893169212</t>
  </si>
  <si>
    <t>Google Play Movies</t>
  </si>
  <si>
    <t>Videos</t>
  </si>
  <si>
    <t>4.39.3896.837424156.1</t>
  </si>
  <si>
    <t>4.39.4323.888244609.2</t>
  </si>
  <si>
    <t>Android System WebView</t>
  </si>
  <si>
    <t>WebViewGoogle</t>
  </si>
  <si>
    <t>147.0.7727.137</t>
  </si>
  <si>
    <t>YouTube</t>
  </si>
  <si>
    <t>21.02.35</t>
  </si>
  <si>
    <t>21.03.36</t>
  </si>
  <si>
    <t>YouTube Music</t>
  </si>
  <si>
    <t>YTMusic</t>
  </si>
  <si>
    <t>com.google.android.apps.youtube.music</t>
  </si>
  <si>
    <t>8.51.51</t>
  </si>
  <si>
    <t>9.13.50</t>
  </si>
  <si>
    <t>Speech Services by Google</t>
  </si>
  <si>
    <t>SpeechServicesByGoogle</t>
  </si>
  <si>
    <t>20250303.01_p1.734589102</t>
  </si>
  <si>
    <t>20251222.02_p0.847924619</t>
  </si>
  <si>
    <t>Calculator</t>
  </si>
  <si>
    <t>CalculatorGoogle</t>
  </si>
  <si>
    <t>com.google.android.calculator</t>
  </si>
  <si>
    <t>9.0 (799007469)</t>
  </si>
  <si>
    <t>9.1 (886477075)</t>
  </si>
  <si>
    <t>Calendar</t>
  </si>
  <si>
    <t>CalendarGoogle</t>
  </si>
  <si>
    <t>2026.01.0-852024920</t>
  </si>
  <si>
    <t>2026.13.1-892826793</t>
  </si>
  <si>
    <t>Cross Device Services</t>
  </si>
  <si>
    <t>CrossDeviceServices</t>
  </si>
  <si>
    <t>com.google.ambient.streaming</t>
  </si>
  <si>
    <t>1</t>
  </si>
  <si>
    <t>1.1.2</t>
  </si>
  <si>
    <t>Gemini</t>
  </si>
  <si>
    <t>com.google.android.apps.bard</t>
  </si>
  <si>
    <t>1.0.795460806</t>
  </si>
  <si>
    <t>1.0.882555348</t>
  </si>
  <si>
    <t>GWP</t>
  </si>
  <si>
    <t>com.google.android.apps.carrier.carrierwifi</t>
  </si>
  <si>
    <t>1.7.0.826058012</t>
  </si>
  <si>
    <t>1.7.0.894117282</t>
  </si>
  <si>
    <t>Clock</t>
  </si>
  <si>
    <t>DeskClockGoogle</t>
  </si>
  <si>
    <t>8.2 (805685915)</t>
  </si>
  <si>
    <t>8.5 (853571623)</t>
  </si>
  <si>
    <t>Switch Access</t>
  </si>
  <si>
    <t>SwitchAccess</t>
  </si>
  <si>
    <t>com.google.android.accessibility.switchaccess</t>
  </si>
  <si>
    <t>1.16.1.798952610</t>
  </si>
  <si>
    <t>Contacts</t>
  </si>
  <si>
    <t>GoogleContacts</t>
  </si>
  <si>
    <t>4.70.28.852482159</t>
  </si>
  <si>
    <t>4.76.28.892006051</t>
  </si>
  <si>
    <t>Keep</t>
  </si>
  <si>
    <t>5.25.511.02.90</t>
  </si>
  <si>
    <t>5.26.131.01.90</t>
  </si>
  <si>
    <t>Google Keyboard</t>
  </si>
  <si>
    <t>LatinImeGoogle</t>
  </si>
  <si>
    <t>16.5.2.838613058</t>
  </si>
  <si>
    <t>17.0.9.880768217</t>
  </si>
  <si>
    <t>TalkBack</t>
  </si>
  <si>
    <t>talkback</t>
  </si>
  <si>
    <t>16.2.0.846008575</t>
  </si>
  <si>
    <t>16.2.0.855052621</t>
  </si>
  <si>
    <t>Messages</t>
  </si>
  <si>
    <t>20251121_00_RC02</t>
  </si>
  <si>
    <t>20260324_00_RC00</t>
  </si>
  <si>
    <t>Android Shared Library</t>
  </si>
  <si>
    <t>GoogleExtShared</t>
  </si>
  <si>
    <t>com.google.android.ext.shared</t>
  </si>
  <si>
    <t>Print Recommendation Service</t>
  </si>
  <si>
    <t>GooglePrintRecommendationService</t>
  </si>
  <si>
    <t>com.google.android.printservice.recommendation</t>
  </si>
  <si>
    <t>1.3.0</t>
  </si>
  <si>
    <t>V128</t>
  </si>
  <si>
    <t>Apps for Android Go edition</t>
  </si>
  <si>
    <t>Assistant Go</t>
  </si>
  <si>
    <t>AssistantGo</t>
  </si>
  <si>
    <t>2.18.0.885467121</t>
  </si>
  <si>
    <t>Meet Go</t>
  </si>
  <si>
    <t>MeetGo</t>
  </si>
  <si>
    <t>Files Go</t>
  </si>
  <si>
    <t>FilesGoogle</t>
  </si>
  <si>
    <t>1.9456.838368644.0</t>
  </si>
  <si>
    <t>1.10256.867145328.0</t>
  </si>
  <si>
    <t>Gallery Go</t>
  </si>
  <si>
    <t>GalleryGo</t>
  </si>
  <si>
    <t>1.9.2.712403868</t>
  </si>
  <si>
    <t>GmsCore Go</t>
  </si>
  <si>
    <t>GmsCoreGo</t>
  </si>
  <si>
    <t>25.50.34 (200400-855735097)</t>
  </si>
  <si>
    <t>Google Go</t>
  </si>
  <si>
    <t>GoogleSearchGo</t>
  </si>
  <si>
    <t>3.130.827293414.31</t>
  </si>
  <si>
    <t>3.138.889300422.31</t>
  </si>
  <si>
    <t>Gboard Go</t>
  </si>
  <si>
    <t>LatinImeGoogleGo</t>
  </si>
  <si>
    <t>Messages Go</t>
  </si>
  <si>
    <t>MessagesGo</t>
  </si>
  <si>
    <t>16_202504</t>
  </si>
  <si>
    <t>16_202505</t>
  </si>
  <si>
    <t>16_202506</t>
  </si>
  <si>
    <t>16_202507</t>
  </si>
  <si>
    <t>16_202508</t>
  </si>
  <si>
    <t>16_202509</t>
  </si>
  <si>
    <t>16_202510</t>
  </si>
  <si>
    <t>16_202510_FRC</t>
  </si>
  <si>
    <t>16_202512</t>
  </si>
  <si>
    <t>16_202603</t>
  </si>
  <si>
    <t>16_202605</t>
  </si>
  <si>
    <t>16-13343139</t>
  </si>
  <si>
    <t>16-13928101</t>
  </si>
  <si>
    <t>25.13.33 (260300-745790146)</t>
  </si>
  <si>
    <t>25.15.32 (260400-748827973)</t>
  </si>
  <si>
    <t>25.18.33 (260300-756823100)</t>
  </si>
  <si>
    <t>25.24.31 (260400-772615181)</t>
  </si>
  <si>
    <t>25.30.31 (260300-786424874)</t>
  </si>
  <si>
    <t>25.33.34 (260300-799229637)</t>
  </si>
  <si>
    <t>25.38.30 (260400-807569344)</t>
  </si>
  <si>
    <t>26.04.38 (260300-867839860)</t>
  </si>
  <si>
    <t>26.18.33 (260400-913931251)</t>
  </si>
  <si>
    <t>16-13676267</t>
  </si>
  <si>
    <t>16-15304122</t>
  </si>
  <si>
    <t>Google One Time Init</t>
  </si>
  <si>
    <t>GoogleOneTimeInitializer</t>
  </si>
  <si>
    <t>com.google.android.onetimeinitializer</t>
  </si>
  <si>
    <t>100.7400611</t>
  </si>
  <si>
    <t>1.0.726433032</t>
  </si>
  <si>
    <t>1.0.770594338</t>
  </si>
  <si>
    <t>1.0.782938230</t>
  </si>
  <si>
    <t>1.0.796366230</t>
  </si>
  <si>
    <t>1.0.833807547</t>
  </si>
  <si>
    <t>1.0.918300902</t>
  </si>
  <si>
    <t>2.17.0.653492705</t>
  </si>
  <si>
    <t>45.7.17-31</t>
  </si>
  <si>
    <t>46.8.29-31</t>
  </si>
  <si>
    <t>47.3.29-31</t>
  </si>
  <si>
    <t>47.6.28-31</t>
  </si>
  <si>
    <t>48.1.28-31</t>
  </si>
  <si>
    <t xml:space="preserve">48.9.30-31 </t>
  </si>
  <si>
    <t>50.1.33-29</t>
  </si>
  <si>
    <t>51.5.21-31</t>
  </si>
  <si>
    <t>235.6964104</t>
  </si>
  <si>
    <t>235.734502128</t>
  </si>
  <si>
    <t>235.755348</t>
  </si>
  <si>
    <t>235.755348040</t>
  </si>
  <si>
    <t>236.792471935</t>
  </si>
  <si>
    <t>236.808841380</t>
  </si>
  <si>
    <t>236.827749626</t>
  </si>
  <si>
    <t>236.871377611</t>
  </si>
  <si>
    <t>236.911081057</t>
  </si>
  <si>
    <t>1.35.686757925</t>
  </si>
  <si>
    <t>1.35.731525310</t>
  </si>
  <si>
    <t>1.35.808922502</t>
  </si>
  <si>
    <t>16.9.50</t>
  </si>
  <si>
    <t>16.16.43</t>
  </si>
  <si>
    <t>16.25.46</t>
  </si>
  <si>
    <t>16.30.61</t>
  </si>
  <si>
    <t>16.35.65</t>
  </si>
  <si>
    <t>16.37.48</t>
  </si>
  <si>
    <t>16.41.36</t>
  </si>
  <si>
    <t>17.5.42</t>
  </si>
  <si>
    <t>17.24.28</t>
  </si>
  <si>
    <t>1.2.551000</t>
  </si>
  <si>
    <t>1.24.738418276</t>
  </si>
  <si>
    <t>1.28.767872719</t>
  </si>
  <si>
    <t>1.29.776390220</t>
  </si>
  <si>
    <t>1.31.797345829</t>
  </si>
  <si>
    <t>1.32.800272665</t>
  </si>
  <si>
    <t>1.42.900698277</t>
  </si>
  <si>
    <t>651703547</t>
  </si>
  <si>
    <t>791909054</t>
  </si>
  <si>
    <t>1.0..723882623</t>
  </si>
  <si>
    <t>1.0..763775935</t>
  </si>
  <si>
    <t>1.0..811839831</t>
  </si>
  <si>
    <t>1.0.867877151</t>
  </si>
  <si>
    <t>0.1.stub</t>
  </si>
  <si>
    <t>1.0.752902645.stub</t>
  </si>
  <si>
    <t>1.0.795403263</t>
  </si>
  <si>
    <t>Carrier Services</t>
  </si>
  <si>
    <t>CarrierServices</t>
  </si>
  <si>
    <t>20230501_00_RC02</t>
  </si>
  <si>
    <t>169.0.742069049</t>
  </si>
  <si>
    <t>181.0.774972185</t>
  </si>
  <si>
    <t>185.0.789100055</t>
  </si>
  <si>
    <t>188.0.797346580</t>
  </si>
  <si>
    <t>192.0.806919635</t>
  </si>
  <si>
    <t>204.0.852029473</t>
  </si>
  <si>
    <t>222.0.916975595</t>
  </si>
  <si>
    <t>Tags</t>
  </si>
  <si>
    <t>TagGoogle</t>
  </si>
  <si>
    <t>com.google.android.tag</t>
  </si>
  <si>
    <t>1.1</t>
  </si>
  <si>
    <t>N/A</t>
  </si>
  <si>
    <t>1.27.0.633116649</t>
  </si>
  <si>
    <t>2025.03.19.738321336.0</t>
  </si>
  <si>
    <t>2025.04.17.750571422.2</t>
  </si>
  <si>
    <t>2025.06.12.772866699.3</t>
  </si>
  <si>
    <t>2025.07.10.782837211.2</t>
  </si>
  <si>
    <t>2025.08.06.791860033.0</t>
  </si>
  <si>
    <t>2026.01.08.855751933.1</t>
  </si>
  <si>
    <t>2026.04.30.908060243.0</t>
  </si>
  <si>
    <t>16-14547281</t>
  </si>
  <si>
    <t>17-15481065</t>
  </si>
  <si>
    <t>V62 prod (18004 sdk34)</t>
  </si>
  <si>
    <t>134.0.6998.135</t>
  </si>
  <si>
    <t>137.0.7151.115</t>
  </si>
  <si>
    <t>138.0.7204.179</t>
  </si>
  <si>
    <t>139.0.7258.143</t>
  </si>
  <si>
    <t>140.0.7339.207</t>
  </si>
  <si>
    <t>148.0.7778.178</t>
  </si>
  <si>
    <t>2.25.130.4</t>
  </si>
  <si>
    <t>2.25.250.0</t>
  </si>
  <si>
    <t>2.25.306.6</t>
  </si>
  <si>
    <t>2.25.330.4</t>
  </si>
  <si>
    <t>2.25.380.0</t>
  </si>
  <si>
    <t>2.26.027</t>
  </si>
  <si>
    <t>2.26.207.0</t>
  </si>
  <si>
    <t>297.0.742352960</t>
  </si>
  <si>
    <t>312.0.775846225</t>
  </si>
  <si>
    <t>316.0.782672769</t>
  </si>
  <si>
    <t>321.0.796307772</t>
  </si>
  <si>
    <t>326.0.810633361</t>
  </si>
  <si>
    <t>342.0.855104646</t>
  </si>
  <si>
    <t>359.0.914995927</t>
  </si>
  <si>
    <t>2025.03.23.744886800</t>
  </si>
  <si>
    <t>2025.06.22.776133050</t>
  </si>
  <si>
    <t>2025.07.28.789007522</t>
  </si>
  <si>
    <t>2025.08.18.796307704</t>
  </si>
  <si>
    <t>2025.09.22.811856720</t>
  </si>
  <si>
    <t>2025.12.29.855765709</t>
  </si>
  <si>
    <t>2026.05.11.918731697</t>
  </si>
  <si>
    <t>25.15.01.744474145</t>
  </si>
  <si>
    <t>25.27.04.777251107</t>
  </si>
  <si>
    <t>25.32.00.790560726</t>
  </si>
  <si>
    <t>25.35.00.798803015</t>
  </si>
  <si>
    <t>25.38.02.806933749</t>
  </si>
  <si>
    <t>26.03.11.854872954</t>
  </si>
  <si>
    <t>26.21.01.916832833</t>
  </si>
  <si>
    <t>7.23.0.744788288</t>
  </si>
  <si>
    <t>7.35.0.778148202</t>
  </si>
  <si>
    <t>7.39.0.787784983</t>
  </si>
  <si>
    <t>7.43.0.800596475</t>
  </si>
  <si>
    <t>7.47.0.810631069</t>
  </si>
  <si>
    <t>7.59.0.856624550</t>
  </si>
  <si>
    <t>7.77.0.916869048</t>
  </si>
  <si>
    <t>4.39.3031.743590572.4</t>
  </si>
  <si>
    <t>4.39.3208.761013668.5</t>
  </si>
  <si>
    <t>4.39.3356.780959673.5</t>
  </si>
  <si>
    <t>4.39.3507.799515352.7</t>
  </si>
  <si>
    <t>4.39.3507.800854208.8</t>
  </si>
  <si>
    <t>4.39.4323.914765907.11</t>
  </si>
  <si>
    <t>20.14.41</t>
  </si>
  <si>
    <t>20.26.40</t>
  </si>
  <si>
    <t>20.31.39</t>
  </si>
  <si>
    <t>20.34.37</t>
  </si>
  <si>
    <t>20.38.37</t>
  </si>
  <si>
    <t>8.14.53</t>
  </si>
  <si>
    <t>8.26.51</t>
  </si>
  <si>
    <t>8.30.51</t>
  </si>
  <si>
    <t>8.34.51</t>
  </si>
  <si>
    <t>8.38.52</t>
  </si>
  <si>
    <t>9.03.52</t>
  </si>
  <si>
    <t>9.20.52</t>
  </si>
  <si>
    <t>8.6.1 (625857114)</t>
  </si>
  <si>
    <t>8.7 (735708245)</t>
  </si>
  <si>
    <t>9.1</t>
  </si>
  <si>
    <t>2025.13.0-742080714</t>
  </si>
  <si>
    <t>2025.25.0-774526426</t>
  </si>
  <si>
    <t>2025.30.0-787777615</t>
  </si>
  <si>
    <t>2025.33.0-796183559</t>
  </si>
  <si>
    <t>2025.38.0-809757839</t>
  </si>
  <si>
    <t>2026.02.0-854937005</t>
  </si>
  <si>
    <t>2026.19.0-915581253</t>
  </si>
  <si>
    <t>1.0</t>
  </si>
  <si>
    <t>1.0.686588308</t>
  </si>
  <si>
    <t>1.0.751104895</t>
  </si>
  <si>
    <t>1.0.776555963</t>
  </si>
  <si>
    <t>1.0.913571982</t>
  </si>
  <si>
    <t>1.6.726578950</t>
  </si>
  <si>
    <t>7.10 (685617841)</t>
  </si>
  <si>
    <t>7.14 (771143455)</t>
  </si>
  <si>
    <t>8.1 (799019792)</t>
  </si>
  <si>
    <t>8.8 (909813530)</t>
  </si>
  <si>
    <t>1.15.0.647194712</t>
  </si>
  <si>
    <t>1.16.0.747675253</t>
  </si>
  <si>
    <t>4.51.25.735555589</t>
  </si>
  <si>
    <t>4.55.26.756834276</t>
  </si>
  <si>
    <t>4.58.27.775291202</t>
  </si>
  <si>
    <t>4.59.2.778505369</t>
  </si>
  <si>
    <t>4.62.27.794839787</t>
  </si>
  <si>
    <t>4.64.27.807337001</t>
  </si>
  <si>
    <t>4.79.26.911691810</t>
  </si>
  <si>
    <t>5.25.142.01.90</t>
  </si>
  <si>
    <t>5.25.262.02.90</t>
  </si>
  <si>
    <t>5.25.312.00.90</t>
  </si>
  <si>
    <t>5.25.342.03.90</t>
  </si>
  <si>
    <t xml:space="preserve"> 5.25.372.01.90</t>
  </si>
  <si>
    <t>5.26.031.00.90</t>
  </si>
  <si>
    <t>5.26.201.02.90</t>
  </si>
  <si>
    <t>15.1.08.726012951</t>
  </si>
  <si>
    <t>15.4.8.755290236</t>
  </si>
  <si>
    <t>15.5.8.766552071</t>
  </si>
  <si>
    <t>15.8.4.793526320</t>
  </si>
  <si>
    <t>16.0.5.804347959</t>
  </si>
  <si>
    <t>17.3.3.902587967</t>
  </si>
  <si>
    <t>15.2.1.743808607</t>
  </si>
  <si>
    <t>16.0.0.758099302</t>
  </si>
  <si>
    <t>16.0.0.777931756</t>
  </si>
  <si>
    <t>16.1.0.808839780</t>
  </si>
  <si>
    <t>16.2..0.846008575</t>
  </si>
  <si>
    <t>17.0.1.911806202</t>
  </si>
  <si>
    <t>20250326_00_RC07</t>
  </si>
  <si>
    <t>20250615_01_RC03</t>
  </si>
  <si>
    <t>20250716_01_RC06</t>
  </si>
  <si>
    <t>20250808_03_RC04</t>
  </si>
  <si>
    <t>20250907_01_RC00</t>
  </si>
  <si>
    <t>2.19.0.911905029</t>
  </si>
  <si>
    <t>1.6574.739091442.4</t>
  </si>
  <si>
    <t>1.7970.780038281.1</t>
  </si>
  <si>
    <t>1.8278.787665975.0</t>
  </si>
  <si>
    <t>1.8662.804056183.0</t>
  </si>
  <si>
    <t>1.9938.854818729.0</t>
  </si>
  <si>
    <t>1.11051.902106514.0</t>
  </si>
  <si>
    <t>1.9.3.898908538</t>
  </si>
  <si>
    <t>25.13.33 (200300-745790146)</t>
  </si>
  <si>
    <t>25.15.32 (200400-748827973)</t>
  </si>
  <si>
    <t>25.18.33 (200400-756823100)</t>
  </si>
  <si>
    <t>25.24.31 (200400-772615181)</t>
  </si>
  <si>
    <t>25.30.31 (200400-786424874)</t>
  </si>
  <si>
    <t>25.33.34 (200400-799229637)</t>
  </si>
  <si>
    <t>25.38.30 (200400-807569344)</t>
  </si>
  <si>
    <t>26.04.38 (200300-867839860)</t>
  </si>
  <si>
    <t>26.18.33 (200400-913931251)</t>
  </si>
  <si>
    <t>3.119.740179921.31</t>
  </si>
  <si>
    <t>3.123.770658312.31</t>
  </si>
  <si>
    <t>3.124.782590611.31</t>
  </si>
  <si>
    <t>3.135.855715829.31</t>
  </si>
  <si>
    <t>3.138.897146626.31</t>
  </si>
  <si>
    <t>20260508_02_RC03</t>
  </si>
  <si>
    <t>15_202406</t>
  </si>
  <si>
    <t>15_202408</t>
  </si>
  <si>
    <t>15_202409</t>
  </si>
  <si>
    <t>15_202411</t>
  </si>
  <si>
    <t>15_202501</t>
  </si>
  <si>
    <t>15_202503</t>
  </si>
  <si>
    <t>15_202507</t>
  </si>
  <si>
    <t>15_202510</t>
  </si>
  <si>
    <t>15_202512</t>
  </si>
  <si>
    <t>15_202603</t>
  </si>
  <si>
    <t>15_202604</t>
  </si>
  <si>
    <t>15_202605</t>
  </si>
  <si>
    <t>15-11962157</t>
  </si>
  <si>
    <t>15-12154782</t>
  </si>
  <si>
    <t>15-14202993</t>
  </si>
  <si>
    <t>240213802038.612710866.612710866</t>
  </si>
  <si>
    <t>24.21.13 (260408-638380824)</t>
  </si>
  <si>
    <t>24.28.35</t>
  </si>
  <si>
    <t>24.33.33 (260308-666381490)</t>
  </si>
  <si>
    <t>24.50.34 (260408-713002902)</t>
  </si>
  <si>
    <t>25.08.32 (260400-731361394)</t>
  </si>
  <si>
    <t>15-12320883</t>
  </si>
  <si>
    <t>100.639845681</t>
  </si>
  <si>
    <t>100.642292252</t>
  </si>
  <si>
    <t>1.0.631797785</t>
  </si>
  <si>
    <t>1.0.655144737</t>
  </si>
  <si>
    <t>1.0.695429499</t>
  </si>
  <si>
    <t>2.7.0.324773962</t>
  </si>
  <si>
    <t>41.1.19-31</t>
  </si>
  <si>
    <t>41.9.17-31</t>
  </si>
  <si>
    <t>42.4.22-31</t>
  </si>
  <si>
    <t>43.5.26-31</t>
  </si>
  <si>
    <t>44.5.23-31</t>
  </si>
  <si>
    <t>45.0.21-31</t>
  </si>
  <si>
    <t>48.9.30-31</t>
  </si>
  <si>
    <t>234.631301522</t>
  </si>
  <si>
    <t>235.642098031</t>
  </si>
  <si>
    <t>235.666735854</t>
  </si>
  <si>
    <t>235.696410383</t>
  </si>
  <si>
    <t xml:space="preserve">236.890345816 </t>
  </si>
  <si>
    <t>1.34.639843580</t>
  </si>
  <si>
    <t>15.22.32.28</t>
  </si>
  <si>
    <t>15.33.38.28</t>
  </si>
  <si>
    <t>15.42.35.28</t>
  </si>
  <si>
    <t>16.1.43</t>
  </si>
  <si>
    <t>16.2.40</t>
  </si>
  <si>
    <t>16.24.68</t>
  </si>
  <si>
    <t>1.2.541450</t>
  </si>
  <si>
    <t>1.2.543610</t>
  </si>
  <si>
    <t>1.6.569650261 (550467)</t>
  </si>
  <si>
    <t>1.15.657317133</t>
  </si>
  <si>
    <t>1.20.694338799</t>
  </si>
  <si>
    <t>1.26.758697344</t>
  </si>
  <si>
    <t>551370458</t>
  </si>
  <si>
    <t>1.0..629465116</t>
  </si>
  <si>
    <t>1.0..650247599</t>
  </si>
  <si>
    <t>1.0..696479765</t>
  </si>
  <si>
    <t>0.1.453788429</t>
  </si>
  <si>
    <t>131.0.637458751</t>
  </si>
  <si>
    <t>141.0.666893082</t>
  </si>
  <si>
    <t>157.0.718039222</t>
  </si>
  <si>
    <t>180.0.771769344</t>
  </si>
  <si>
    <t>2024.05.16.637597869</t>
  </si>
  <si>
    <t>2024.06.27.647248839</t>
  </si>
  <si>
    <t>2024.11.28.700966009.0</t>
  </si>
  <si>
    <t>15-12973341</t>
  </si>
  <si>
    <t>15-14679923</t>
  </si>
  <si>
    <t>126.0.6478.71</t>
  </si>
  <si>
    <t>127.0.6533.103</t>
  </si>
  <si>
    <t>131.0.6778.260</t>
  </si>
  <si>
    <t xml:space="preserve"> 140.0.7339.207</t>
  </si>
  <si>
    <t>2.24.227.0</t>
  </si>
  <si>
    <t>2.24.337.1</t>
  </si>
  <si>
    <t>2.25.007.3</t>
  </si>
  <si>
    <t>2.26.027.4</t>
  </si>
  <si>
    <t>247.0.638315441</t>
  </si>
  <si>
    <t>259.0.664552474</t>
  </si>
  <si>
    <t>283.0.713749631</t>
  </si>
  <si>
    <t>311.0.771788934</t>
  </si>
  <si>
    <t>2024.05.26.638440827</t>
  </si>
  <si>
    <t>2024.07.14.654840603</t>
  </si>
  <si>
    <t>2024.08.18.666993204</t>
  </si>
  <si>
    <t>2025.01.05.715468168</t>
  </si>
  <si>
    <t>2025.06.15.773123224</t>
  </si>
  <si>
    <t>2024.14.0-622676295</t>
  </si>
  <si>
    <t>11.131.0102</t>
  </si>
  <si>
    <t>11.143.0305</t>
  </si>
  <si>
    <t>25.03.01.715545067</t>
  </si>
  <si>
    <t>25.26.04.774458481</t>
  </si>
  <si>
    <t>6.86.0.639597827</t>
  </si>
  <si>
    <t>6.96.0.664905419</t>
  </si>
  <si>
    <t>7.13.0.716414472</t>
  </si>
  <si>
    <t>7.34.0.773090893</t>
  </si>
  <si>
    <t>4.39.1453.597601570.6</t>
  </si>
  <si>
    <t>4.39.2590.678247678.4</t>
  </si>
  <si>
    <t>4.39.2835.701168117.6</t>
  </si>
  <si>
    <t>19.20.33</t>
  </si>
  <si>
    <t>20.02.40</t>
  </si>
  <si>
    <t>20.25.35</t>
  </si>
  <si>
    <t>7.04.51</t>
  </si>
  <si>
    <t>7.16.52</t>
  </si>
  <si>
    <t>8.25.53</t>
  </si>
  <si>
    <t>20240513.02_p2.634461351</t>
  </si>
  <si>
    <t>20240805.01_p0.659565918</t>
  </si>
  <si>
    <t>8.6 (612662282)</t>
  </si>
  <si>
    <t>2023.32.1-554466968</t>
  </si>
  <si>
    <t>2024.28.0-652297689</t>
  </si>
  <si>
    <t>2024.33.1-668425156</t>
  </si>
  <si>
    <t>2025.02.0-714751346</t>
  </si>
  <si>
    <t>1.0.667532867</t>
  </si>
  <si>
    <t>1.3.623568311</t>
  </si>
  <si>
    <t>7.8 (613775102)</t>
  </si>
  <si>
    <t>7.9.1 (661976222)</t>
  </si>
  <si>
    <t>1.14.0.543553192</t>
  </si>
  <si>
    <t>4.22.37.586680692</t>
  </si>
  <si>
    <t>4.38.51.662676845</t>
  </si>
  <si>
    <t>4.46.53.705303683</t>
  </si>
  <si>
    <t>5.24.222.01.90</t>
  </si>
  <si>
    <t>5.24.342.02.90</t>
  </si>
  <si>
    <t>5.25.252.01.90</t>
  </si>
  <si>
    <t>5.25.372.01.90</t>
  </si>
  <si>
    <t>14.1.04.621126403</t>
  </si>
  <si>
    <t>14.4.07.646482735</t>
  </si>
  <si>
    <t>14.8.05.686567880</t>
  </si>
  <si>
    <t>14.2.0.620729047</t>
  </si>
  <si>
    <t>15.0.0.639625893</t>
  </si>
  <si>
    <t>15.1.0.693631415</t>
  </si>
  <si>
    <t>20240528_00_RC01</t>
  </si>
  <si>
    <t>20240806_01_RC02</t>
  </si>
  <si>
    <t>20241120_00_RC07</t>
  </si>
  <si>
    <t>20250603_02_RC10</t>
  </si>
  <si>
    <t>1.3</t>
  </si>
  <si>
    <t>2.16.0.537833419</t>
  </si>
  <si>
    <t>1.3622.638597431.2</t>
  </si>
  <si>
    <t>1.4515.661776560</t>
  </si>
  <si>
    <t>1.5687.704205387.1</t>
  </si>
  <si>
    <t>1.7853.773559108.2</t>
  </si>
  <si>
    <t>1.8662.804056183</t>
  </si>
  <si>
    <t>1.9.1.597540607</t>
  </si>
  <si>
    <t>24.21.13</t>
  </si>
  <si>
    <t>24.33.33</t>
  </si>
  <si>
    <t>24.50.34</t>
  </si>
  <si>
    <t>25.08.32 (200400-731361394)</t>
  </si>
  <si>
    <t>26.04.38</t>
  </si>
  <si>
    <t>3.97.606120726.31</t>
  </si>
  <si>
    <t>14_202310</t>
  </si>
  <si>
    <t>14_202311</t>
  </si>
  <si>
    <t>14_202401</t>
  </si>
  <si>
    <t>14_202403</t>
  </si>
  <si>
    <t>14_202404</t>
  </si>
  <si>
    <t>14_202405</t>
  </si>
  <si>
    <t>14_202406</t>
  </si>
  <si>
    <t>14_202408</t>
  </si>
  <si>
    <t>14_202411</t>
  </si>
  <si>
    <t>14_202501</t>
  </si>
  <si>
    <t>14_202503</t>
  </si>
  <si>
    <t>14_202507</t>
  </si>
  <si>
    <t>14-10347885</t>
  </si>
  <si>
    <t>14-11162970</t>
  </si>
  <si>
    <t>14-11666125</t>
  </si>
  <si>
    <t>14-11896256</t>
  </si>
  <si>
    <t>223616901044.482232578.482232578</t>
  </si>
  <si>
    <t>23.25.18 (190300-549347153)</t>
  </si>
  <si>
    <t>23.42.12 (190300-574052649)</t>
  </si>
  <si>
    <t>24.07.13 (190300-607434947)</t>
  </si>
  <si>
    <t>24.15.18 (190308-627556096)</t>
  </si>
  <si>
    <t>24.31.37 (190308-662270918)</t>
  </si>
  <si>
    <t>24.50.34 (190408-713002902)</t>
  </si>
  <si>
    <t>25.08.32 (190400-731361394)</t>
  </si>
  <si>
    <t>25.24.31 (190400-772615181)</t>
  </si>
  <si>
    <t>100.448391512</t>
  </si>
  <si>
    <t>100.625721766</t>
  </si>
  <si>
    <t>100.652836256</t>
  </si>
  <si>
    <t>1.0.538433890</t>
  </si>
  <si>
    <t>1.0.561073583</t>
  </si>
  <si>
    <t>1.0.602428662</t>
  </si>
  <si>
    <t>1.0.609446751</t>
  </si>
  <si>
    <t>1.0.644894896</t>
  </si>
  <si>
    <t>1.0.766676967</t>
  </si>
  <si>
    <t>14-13361510</t>
  </si>
  <si>
    <t>2.12.0.404746790</t>
  </si>
  <si>
    <t>36.6.25-29 [0] [PR] 549167571</t>
  </si>
  <si>
    <t>38.1.18-29 [0] [PR] 575289603</t>
  </si>
  <si>
    <t>38.8.31-29</t>
  </si>
  <si>
    <t>40.1.19-31</t>
  </si>
  <si>
    <t>40.7.29-31</t>
  </si>
  <si>
    <t>42.1.27-31</t>
  </si>
  <si>
    <t>234.545132404</t>
  </si>
  <si>
    <t>234.564586043</t>
  </si>
  <si>
    <t>234.590027662</t>
  </si>
  <si>
    <t>234.609610635</t>
  </si>
  <si>
    <t>234.657169796</t>
  </si>
  <si>
    <t>1.33.508543999</t>
  </si>
  <si>
    <t>1.34.595858019</t>
  </si>
  <si>
    <t>1.34.616027549</t>
  </si>
  <si>
    <t>14.26.9.28</t>
  </si>
  <si>
    <t>14.43.28.28</t>
  </si>
  <si>
    <t>15.7.50.28</t>
  </si>
  <si>
    <t>15.16.35.28</t>
  </si>
  <si>
    <t>15.31.31.28</t>
  </si>
  <si>
    <t>1.2.531830</t>
  </si>
  <si>
    <t>1.6.540869695 (514397)</t>
  </si>
  <si>
    <t>1.6.551070056 (529557)</t>
  </si>
  <si>
    <t>1.14.649750418 (636157)</t>
  </si>
  <si>
    <t>1.20.694338799 (674697)</t>
  </si>
  <si>
    <t>1.26.758697344 (724317)</t>
  </si>
  <si>
    <t>1.0.531190567</t>
  </si>
  <si>
    <t>1.0..529494121</t>
  </si>
  <si>
    <t>1.0..572577908</t>
  </si>
  <si>
    <t xml:space="preserve"> 0.1.453788429</t>
  </si>
  <si>
    <t xml:space="preserve"> 0.1.stub</t>
  </si>
  <si>
    <t>109.0.545979140</t>
  </si>
  <si>
    <t>116.0.569902160</t>
  </si>
  <si>
    <t>123.0.605723773</t>
  </si>
  <si>
    <t>128.0.628175044</t>
  </si>
  <si>
    <t>139.0.656990953</t>
  </si>
  <si>
    <t>1.26.0.539008430</t>
  </si>
  <si>
    <t>2023.03.30.526953197</t>
  </si>
  <si>
    <t>2023.09.13.571377323</t>
  </si>
  <si>
    <t>2024.01.04.600810645</t>
  </si>
  <si>
    <t>2024.03.28.624964577</t>
  </si>
  <si>
    <t>14-11107118</t>
  </si>
  <si>
    <t>14-11704966</t>
  </si>
  <si>
    <t>14-12909335</t>
  </si>
  <si>
    <t>117.0.5938.60</t>
  </si>
  <si>
    <t>118.0.5993.80</t>
  </si>
  <si>
    <t>120.0.6099.193</t>
  </si>
  <si>
    <t>124.0.6367.179</t>
  </si>
  <si>
    <t>127.0.6533.64</t>
  </si>
  <si>
    <t>2.23.257.2</t>
  </si>
  <si>
    <t>2.23.427.1</t>
  </si>
  <si>
    <t>2.24.067.0</t>
  </si>
  <si>
    <t>2.24.167.0</t>
  </si>
  <si>
    <t>2.24.307.1</t>
  </si>
  <si>
    <t>198.0.542066333</t>
  </si>
  <si>
    <t>214.0.572358477</t>
  </si>
  <si>
    <t>230.0.602226084</t>
  </si>
  <si>
    <t>242.0.626860317</t>
  </si>
  <si>
    <t>256.0.658128744</t>
  </si>
  <si>
    <t>2023.06.25.547264776</t>
  </si>
  <si>
    <t>2023.10.15.575329347</t>
  </si>
  <si>
    <t>2024.02.04.604829058</t>
  </si>
  <si>
    <t>2024.04.14.625469418</t>
  </si>
  <si>
    <t>2024.07.21.656518540</t>
  </si>
  <si>
    <t>2022.30.2-463576837</t>
  </si>
  <si>
    <t>11.88.0303</t>
  </si>
  <si>
    <t>11.102.0101</t>
  </si>
  <si>
    <t>11.116.0101</t>
  </si>
  <si>
    <t>11.126.0103</t>
  </si>
  <si>
    <t>11.140.0104</t>
  </si>
  <si>
    <t>6.44.0.546710608</t>
  </si>
  <si>
    <t>6.59.0.576923577</t>
  </si>
  <si>
    <t>6.71.0.606314608</t>
  </si>
  <si>
    <t>6.80.0.626848411</t>
  </si>
  <si>
    <t>6.93.0.657009179</t>
  </si>
  <si>
    <t>4.39.644.534865799.3</t>
  </si>
  <si>
    <t>4.39.1249.576274790.2</t>
  </si>
  <si>
    <t>4.39.2261.642397094.1</t>
  </si>
  <si>
    <t>18.27.33</t>
  </si>
  <si>
    <t>18.42.36</t>
  </si>
  <si>
    <t>19.07.39</t>
  </si>
  <si>
    <t>19.17.34</t>
  </si>
  <si>
    <t>6.10.51</t>
  </si>
  <si>
    <t>6.25.53</t>
  </si>
  <si>
    <t>6.37.50</t>
  </si>
  <si>
    <t>6.49.53</t>
  </si>
  <si>
    <t>7.13.52</t>
  </si>
  <si>
    <t>20221111.00_p4.491700629</t>
  </si>
  <si>
    <t>20240708.01_p0.650261580</t>
  </si>
  <si>
    <t>8.4.1 (520193683)</t>
  </si>
  <si>
    <t>2023.28.1-549585108</t>
  </si>
  <si>
    <t>2024.30.1-659970995</t>
  </si>
  <si>
    <t>1.3.530916162</t>
  </si>
  <si>
    <t>1.3.565362437</t>
  </si>
  <si>
    <t>1.3.599174564</t>
  </si>
  <si>
    <t>7.5 (535768093)</t>
  </si>
  <si>
    <t>7.6 (566900781)</t>
  </si>
  <si>
    <t>1.15.0.629986523</t>
  </si>
  <si>
    <t>4.12.16.544196653</t>
  </si>
  <si>
    <t>4.19.28.572105187</t>
  </si>
  <si>
    <t>5.23.262.01.90</t>
  </si>
  <si>
    <t>5.23.422.03.90</t>
  </si>
  <si>
    <t>5.24.042.07.90</t>
  </si>
  <si>
    <t>5.24.152.03.90</t>
  </si>
  <si>
    <t>5.24.312.02.90</t>
  </si>
  <si>
    <t>13.1.07.536370540</t>
  </si>
  <si>
    <t>13.4.07.559388404</t>
  </si>
  <si>
    <t>13.7.12.582282722</t>
  </si>
  <si>
    <t>14.0.11.612796517</t>
  </si>
  <si>
    <t>14.0.0.542209127</t>
  </si>
  <si>
    <t>14.0.0.562957504</t>
  </si>
  <si>
    <t>14.1.0.595874199</t>
  </si>
  <si>
    <t>20230630_00_RC02</t>
  </si>
  <si>
    <t>20231010_01_RC03</t>
  </si>
  <si>
    <t>20240409_01_RC02</t>
  </si>
  <si>
    <t>20240708_03_RC05</t>
  </si>
  <si>
    <t>233.0.609080637</t>
  </si>
  <si>
    <t>1.0.497075570</t>
  </si>
  <si>
    <t>1.3209.622592511.0</t>
  </si>
  <si>
    <t>1.4374.656266854.0</t>
  </si>
  <si>
    <t>1.9.0.473991075</t>
  </si>
  <si>
    <t>23.25.18</t>
  </si>
  <si>
    <t>23.42.12</t>
  </si>
  <si>
    <t>24.07.13</t>
  </si>
  <si>
    <t>24.31.37 (200300-662270918)</t>
  </si>
  <si>
    <t>24.50.34 (200400-713002902)</t>
  </si>
  <si>
    <t>3.80.545563147.31</t>
  </si>
  <si>
    <t>3.88.571812781.31</t>
  </si>
  <si>
    <t>3.95.600332710.31</t>
  </si>
  <si>
    <t>20230620_01_RC01</t>
  </si>
  <si>
    <t>13_202208</t>
  </si>
  <si>
    <t>13_202209</t>
  </si>
  <si>
    <t>13_202211</t>
  </si>
  <si>
    <t>13_202301</t>
  </si>
  <si>
    <t>13_202304</t>
  </si>
  <si>
    <t>13_202310</t>
  </si>
  <si>
    <t>13_202401</t>
  </si>
  <si>
    <t>13_202406</t>
  </si>
  <si>
    <t>13_202411</t>
  </si>
  <si>
    <t>13_202503</t>
  </si>
  <si>
    <t>13-8768315</t>
  </si>
  <si>
    <t>13-9471438</t>
  </si>
  <si>
    <t>13-11163131</t>
  </si>
  <si>
    <t>213016903065.396922230.396922230</t>
  </si>
  <si>
    <t>223616901048.482232578.482232578</t>
  </si>
  <si>
    <t>22.21.16</t>
  </si>
  <si>
    <t>22.26.15</t>
  </si>
  <si>
    <t>22.41.13</t>
  </si>
  <si>
    <t>22.49.15</t>
  </si>
  <si>
    <t>23.10.15</t>
  </si>
  <si>
    <t>23.37.17</t>
  </si>
  <si>
    <t>23.49.14</t>
  </si>
  <si>
    <t>1.0.430697952</t>
  </si>
  <si>
    <t>1.0.469423054</t>
  </si>
  <si>
    <t>1.0.475802943</t>
  </si>
  <si>
    <t>1.0.486055334</t>
  </si>
  <si>
    <t>1.0.510474504</t>
  </si>
  <si>
    <t>1.0.578846931</t>
  </si>
  <si>
    <t>1.20</t>
  </si>
  <si>
    <t>30.4.17-21</t>
  </si>
  <si>
    <t>32.0.20-21</t>
  </si>
  <si>
    <t>32.8.18-21 [0] [PR] 481699564</t>
  </si>
  <si>
    <t>33.9.15-21 [0] [PR] 498467920</t>
  </si>
  <si>
    <t>35.0.15-21 [0] [PR] 519197268</t>
  </si>
  <si>
    <t>37.7.19-29 [0] [PR] 567690537</t>
  </si>
  <si>
    <t>38.8.31-29 [0] [PR] 595838346</t>
  </si>
  <si>
    <t>41.1.19</t>
  </si>
  <si>
    <t>233.456442225</t>
  </si>
  <si>
    <t>233.474700706</t>
  </si>
  <si>
    <t>233.485296332</t>
  </si>
  <si>
    <t>233.517103911</t>
  </si>
  <si>
    <t>1.33.448791223</t>
  </si>
  <si>
    <t>13.21.16.26</t>
  </si>
  <si>
    <t>13.34.12.26</t>
  </si>
  <si>
    <t>13.48.11.26</t>
  </si>
  <si>
    <t>14.12.12.26</t>
  </si>
  <si>
    <t>14.39.39.28</t>
  </si>
  <si>
    <t>15.0.14.28</t>
  </si>
  <si>
    <t>15.22.32</t>
  </si>
  <si>
    <t>15.43.37.28</t>
  </si>
  <si>
    <t>1.2.521400</t>
  </si>
  <si>
    <t>1.2.526000-stub</t>
  </si>
  <si>
    <t>1.0.459081279</t>
  </si>
  <si>
    <t>1.1.463639936</t>
  </si>
  <si>
    <t>1.3.478761307</t>
  </si>
  <si>
    <t>1.4.489941911</t>
  </si>
  <si>
    <t>1.6.511042837</t>
  </si>
  <si>
    <t>1.6.551070056</t>
  </si>
  <si>
    <t>1.6.569650261</t>
  </si>
  <si>
    <t>T.3.sysimg.oemfull.453200829</t>
  </si>
  <si>
    <t>T.29.playstore.oemfull.551304676</t>
  </si>
  <si>
    <t>PriveComputeServices</t>
  </si>
  <si>
    <t>1.0.437346387</t>
  </si>
  <si>
    <t>1.0.release.485553990</t>
  </si>
  <si>
    <t>1.0.release.588154122</t>
  </si>
  <si>
    <t>86.0.410011749</t>
  </si>
  <si>
    <t>117.0.466044276</t>
  </si>
  <si>
    <t>20221003_02_RC00</t>
  </si>
  <si>
    <t>20221114_00_RC00</t>
  </si>
  <si>
    <t>20230227_00_RC01</t>
  </si>
  <si>
    <t>20230522_00_RC00</t>
  </si>
  <si>
    <t>73.0.414822266</t>
  </si>
  <si>
    <t>87.0.468061598</t>
  </si>
  <si>
    <t>90.0.477356402</t>
  </si>
  <si>
    <t>95.1.499580071</t>
  </si>
  <si>
    <t>100.0.512999549</t>
  </si>
  <si>
    <t>120.0.585477676</t>
  </si>
  <si>
    <t>1.10</t>
  </si>
  <si>
    <t>1.24.0.438844896</t>
  </si>
  <si>
    <t>1.25.0.463856034</t>
  </si>
  <si>
    <t>2022.07.21.466916624</t>
  </si>
  <si>
    <t>2022.09.15.478916153</t>
  </si>
  <si>
    <t>2022.11.10.490217338</t>
  </si>
  <si>
    <t>2023.02.02.512845784</t>
  </si>
  <si>
    <t>2023.10.12.580307358</t>
  </si>
  <si>
    <t>13-9592525</t>
  </si>
  <si>
    <t>101.0.4951.74</t>
  </si>
  <si>
    <t>104.0.5112.97</t>
  </si>
  <si>
    <t>106.0.5249.126</t>
  </si>
  <si>
    <t>108.0.5359.128</t>
  </si>
  <si>
    <t>111.0.5563.116</t>
  </si>
  <si>
    <t>2.22.017.0.90</t>
  </si>
  <si>
    <t>2.22.317.2</t>
  </si>
  <si>
    <t>2.22.417.1</t>
  </si>
  <si>
    <t>2.22.497.2</t>
  </si>
  <si>
    <t>2.23.111.2</t>
  </si>
  <si>
    <t>2.23.377.2</t>
  </si>
  <si>
    <t>2.23.527.0</t>
  </si>
  <si>
    <t>Duo</t>
  </si>
  <si>
    <t>168.0.452535232</t>
  </si>
  <si>
    <t>173.0.468251367</t>
  </si>
  <si>
    <t>177.0.481235917</t>
  </si>
  <si>
    <t>183.0.497699796</t>
  </si>
  <si>
    <t>188.0.516867075</t>
  </si>
  <si>
    <t>211.0.566141806</t>
  </si>
  <si>
    <t>221.0.586116588</t>
  </si>
  <si>
    <t>2022.05.15.451247947</t>
  </si>
  <si>
    <t>2022.08.07.469547715</t>
  </si>
  <si>
    <t>2022.09.18.479203120</t>
  </si>
  <si>
    <t>2022.11.13.490644112</t>
  </si>
  <si>
    <t>2023.03.05.518353126</t>
  </si>
  <si>
    <t>2023.09.17.567125956</t>
  </si>
  <si>
    <t>2023.11.26.586591930</t>
  </si>
  <si>
    <t>2021.41.2-406147485</t>
  </si>
  <si>
    <t>11.33.1</t>
  </si>
  <si>
    <t>11.45.0603</t>
  </si>
  <si>
    <t>11.53.0004</t>
  </si>
  <si>
    <t>11.60.0703</t>
  </si>
  <si>
    <t>11.72.0302</t>
  </si>
  <si>
    <t>11.99.0500</t>
  </si>
  <si>
    <t>11.109.0101</t>
  </si>
  <si>
    <t>5.95.0.455702006</t>
  </si>
  <si>
    <t>6.4.0.469061440</t>
  </si>
  <si>
    <t>6.18.0.499567106</t>
  </si>
  <si>
    <t>6.55.0.568344569</t>
  </si>
  <si>
    <t>6.65.0.595576881</t>
  </si>
  <si>
    <t>4.32.57</t>
  </si>
  <si>
    <t>4.32.62</t>
  </si>
  <si>
    <t>4.35.10.20</t>
  </si>
  <si>
    <t>4.39.329.515737620.3</t>
  </si>
  <si>
    <t>4.39.1159.564773297.3</t>
  </si>
  <si>
    <t>4.39.1360.576763099.0</t>
  </si>
  <si>
    <t>17.23.35</t>
  </si>
  <si>
    <t>17.32.38</t>
  </si>
  <si>
    <t>18.12.34</t>
  </si>
  <si>
    <t>18.38.37</t>
  </si>
  <si>
    <t>18.49.36</t>
  </si>
  <si>
    <t>5.11.55</t>
  </si>
  <si>
    <t>5.22.54</t>
  </si>
  <si>
    <t>5.29.52</t>
  </si>
  <si>
    <t>5.38.53</t>
  </si>
  <si>
    <t>5.49.54</t>
  </si>
  <si>
    <t>6.21.51</t>
  </si>
  <si>
    <t>6.33.51</t>
  </si>
  <si>
    <t>20211227.01_p0.418500578</t>
  </si>
  <si>
    <t>20220725.01_p1.465296285</t>
  </si>
  <si>
    <t>20220905.02_p0.472335477</t>
  </si>
  <si>
    <t>20230206.01_p2.509666633</t>
  </si>
  <si>
    <t>20230904.02_p1.563876699</t>
  </si>
  <si>
    <t>8.1</t>
  </si>
  <si>
    <t>8.3</t>
  </si>
  <si>
    <t>8.4</t>
  </si>
  <si>
    <t>8.4.1</t>
  </si>
  <si>
    <t>2021.49.2-416232454-release</t>
  </si>
  <si>
    <t>2022.32.0-465895565</t>
  </si>
  <si>
    <t>2022.40.1-479291834</t>
  </si>
  <si>
    <t>2022.48.2-494681027</t>
  </si>
  <si>
    <t>2023.10.2-516245943</t>
  </si>
  <si>
    <t>7.1</t>
  </si>
  <si>
    <t>7.3</t>
  </si>
  <si>
    <t>7.4</t>
  </si>
  <si>
    <t>7.5</t>
  </si>
  <si>
    <t>7.6</t>
  </si>
  <si>
    <t>3.59.3.413794954</t>
  </si>
  <si>
    <t>3.75.24.467649117</t>
  </si>
  <si>
    <t>3.79.25.482836302</t>
  </si>
  <si>
    <t>3.82.22.493746609</t>
  </si>
  <si>
    <t>4.4.20.516283924</t>
  </si>
  <si>
    <t>4.18.23.567376267</t>
  </si>
  <si>
    <t>5.22.202.00.90</t>
  </si>
  <si>
    <t>5.22.322.03.90</t>
  </si>
  <si>
    <t>5.22.502.02.90</t>
  </si>
  <si>
    <t>5.23.102.03.90</t>
  </si>
  <si>
    <t>5.23.382.03.90</t>
  </si>
  <si>
    <t>5.23.502.02.90</t>
  </si>
  <si>
    <t>11.2.10.404227572</t>
  </si>
  <si>
    <t>12.0.06.457705062</t>
  </si>
  <si>
    <t>12.2.05.469624536</t>
  </si>
  <si>
    <t>12.4.05.482060964</t>
  </si>
  <si>
    <t>12.6.02.491625702</t>
  </si>
  <si>
    <t>13.6.11.574113912</t>
  </si>
  <si>
    <t>12.0.0.393274951</t>
  </si>
  <si>
    <t>13.0.0.456695251</t>
  </si>
  <si>
    <t>13.0.0.473912301</t>
  </si>
  <si>
    <t>13.0.0.494034781</t>
  </si>
  <si>
    <t>14.1.0.592229760</t>
  </si>
  <si>
    <t>10.7.461</t>
  </si>
  <si>
    <t>20220809_01_RC02</t>
  </si>
  <si>
    <t>20221003_05_RC01</t>
  </si>
  <si>
    <t>20221115_01_RC01</t>
  </si>
  <si>
    <t>20230228_01_RC03</t>
  </si>
  <si>
    <t>20230912_01_RC01</t>
  </si>
  <si>
    <t>20231114_01_RC11</t>
  </si>
  <si>
    <t>2.12.0.406535943</t>
  </si>
  <si>
    <t>2.13.0.439234666</t>
  </si>
  <si>
    <t>2.14.0.481827381</t>
  </si>
  <si>
    <t>Duo Go</t>
  </si>
  <si>
    <t>DuoGo</t>
  </si>
  <si>
    <t>157.0.419023025</t>
  </si>
  <si>
    <t>1.0.406984716</t>
  </si>
  <si>
    <t>1.0.468118265</t>
  </si>
  <si>
    <t>1.0.478212797</t>
  </si>
  <si>
    <t>1.70.515599993</t>
  </si>
  <si>
    <t>1.8.4.404382111</t>
  </si>
  <si>
    <t>1.8.8.436428459</t>
  </si>
  <si>
    <t>1.8.9.465239415</t>
  </si>
  <si>
    <t>Phone Lite</t>
  </si>
  <si>
    <t>GoogleDialerGo</t>
  </si>
  <si>
    <t>3.38.396528471.31</t>
  </si>
  <si>
    <t>3.58.464445598.31</t>
  </si>
  <si>
    <t>3.67.493282420.31</t>
  </si>
  <si>
    <t>3.72.516187704.31</t>
  </si>
  <si>
    <t>3.92.587580998.31</t>
  </si>
  <si>
    <t>13.3.06.551538635</t>
  </si>
  <si>
    <t>10.7.461 (10.7.460_RC01</t>
  </si>
  <si>
    <t>12_202110</t>
  </si>
  <si>
    <t>12_202111</t>
  </si>
  <si>
    <t>12_202112</t>
  </si>
  <si>
    <t>12_202201</t>
  </si>
  <si>
    <t>12_202202</t>
  </si>
  <si>
    <t>12_202204</t>
  </si>
  <si>
    <t>12_202207</t>
  </si>
  <si>
    <t>12_202210</t>
  </si>
  <si>
    <t>12_202212</t>
  </si>
  <si>
    <t>12_202304</t>
  </si>
  <si>
    <t>12-7567768</t>
  </si>
  <si>
    <t>12-8072170</t>
  </si>
  <si>
    <t>213016903061.396922230.396922230</t>
  </si>
  <si>
    <t>21.30.16</t>
  </si>
  <si>
    <t>21.39.18</t>
  </si>
  <si>
    <t>21.48.15</t>
  </si>
  <si>
    <t>22.06.18</t>
  </si>
  <si>
    <t>22.18.20</t>
  </si>
  <si>
    <t>22.30.17</t>
  </si>
  <si>
    <t>23.08.15</t>
  </si>
  <si>
    <t>12-8361351</t>
  </si>
  <si>
    <t>12-9120678</t>
  </si>
  <si>
    <t>12-9344985</t>
  </si>
  <si>
    <t>100.404341199</t>
  </si>
  <si>
    <t>1.0.382048734</t>
  </si>
  <si>
    <t>1.0.399954746</t>
  </si>
  <si>
    <t>1.0.412254046</t>
  </si>
  <si>
    <t xml:space="preserve">1.0.43 </t>
  </si>
  <si>
    <t>1.0.447422065</t>
  </si>
  <si>
    <t>2.10.0.380528351</t>
  </si>
  <si>
    <t>26.5.19-21</t>
  </si>
  <si>
    <t>27.7.14-21</t>
  </si>
  <si>
    <t>28.8.17-21</t>
  </si>
  <si>
    <t>29.8.13-21</t>
  </si>
  <si>
    <t>31.0.39-21</t>
  </si>
  <si>
    <t>32.4.13-21</t>
  </si>
  <si>
    <t>34.7.10-21</t>
  </si>
  <si>
    <t>232.429004660</t>
  </si>
  <si>
    <t>1.31.384236753</t>
  </si>
  <si>
    <t>1.32.413291692</t>
  </si>
  <si>
    <t>1.32.429281027</t>
  </si>
  <si>
    <t>12.25.10.23</t>
  </si>
  <si>
    <t>12.42.18.23</t>
  </si>
  <si>
    <t>13.2.19.23</t>
  </si>
  <si>
    <t>13.11.10.23</t>
  </si>
  <si>
    <t>13.25.10.26</t>
  </si>
  <si>
    <t>14.9.9.26</t>
  </si>
  <si>
    <t>1.2.512930</t>
  </si>
  <si>
    <t>1.2.520120</t>
  </si>
  <si>
    <t>1.0.391488074</t>
  </si>
  <si>
    <t>1.0.394639398</t>
  </si>
  <si>
    <t>1.0.410515141</t>
  </si>
  <si>
    <t>1.0.427802149</t>
  </si>
  <si>
    <t>1.0.444508425</t>
  </si>
  <si>
    <t>1.2.471528154</t>
  </si>
  <si>
    <t>68.0.385172994</t>
  </si>
  <si>
    <t>95.0.430454302</t>
  </si>
  <si>
    <t>105.0.450440045</t>
  </si>
  <si>
    <t>20220905_02_RC02</t>
  </si>
  <si>
    <t>20230213_00_RC00</t>
  </si>
  <si>
    <t>67.0.383690429</t>
  </si>
  <si>
    <t>71.0.405711424</t>
  </si>
  <si>
    <t>77.0.432472356</t>
  </si>
  <si>
    <t>82.0.448635518</t>
  </si>
  <si>
    <t>88.1.474643964</t>
  </si>
  <si>
    <t>99.0.512778607</t>
  </si>
  <si>
    <t>1.21.0.381232772</t>
  </si>
  <si>
    <t>1.22.0.389950379</t>
  </si>
  <si>
    <t>1.23.0.412093851</t>
  </si>
  <si>
    <t>S.15.sysimg</t>
  </si>
  <si>
    <t>1.0.432459736</t>
  </si>
  <si>
    <t>91.0.4472.114</t>
  </si>
  <si>
    <t>95.0.4638.74</t>
  </si>
  <si>
    <t>99.0.4844.88</t>
  </si>
  <si>
    <t>102.0.5005.125</t>
  </si>
  <si>
    <t>105.0.5195.136</t>
  </si>
  <si>
    <t>110.0.5481.153</t>
  </si>
  <si>
    <t>2.21.301.02.90</t>
  </si>
  <si>
    <t>2.21.417.3.90</t>
  </si>
  <si>
    <t>2.22.097.3</t>
  </si>
  <si>
    <t>2.22.237.0.</t>
  </si>
  <si>
    <t>2.22.377.1</t>
  </si>
  <si>
    <t>2.23.091.0</t>
  </si>
  <si>
    <t>146.0.387384454</t>
  </si>
  <si>
    <t>151.0.404576240</t>
  </si>
  <si>
    <t>162.0.434856097</t>
  </si>
  <si>
    <t>175.0.473010588</t>
  </si>
  <si>
    <t>177.0.485451249</t>
  </si>
  <si>
    <t>2021.07.25.389783595</t>
  </si>
  <si>
    <t>2021.10.03.404390235</t>
  </si>
  <si>
    <t>2021.12.26.419629782</t>
  </si>
  <si>
    <t>2022.03.06.435481167</t>
  </si>
  <si>
    <t>2022.08.21.473115440</t>
  </si>
  <si>
    <t>2023.02.19.514578027</t>
  </si>
  <si>
    <t>2021.23.3-389584493</t>
  </si>
  <si>
    <t>Google Contacts Sync</t>
  </si>
  <si>
    <t>GoogleContactsSyncAdapter</t>
  </si>
  <si>
    <t>com.google.android.syncadapters.contacts</t>
  </si>
  <si>
    <t>10.83.1</t>
  </si>
  <si>
    <t>11.5.1</t>
  </si>
  <si>
    <t>11.12.3</t>
  </si>
  <si>
    <t>11.22.2</t>
  </si>
  <si>
    <t>11.35.1</t>
  </si>
  <si>
    <t>11.48.0801</t>
  </si>
  <si>
    <t>11.69.0401</t>
  </si>
  <si>
    <t>5.55.0.390939483</t>
  </si>
  <si>
    <t>5.66.0.406885096</t>
  </si>
  <si>
    <t>5.72.0.421580696</t>
  </si>
  <si>
    <t>5.82.0.434379353</t>
  </si>
  <si>
    <t>4.27.31.70</t>
  </si>
  <si>
    <t>4.30.15</t>
  </si>
  <si>
    <t>4.39.301.511705495.0</t>
  </si>
  <si>
    <t>16.32.34</t>
  </si>
  <si>
    <t>16.43.34</t>
  </si>
  <si>
    <t>17.01.35</t>
  </si>
  <si>
    <t>17.11.34</t>
  </si>
  <si>
    <t>4.41.51</t>
  </si>
  <si>
    <t>4.52.50</t>
  </si>
  <si>
    <t>4.48.53</t>
  </si>
  <si>
    <t>4.60.52</t>
  </si>
  <si>
    <t xml:space="preserve"> 4.70.50</t>
  </si>
  <si>
    <t>5.47.53</t>
  </si>
  <si>
    <t>20210816.02_p0.391165507</t>
  </si>
  <si>
    <t>20210914.01_p4.398601325</t>
  </si>
  <si>
    <t>20211021.01_p1.405680002</t>
  </si>
  <si>
    <t>20220221.02_p3.432326328</t>
  </si>
  <si>
    <t>20220512.01_p1.450474071</t>
  </si>
  <si>
    <t>20220822.02_p0.469315275</t>
  </si>
  <si>
    <t>2021.31.2-391227814</t>
  </si>
  <si>
    <t>2021.43.2-407522205</t>
  </si>
  <si>
    <t>2021.49.2-416232454</t>
  </si>
  <si>
    <t>2022.10.2-435344937</t>
  </si>
  <si>
    <t>2022.22.1-452027150</t>
  </si>
  <si>
    <t>2022.36.0-472143158</t>
  </si>
  <si>
    <t>2023.08.2-511758217</t>
  </si>
  <si>
    <t>3.51.1.388199234</t>
  </si>
  <si>
    <t>3.56.1.403271978</t>
  </si>
  <si>
    <t>3.64.3.435489069</t>
  </si>
  <si>
    <t>3.70.3.453319987</t>
  </si>
  <si>
    <t>3.76.26.471848990</t>
  </si>
  <si>
    <t>4.3.26.511672057</t>
  </si>
  <si>
    <t>5.20.491.01.40</t>
  </si>
  <si>
    <t>5.21.501.03.80</t>
  </si>
  <si>
    <t>5.22.102.00.90</t>
  </si>
  <si>
    <t>11.8.04.446165824</t>
  </si>
  <si>
    <t>5.22.362.00.90</t>
  </si>
  <si>
    <t>5.23.082.02.90</t>
  </si>
  <si>
    <t>10.8.05.382062350</t>
  </si>
  <si>
    <t>11.1.04.397969183</t>
  </si>
  <si>
    <t>12.1.06.463429027</t>
  </si>
  <si>
    <t>12.2.0.442723463</t>
  </si>
  <si>
    <t>13.1.0.501229322</t>
  </si>
  <si>
    <t>8.4.036</t>
  </si>
  <si>
    <t>10.2.223</t>
  </si>
  <si>
    <t>20220304_03_RC03</t>
  </si>
  <si>
    <t>20220524_00_RC01</t>
  </si>
  <si>
    <t>2.11.0.391092790</t>
  </si>
  <si>
    <t>161.0.433010993</t>
  </si>
  <si>
    <t>1.0.389363820</t>
  </si>
  <si>
    <t>1.0.400489743</t>
  </si>
  <si>
    <t>1.0.428075659</t>
  </si>
  <si>
    <t>1.0.452918124</t>
  </si>
  <si>
    <t>1.0.471963630</t>
  </si>
  <si>
    <t>1.0.509384725</t>
  </si>
  <si>
    <t>1.8.0.385085082</t>
  </si>
  <si>
    <t>1.8.3.401143311</t>
  </si>
  <si>
    <t>GMail Go</t>
  </si>
  <si>
    <t>GMailGo</t>
  </si>
  <si>
    <t>2020.10.15.341102866</t>
  </si>
  <si>
    <t>2021.11.03.408935760</t>
  </si>
  <si>
    <t>2021.11.03.429633235</t>
  </si>
  <si>
    <t>2022.10.10.480125827</t>
  </si>
  <si>
    <t>21.30.1</t>
  </si>
  <si>
    <t xml:space="preserve"> 73.0.414822266</t>
  </si>
  <si>
    <t>3.60.474802233.31</t>
  </si>
  <si>
    <t>Maps Go</t>
  </si>
  <si>
    <t>MapsGo</t>
  </si>
  <si>
    <t>155.0</t>
  </si>
  <si>
    <t>159.0</t>
  </si>
  <si>
    <t>160.1</t>
  </si>
  <si>
    <t>20220222_01_RC01</t>
  </si>
  <si>
    <t>Navigation Go</t>
  </si>
  <si>
    <t>NavGo</t>
  </si>
  <si>
    <t>10.55.0</t>
  </si>
  <si>
    <t>10.74.3</t>
  </si>
  <si>
    <t>11_202009</t>
  </si>
  <si>
    <t>11_202010</t>
  </si>
  <si>
    <t>11_202011</t>
  </si>
  <si>
    <t>11_202101</t>
  </si>
  <si>
    <t>11_202102</t>
  </si>
  <si>
    <t>11_202103</t>
  </si>
  <si>
    <t>11_202104</t>
  </si>
  <si>
    <t>11_202106</t>
  </si>
  <si>
    <t>11_202108</t>
  </si>
  <si>
    <t>11_202109</t>
  </si>
  <si>
    <t>11_202111</t>
  </si>
  <si>
    <t>11_202201</t>
  </si>
  <si>
    <t>11_202203</t>
  </si>
  <si>
    <t>11-6684105</t>
  </si>
  <si>
    <t>200475003</t>
  </si>
  <si>
    <t>20.30.19</t>
  </si>
  <si>
    <t>20.33.15</t>
  </si>
  <si>
    <t>20.39.15</t>
  </si>
  <si>
    <t>20.45.16</t>
  </si>
  <si>
    <t>21.02.14</t>
  </si>
  <si>
    <t>21.06.13</t>
  </si>
  <si>
    <t>21.09.15</t>
  </si>
  <si>
    <t>21.15.15</t>
  </si>
  <si>
    <t>21.26.21</t>
  </si>
  <si>
    <t>21.36.14</t>
  </si>
  <si>
    <t>21.45.16</t>
  </si>
  <si>
    <t>22.02.21</t>
  </si>
  <si>
    <t>100.327071041</t>
  </si>
  <si>
    <t>1.0.290634092</t>
  </si>
  <si>
    <t>1.0.334154002</t>
  </si>
  <si>
    <t>Google Speech Services</t>
  </si>
  <si>
    <t>SearchSpeechServices</t>
  </si>
  <si>
    <t>com.google.android.apps.speechservices</t>
  </si>
  <si>
    <t>1.0.8</t>
  </si>
  <si>
    <t>20.4.33</t>
  </si>
  <si>
    <t>22.1.18</t>
  </si>
  <si>
    <t>22.4.25-21</t>
  </si>
  <si>
    <t>23.0.11-21</t>
  </si>
  <si>
    <t>24.2.15-21</t>
  </si>
  <si>
    <t xml:space="preserve">24.7.20-21 </t>
  </si>
  <si>
    <t>25.4.20-21</t>
  </si>
  <si>
    <t>26.4.21-21</t>
  </si>
  <si>
    <t>27.0.15-21</t>
  </si>
  <si>
    <t>27.6.16-21</t>
  </si>
  <si>
    <t>28.3.16-21</t>
  </si>
  <si>
    <t>29.4.13-21</t>
  </si>
  <si>
    <t>230.316590326</t>
  </si>
  <si>
    <t>230.329243634</t>
  </si>
  <si>
    <t>230.336637521</t>
  </si>
  <si>
    <t>230.346018473</t>
  </si>
  <si>
    <t>230.358105869</t>
  </si>
  <si>
    <t>230.367616364</t>
  </si>
  <si>
    <t>1.30.322556241</t>
  </si>
  <si>
    <t>1.30.337808798</t>
  </si>
  <si>
    <t>11.21.9.21</t>
  </si>
  <si>
    <t>11.30.9.21</t>
  </si>
  <si>
    <t>11.35.8.23</t>
  </si>
  <si>
    <t>12.4.9.23</t>
  </si>
  <si>
    <t>12.10.7.23</t>
  </si>
  <si>
    <t>12.14.7.23</t>
  </si>
  <si>
    <t>12.19.11.23</t>
  </si>
  <si>
    <t>12.34.17.23</t>
  </si>
  <si>
    <t>13.7.7.23</t>
  </si>
  <si>
    <t>1.1.801650-stub</t>
  </si>
  <si>
    <t>1.0.312292882</t>
  </si>
  <si>
    <t>1.0.334333145</t>
  </si>
  <si>
    <t>1.0.344030641</t>
  </si>
  <si>
    <t>1.0.351358120</t>
  </si>
  <si>
    <t>1.0.364375698</t>
  </si>
  <si>
    <t>1.0.381222135</t>
  </si>
  <si>
    <t>41.0.318123893</t>
  </si>
  <si>
    <t>48.0.335972766</t>
  </si>
  <si>
    <t>48.0.343154920</t>
  </si>
  <si>
    <t>52.0.351631892</t>
  </si>
  <si>
    <t>54.0.357234390</t>
  </si>
  <si>
    <t>56.0.362557016</t>
  </si>
  <si>
    <t>59.0.373218582</t>
  </si>
  <si>
    <t>67.0.383886470</t>
  </si>
  <si>
    <t>72.0.392496164</t>
  </si>
  <si>
    <t>79.0.400255698</t>
  </si>
  <si>
    <t>92.0.426404780</t>
  </si>
  <si>
    <t>50.0.315427840</t>
  </si>
  <si>
    <t>53.0.326679872</t>
  </si>
  <si>
    <t>56.0.338781849</t>
  </si>
  <si>
    <t>58.0.346367036</t>
  </si>
  <si>
    <t>60.0.352032784</t>
  </si>
  <si>
    <t>62.0.360486235</t>
  </si>
  <si>
    <t>63.0.364655934</t>
  </si>
  <si>
    <t>65.0.370544174</t>
  </si>
  <si>
    <t>69.0.392727699</t>
  </si>
  <si>
    <t>70.05.401408800</t>
  </si>
  <si>
    <t>72.1.414558115</t>
  </si>
  <si>
    <t>74.0.424204618</t>
  </si>
  <si>
    <t>Device setup</t>
  </si>
  <si>
    <t>OobConfig</t>
  </si>
  <si>
    <t>com.google.android.apps.work.oobconfig</t>
  </si>
  <si>
    <t>1.0.312804717</t>
  </si>
  <si>
    <t>com.google.android.apps.turbo</t>
  </si>
  <si>
    <t>1.15.0.311380394</t>
  </si>
  <si>
    <t>1.19.0.354284804</t>
  </si>
  <si>
    <t>1.20.0.369229638</t>
  </si>
  <si>
    <t>11-7083952</t>
  </si>
  <si>
    <t>11-7276604</t>
  </si>
  <si>
    <t>83.0.4103.106</t>
  </si>
  <si>
    <t>86.0.4240.185</t>
  </si>
  <si>
    <t>87.0.4280.141</t>
  </si>
  <si>
    <t>88.0.4324.181</t>
  </si>
  <si>
    <t>90.0.4430.210</t>
  </si>
  <si>
    <t>92.0.4515.131</t>
  </si>
  <si>
    <t>93.0.4577.62</t>
  </si>
  <si>
    <t>94.0.4606.85</t>
  </si>
  <si>
    <t>97.0.4692.98</t>
  </si>
  <si>
    <t>2.20.241.04</t>
  </si>
  <si>
    <t>2.20.421.05.45</t>
  </si>
  <si>
    <t>2.20.511.04.43</t>
  </si>
  <si>
    <t>2.21.061.04.43</t>
  </si>
  <si>
    <t>2.21.081.03.43</t>
  </si>
  <si>
    <t>2.21.121.05.43</t>
  </si>
  <si>
    <t>2.21.181.07.43</t>
  </si>
  <si>
    <t>2.21.281.04.90</t>
  </si>
  <si>
    <t>2.21.330.4.90</t>
  </si>
  <si>
    <t>2.21.397.0.90</t>
  </si>
  <si>
    <t>2.21.481.2.90</t>
  </si>
  <si>
    <t>2.22.057.8</t>
  </si>
  <si>
    <t>91.0.315322534</t>
  </si>
  <si>
    <t>111.0.339107924</t>
  </si>
  <si>
    <t>117.0.346887590</t>
  </si>
  <si>
    <t>123.0.354349439</t>
  </si>
  <si>
    <t>125.0.354405174</t>
  </si>
  <si>
    <t>133.0.367046157</t>
  </si>
  <si>
    <t>138.0.371209553</t>
  </si>
  <si>
    <t>145.0.385228731</t>
  </si>
  <si>
    <t>147.0.390231946.</t>
  </si>
  <si>
    <t>150.0.402863138</t>
  </si>
  <si>
    <t>155.0.413543298</t>
  </si>
  <si>
    <t>159.0.427847019</t>
  </si>
  <si>
    <t>2020.05.31.316831277</t>
  </si>
  <si>
    <t>2020.10.18.341076532</t>
  </si>
  <si>
    <t>2020.11.29.346182102</t>
  </si>
  <si>
    <t>2021.01.24.356386247</t>
  </si>
  <si>
    <t>2021.02.21.361635104</t>
  </si>
  <si>
    <t>2021.03.21.366143478</t>
  </si>
  <si>
    <t>2021.04.18.371442425</t>
  </si>
  <si>
    <t>2021.07.11.387440246</t>
  </si>
  <si>
    <t>2021.08.08.392063719</t>
  </si>
  <si>
    <t>2021.11.28.415100679</t>
  </si>
  <si>
    <t>2022.02.06.429391580</t>
  </si>
  <si>
    <t>2020.20.5-319002662</t>
  </si>
  <si>
    <t>10.36.5</t>
  </si>
  <si>
    <t>10.55.2</t>
  </si>
  <si>
    <t>10.57.1</t>
  </si>
  <si>
    <t>10.61.2</t>
  </si>
  <si>
    <t>10.62.1</t>
  </si>
  <si>
    <t>10.64.2</t>
  </si>
  <si>
    <t>10.69.0</t>
  </si>
  <si>
    <t>10.80.0</t>
  </si>
  <si>
    <t>10.85.2</t>
  </si>
  <si>
    <t>11.3.3</t>
  </si>
  <si>
    <t>11.11.2</t>
  </si>
  <si>
    <t>11.18.3</t>
  </si>
  <si>
    <t>5.0.0.317714334</t>
  </si>
  <si>
    <t>5.18.0.340691283</t>
  </si>
  <si>
    <t>5.23.3.348108244</t>
  </si>
  <si>
    <t>5.30.0.357810041</t>
  </si>
  <si>
    <t>5.34.0.363108239</t>
  </si>
  <si>
    <t>5.38.0.368224767</t>
  </si>
  <si>
    <t>5.43.0.374757420</t>
  </si>
  <si>
    <t>5.52.0.387241369</t>
  </si>
  <si>
    <t>5.57.0.394309483</t>
  </si>
  <si>
    <t>5.64.0.404595723</t>
  </si>
  <si>
    <t>5.71.0.416067338</t>
  </si>
  <si>
    <t>5.81.0.433853746</t>
  </si>
  <si>
    <t>4.20.6</t>
  </si>
  <si>
    <t>4.23.23.42</t>
  </si>
  <si>
    <t>4.24.17</t>
  </si>
  <si>
    <t>4.25.1.14</t>
  </si>
  <si>
    <t>4.28.50</t>
  </si>
  <si>
    <t>4.31.6.38</t>
  </si>
  <si>
    <t>15.26.34</t>
  </si>
  <si>
    <t>15.44.33</t>
  </si>
  <si>
    <t>15.50.35</t>
  </si>
  <si>
    <t>16.06.34</t>
  </si>
  <si>
    <t>16.10.34</t>
  </si>
  <si>
    <t>16.14.34</t>
  </si>
  <si>
    <t>16.19.37</t>
  </si>
  <si>
    <t>16.30.34</t>
  </si>
  <si>
    <t>16.35.36</t>
  </si>
  <si>
    <t>16.41.35</t>
  </si>
  <si>
    <t>16.49.37</t>
  </si>
  <si>
    <t>17.07.35</t>
  </si>
  <si>
    <t>3.71.57</t>
  </si>
  <si>
    <t>4.02.51</t>
  </si>
  <si>
    <t>4.09.51</t>
  </si>
  <si>
    <t>4.15.50</t>
  </si>
  <si>
    <t>4.19.51</t>
  </si>
  <si>
    <t>4.23.50</t>
  </si>
  <si>
    <t>4.28.52</t>
  </si>
  <si>
    <t>4.38.51</t>
  </si>
  <si>
    <t>4.44.52</t>
  </si>
  <si>
    <t>4.66.51</t>
  </si>
  <si>
    <t>Google Text-to-speech Engine</t>
  </si>
  <si>
    <t>GoogleTTS</t>
  </si>
  <si>
    <t>22.10.313224691</t>
  </si>
  <si>
    <t>23.12.333383720</t>
  </si>
  <si>
    <t>24.5.347911411</t>
  </si>
  <si>
    <t>25.2.1.361632836</t>
  </si>
  <si>
    <t>26.2.4.385195680</t>
  </si>
  <si>
    <t>7.8</t>
  </si>
  <si>
    <t>2020.22.4</t>
  </si>
  <si>
    <t>2020.44.1-340608778</t>
  </si>
  <si>
    <t>2020.48.5-347345946</t>
  </si>
  <si>
    <t>2021.05.0-354818930</t>
  </si>
  <si>
    <t>2021.09.3-362895441</t>
  </si>
  <si>
    <t>2021.13.2-366961965</t>
  </si>
  <si>
    <t>2021.19.0-372815398</t>
  </si>
  <si>
    <t>2021.29.1-388401647</t>
  </si>
  <si>
    <t>2021.33.3-393288626</t>
  </si>
  <si>
    <t>2021.41.1-404529937</t>
  </si>
  <si>
    <t>2022.06.1-428437944</t>
  </si>
  <si>
    <t>6.3</t>
  </si>
  <si>
    <t>6.3.1</t>
  </si>
  <si>
    <t>6.4.1</t>
  </si>
  <si>
    <t>3.26.2.316952635</t>
  </si>
  <si>
    <t>3.34.3.338741632</t>
  </si>
  <si>
    <t>3.36.3.346104542</t>
  </si>
  <si>
    <t>3.39.1.356372497</t>
  </si>
  <si>
    <t>3.40.1.358724718</t>
  </si>
  <si>
    <t>3.42.1.365144226</t>
  </si>
  <si>
    <t>3.45.3.373830539</t>
  </si>
  <si>
    <t>3.50.3.386954406</t>
  </si>
  <si>
    <t>3.53.2.393887562</t>
  </si>
  <si>
    <t>3.55.2.399821723</t>
  </si>
  <si>
    <t>3.62.2.428100364</t>
  </si>
  <si>
    <t>5.20.241.03</t>
  </si>
  <si>
    <t>5.20.441.01.40</t>
  </si>
  <si>
    <t>5.20.491.01.30</t>
  </si>
  <si>
    <t>5.21.041.03.30</t>
  </si>
  <si>
    <t>5.21.081.03.30</t>
  </si>
  <si>
    <t>5.21.101.03.30</t>
  </si>
  <si>
    <t>5.21.481.01.80</t>
  </si>
  <si>
    <t>5.22.061.02.90</t>
  </si>
  <si>
    <t>9.4.11.312687073</t>
  </si>
  <si>
    <t>9.9.14.333092878</t>
  </si>
  <si>
    <t>10.0.02.338070508</t>
  </si>
  <si>
    <t>10.1.04.342850159</t>
  </si>
  <si>
    <t>10.3.05.356487417</t>
  </si>
  <si>
    <t>10.5.03.367007960</t>
  </si>
  <si>
    <t>10.9.05.387080390</t>
  </si>
  <si>
    <t>11.0.13.392642368</t>
  </si>
  <si>
    <t>9.0.0.316804458</t>
  </si>
  <si>
    <t>9.0.0.332399336</t>
  </si>
  <si>
    <t>9.1.0.358315219</t>
  </si>
  <si>
    <t>6.1.097</t>
  </si>
  <si>
    <t>6.8.076</t>
  </si>
  <si>
    <t>7.0.039</t>
  </si>
  <si>
    <t>7.2.204</t>
  </si>
  <si>
    <t>7.4.051</t>
  </si>
  <si>
    <t>7.6.063</t>
  </si>
  <si>
    <t>7.9.054</t>
  </si>
  <si>
    <t>8.7.021</t>
  </si>
  <si>
    <t>9.2.030</t>
  </si>
  <si>
    <t>20220221_01_RC02</t>
  </si>
  <si>
    <t>1 (11-6684105)</t>
  </si>
  <si>
    <t>2.6.0.316907652</t>
  </si>
  <si>
    <t>2.7.0.330889188</t>
  </si>
  <si>
    <t>2.8.0.346747673</t>
  </si>
  <si>
    <t>2.9.1.367582902</t>
  </si>
  <si>
    <t>com.google.android.apps.tachyon</t>
  </si>
  <si>
    <t>112.0.339752980</t>
  </si>
  <si>
    <t>145.0.385228731.</t>
  </si>
  <si>
    <t>147.0.390231946</t>
  </si>
  <si>
    <t>FilesGo</t>
  </si>
  <si>
    <t>1.0.318525152</t>
  </si>
  <si>
    <t>1.0.337963432</t>
  </si>
  <si>
    <t>1.0.347928958</t>
  </si>
  <si>
    <t>1.0.352915835</t>
  </si>
  <si>
    <t>1.0.357865958</t>
  </si>
  <si>
    <t>1.0.363984897</t>
  </si>
  <si>
    <t>1.0.384829210</t>
  </si>
  <si>
    <t>com.google.android.apps.photosgo</t>
  </si>
  <si>
    <t>1.1.7.315391971</t>
  </si>
  <si>
    <t>1.5.1.338962672</t>
  </si>
  <si>
    <t>1.6.0.344748829</t>
  </si>
  <si>
    <t>1.7.0.352695432</t>
  </si>
  <si>
    <t>1.7.2.360080606</t>
  </si>
  <si>
    <t>1.7.4.366145919</t>
  </si>
  <si>
    <t>1.7.8.373694029</t>
  </si>
  <si>
    <t>1.8.2.392356939</t>
  </si>
  <si>
    <t>8.5.6.197464524</t>
  </si>
  <si>
    <t>2020.09.01.331039535</t>
  </si>
  <si>
    <t>20.42.17</t>
  </si>
  <si>
    <t>54.0.330599332</t>
  </si>
  <si>
    <t>57.0.341875790</t>
  </si>
  <si>
    <t>3.9.315516675</t>
  </si>
  <si>
    <t>3.17.335371383</t>
  </si>
  <si>
    <t>3.19.345244754</t>
  </si>
  <si>
    <t>3.21.353648791</t>
  </si>
  <si>
    <t>3.23.360231743</t>
  </si>
  <si>
    <t>3.24.362957937</t>
  </si>
  <si>
    <t>3.28.372848444</t>
  </si>
  <si>
    <t>3.33.383058919</t>
  </si>
  <si>
    <t>3.37.394496910</t>
  </si>
  <si>
    <t>3.46.425287071</t>
  </si>
  <si>
    <t xml:space="preserve"> 11.2.10.404227572</t>
  </si>
  <si>
    <t>20220204_03_RC02</t>
  </si>
  <si>
    <t>10.30.3</t>
  </si>
  <si>
    <t>10_201909</t>
  </si>
  <si>
    <t>10_201910</t>
  </si>
  <si>
    <t>10_201911</t>
  </si>
  <si>
    <t>10_201912</t>
  </si>
  <si>
    <t>10_202001</t>
  </si>
  <si>
    <t>10_202002</t>
  </si>
  <si>
    <t>10_202003</t>
  </si>
  <si>
    <t>10_202005</t>
  </si>
  <si>
    <t>10_202008</t>
  </si>
  <si>
    <t>10_202009</t>
  </si>
  <si>
    <t>10_202012</t>
  </si>
  <si>
    <t>10_202102</t>
  </si>
  <si>
    <t>10-5771379</t>
  </si>
  <si>
    <t>2052073.21549187</t>
  </si>
  <si>
    <t>2757077.26172725</t>
  </si>
  <si>
    <t>18.7.19</t>
  </si>
  <si>
    <t>19.2.75</t>
  </si>
  <si>
    <t>19.5.30 (W39)</t>
  </si>
  <si>
    <t>19.6.29 (W42)</t>
  </si>
  <si>
    <t>20.04.14 (W04)</t>
  </si>
  <si>
    <t>20.15.16 (W15)</t>
  </si>
  <si>
    <t>10-6019755</t>
  </si>
  <si>
    <t>100.311626242</t>
  </si>
  <si>
    <t>1.0.265666269</t>
  </si>
  <si>
    <t>1.0.276093695</t>
  </si>
  <si>
    <t>10-6475670</t>
  </si>
  <si>
    <t>1.141.251275678</t>
  </si>
  <si>
    <t>1.0.6</t>
  </si>
  <si>
    <t>1.0.7</t>
  </si>
  <si>
    <t>15.2.67</t>
  </si>
  <si>
    <t>16.9.10</t>
  </si>
  <si>
    <t>17.5.18</t>
  </si>
  <si>
    <t>17.6.19</t>
  </si>
  <si>
    <t>17.9.17</t>
  </si>
  <si>
    <t>18.8.16</t>
  </si>
  <si>
    <t>229.257055621</t>
  </si>
  <si>
    <t>229.271733002</t>
  </si>
  <si>
    <t>229.280816759</t>
  </si>
  <si>
    <t>229.285543768</t>
  </si>
  <si>
    <t>229.294135555</t>
  </si>
  <si>
    <t>229.305178852</t>
  </si>
  <si>
    <t>1.0.277226018</t>
  </si>
  <si>
    <t>10.16.6.21</t>
  </si>
  <si>
    <t>10.65.11.21</t>
  </si>
  <si>
    <t>10.84.19.21</t>
  </si>
  <si>
    <t>10.85.11.21</t>
  </si>
  <si>
    <t>10.90.16.21</t>
  </si>
  <si>
    <t>10.97.8.21</t>
  </si>
  <si>
    <t>11.40.12.23</t>
  </si>
  <si>
    <t>1.0.892210 (Stub)</t>
  </si>
  <si>
    <t>1.0.266786379</t>
  </si>
  <si>
    <t>1.0.272729121</t>
  </si>
  <si>
    <t>1.0.283573418</t>
  </si>
  <si>
    <t>1.0.295707668</t>
  </si>
  <si>
    <t>27.0.262952124</t>
  </si>
  <si>
    <t>28.0.268933690</t>
  </si>
  <si>
    <t>32.0.283645144</t>
  </si>
  <si>
    <t>34.0.293191639</t>
  </si>
  <si>
    <t>39.0.308917653</t>
  </si>
  <si>
    <t>37.0.263422965</t>
  </si>
  <si>
    <t>39.0.272536705</t>
  </si>
  <si>
    <t>40.0.275948326</t>
  </si>
  <si>
    <t>41.0.277149592</t>
  </si>
  <si>
    <t>42.0.284275632</t>
  </si>
  <si>
    <t>1.0.249800992</t>
  </si>
  <si>
    <t>1.0.278986980</t>
  </si>
  <si>
    <t>1.0.300218219</t>
  </si>
  <si>
    <t>1.9.0.247254310</t>
  </si>
  <si>
    <t>1.11.0.259314730</t>
  </si>
  <si>
    <t>1.12.0.268671412</t>
  </si>
  <si>
    <t>1.13.0.282793285</t>
  </si>
  <si>
    <t>10-5740041</t>
  </si>
  <si>
    <t>10-5978191</t>
  </si>
  <si>
    <t>10-6052471</t>
  </si>
  <si>
    <t>74.0.3729.186</t>
  </si>
  <si>
    <t>77.0.3865.92</t>
  </si>
  <si>
    <t>78.0.3904.96</t>
  </si>
  <si>
    <t>79.0.3945.116</t>
  </si>
  <si>
    <t>80.0.3987.99</t>
  </si>
  <si>
    <t>81.0.4044.138</t>
  </si>
  <si>
    <t>87.0.4280.101</t>
  </si>
  <si>
    <t>2.19.212.04</t>
  </si>
  <si>
    <t>2.19.392.02</t>
  </si>
  <si>
    <t>2.19.472.05</t>
  </si>
  <si>
    <t>2.20.491.03.30</t>
  </si>
  <si>
    <t>2.21.061.04.30</t>
  </si>
  <si>
    <t>57.0.256025271</t>
  </si>
  <si>
    <t>66.0.277737392</t>
  </si>
  <si>
    <t>67.0.281783362</t>
  </si>
  <si>
    <t>68.0.284888502</t>
  </si>
  <si>
    <t>2019.08.04.263630132</t>
  </si>
  <si>
    <t>2019.09.01.268168002</t>
  </si>
  <si>
    <t>2019.11.03.280318276</t>
  </si>
  <si>
    <t>2019.11.21.283644823</t>
  </si>
  <si>
    <t>2020.11.15.344277575</t>
  </si>
  <si>
    <t>6.0.32-246984162</t>
  </si>
  <si>
    <t>6.0.44-267540251</t>
  </si>
  <si>
    <t>10.18.2</t>
  </si>
  <si>
    <t>10.56.1</t>
  </si>
  <si>
    <t>10.60.1</t>
  </si>
  <si>
    <t>Google Play Music</t>
  </si>
  <si>
    <t>Music2</t>
  </si>
  <si>
    <t>8.21.8170</t>
  </si>
  <si>
    <t>REMOVED</t>
  </si>
  <si>
    <t>4.19.0.254093387</t>
  </si>
  <si>
    <t>4.26.0.271849203</t>
  </si>
  <si>
    <t>4.32.0.281814149</t>
  </si>
  <si>
    <t>5.1.0.320690391</t>
  </si>
  <si>
    <t>5.23.1.347078935</t>
  </si>
  <si>
    <t>5.29.0.356801369</t>
  </si>
  <si>
    <t>4.14.22</t>
  </si>
  <si>
    <t>4.15.10</t>
  </si>
  <si>
    <t>4.16.18</t>
  </si>
  <si>
    <t>4.17.34</t>
  </si>
  <si>
    <t>14.25.57</t>
  </si>
  <si>
    <t>14.47.50</t>
  </si>
  <si>
    <t>14.49.51</t>
  </si>
  <si>
    <t>15.49.34</t>
  </si>
  <si>
    <t>3.29.54</t>
  </si>
  <si>
    <t>3.35.51</t>
  </si>
  <si>
    <t>3.43.52</t>
  </si>
  <si>
    <t>3.45.54</t>
  </si>
  <si>
    <t>4.07.51</t>
  </si>
  <si>
    <t>3.18.14.261387622</t>
  </si>
  <si>
    <t>3.19.17.270646921</t>
  </si>
  <si>
    <t>3.20.6.280280128</t>
  </si>
  <si>
    <t>7.7.1</t>
  </si>
  <si>
    <t>6.0.39</t>
  </si>
  <si>
    <t>6.0.54</t>
  </si>
  <si>
    <t>6.0.58</t>
  </si>
  <si>
    <t>2019.45.1</t>
  </si>
  <si>
    <t>2020.46.4</t>
  </si>
  <si>
    <t>2021.05.0</t>
  </si>
  <si>
    <t>6.2</t>
  </si>
  <si>
    <t>6.2.1</t>
  </si>
  <si>
    <t>Face Unlock</t>
  </si>
  <si>
    <t>FaceLock</t>
  </si>
  <si>
    <t>com.android.facelock</t>
  </si>
  <si>
    <t>3.6.8.256022923</t>
  </si>
  <si>
    <t>3.9.2.268513760</t>
  </si>
  <si>
    <t>3.17.1.292900247</t>
  </si>
  <si>
    <t>3.18.2.297628827</t>
  </si>
  <si>
    <t>3.20.1.301393922</t>
  </si>
  <si>
    <t>3.38.1.353715247</t>
  </si>
  <si>
    <t>5.19.211.03</t>
  </si>
  <si>
    <t>5.19.391.05</t>
  </si>
  <si>
    <t>5.19.431.01</t>
  </si>
  <si>
    <t>5.19.471.03</t>
  </si>
  <si>
    <t>8.5.7.260967531</t>
  </si>
  <si>
    <t>8.6.10.266015648</t>
  </si>
  <si>
    <t>8.8.10.277552084</t>
  </si>
  <si>
    <t>8.0.0.255370584</t>
  </si>
  <si>
    <t>8.1.0.278818032</t>
  </si>
  <si>
    <t>4.7.058</t>
  </si>
  <si>
    <t>4.8.058</t>
  </si>
  <si>
    <t>5.2.062</t>
  </si>
  <si>
    <t>5.9.099</t>
  </si>
  <si>
    <t>1 (10-5740041)</t>
  </si>
  <si>
    <t>1.143.251670773</t>
  </si>
  <si>
    <t>2.3.0.273994678</t>
  </si>
  <si>
    <t>1.0.252933084</t>
  </si>
  <si>
    <t>1.0.271029426</t>
  </si>
  <si>
    <t>1.0.278928638</t>
  </si>
  <si>
    <t>1.0.346212449</t>
  </si>
  <si>
    <t>1.0.1.258899354</t>
  </si>
  <si>
    <t>1.0.4.271498257</t>
  </si>
  <si>
    <t>1.0.7.280110503</t>
  </si>
  <si>
    <t>19.2.75 (W33)</t>
  </si>
  <si>
    <t>2.8.264661459</t>
  </si>
  <si>
    <t>2.10.268906336</t>
  </si>
  <si>
    <t>2.11.275215588</t>
  </si>
  <si>
    <t>2.13.284168572</t>
  </si>
  <si>
    <t>98</t>
  </si>
  <si>
    <t>5.4.087</t>
  </si>
  <si>
    <t>10.2.9</t>
  </si>
  <si>
    <t>YouTube Go</t>
  </si>
  <si>
    <t>YouTubeGo</t>
  </si>
  <si>
    <t>2.21.58</t>
  </si>
  <si>
    <t>9_201808</t>
  </si>
  <si>
    <t>9_201809</t>
  </si>
  <si>
    <t>9_201810</t>
  </si>
  <si>
    <t>9_201812</t>
  </si>
  <si>
    <t>9_201901</t>
  </si>
  <si>
    <t>9_201902</t>
  </si>
  <si>
    <t>9_201903</t>
  </si>
  <si>
    <t>9_201905</t>
  </si>
  <si>
    <t>9_201906</t>
  </si>
  <si>
    <t>9_201907</t>
  </si>
  <si>
    <t>9_201909</t>
  </si>
  <si>
    <t>9_201910</t>
  </si>
  <si>
    <t>9_201911</t>
  </si>
  <si>
    <t>9_201912</t>
  </si>
  <si>
    <t>9_202001</t>
  </si>
  <si>
    <t>9-4832352</t>
  </si>
  <si>
    <t>24900.194323810</t>
  </si>
  <si>
    <t>12.8.62</t>
  </si>
  <si>
    <t>13.2.92</t>
  </si>
  <si>
    <t>14.5.74</t>
  </si>
  <si>
    <t>14.7.99</t>
  </si>
  <si>
    <t>15.0.90</t>
  </si>
  <si>
    <t>16.0.91</t>
  </si>
  <si>
    <t>17.4.55</t>
  </si>
  <si>
    <t>17.7.85</t>
  </si>
  <si>
    <t>Google Backup Transport</t>
  </si>
  <si>
    <t>GoogleBackupTransport</t>
  </si>
  <si>
    <t>com.google.android.backuptransport</t>
  </si>
  <si>
    <t>1.0.204467226</t>
  </si>
  <si>
    <t>1.0.209962546</t>
  </si>
  <si>
    <t>1.0.217295120</t>
  </si>
  <si>
    <t>1.0.233743793</t>
  </si>
  <si>
    <t>9-5272573</t>
  </si>
  <si>
    <t>1.9.218568459</t>
  </si>
  <si>
    <t>1.11.232370942</t>
  </si>
  <si>
    <t>11.1.15</t>
  </si>
  <si>
    <t>11.4.16</t>
  </si>
  <si>
    <t>12.1.18</t>
  </si>
  <si>
    <t>12.5.15</t>
  </si>
  <si>
    <t>12.9.12</t>
  </si>
  <si>
    <t>13.4.11</t>
  </si>
  <si>
    <t>13.7.15</t>
  </si>
  <si>
    <t>14.5.20</t>
  </si>
  <si>
    <t>15.8.23</t>
  </si>
  <si>
    <t>228.4836872</t>
  </si>
  <si>
    <t>228.4976421</t>
  </si>
  <si>
    <t>228.5076413</t>
  </si>
  <si>
    <t>228.5134711</t>
  </si>
  <si>
    <t>228.5224507</t>
  </si>
  <si>
    <t>228.5921675</t>
  </si>
  <si>
    <t>228.6024884</t>
  </si>
  <si>
    <t>8.14.15.21</t>
  </si>
  <si>
    <t>8.15.15.21</t>
  </si>
  <si>
    <t>8.23.9.21</t>
  </si>
  <si>
    <t>8.55.6.21</t>
  </si>
  <si>
    <t>8.65.5.21</t>
  </si>
  <si>
    <t>9.10.7.21</t>
  </si>
  <si>
    <t>9.31.8.21</t>
  </si>
  <si>
    <t>9.84.10.21</t>
  </si>
  <si>
    <t>9.94.5.21</t>
  </si>
  <si>
    <t>1.0.248340775</t>
  </si>
  <si>
    <t>13.0.200436911</t>
  </si>
  <si>
    <t>14.0.205151020</t>
  </si>
  <si>
    <t>16.0.213901736</t>
  </si>
  <si>
    <t>17.0.217225132</t>
  </si>
  <si>
    <t>18.0.219320486</t>
  </si>
  <si>
    <t>19.0.228387622</t>
  </si>
  <si>
    <t>20.0.233649850</t>
  </si>
  <si>
    <t>22.0.243910317</t>
  </si>
  <si>
    <t>23.0.245332218</t>
  </si>
  <si>
    <t>24.0.252505947</t>
  </si>
  <si>
    <t>22.0.204206752</t>
  </si>
  <si>
    <t>23.0.208561757</t>
  </si>
  <si>
    <t>24.0.216196427</t>
  </si>
  <si>
    <t>25.0.220310144</t>
  </si>
  <si>
    <t>26.0.222848963</t>
  </si>
  <si>
    <t>28.0.231437689</t>
  </si>
  <si>
    <t>29.0.235653342</t>
  </si>
  <si>
    <t>33.0.249138098</t>
  </si>
  <si>
    <t>34.0.253691707</t>
  </si>
  <si>
    <t>1.0.194425099</t>
  </si>
  <si>
    <t>1.0.216670780</t>
  </si>
  <si>
    <t>1.4.0.197736970</t>
  </si>
  <si>
    <t>1.5.0.215209719</t>
  </si>
  <si>
    <t>1.6.0.224311829</t>
  </si>
  <si>
    <t>1.7.0.231232376</t>
  </si>
  <si>
    <t>1.8.0.240160720</t>
  </si>
  <si>
    <t>Android Services Library</t>
  </si>
  <si>
    <t>GoogleExtServices</t>
  </si>
  <si>
    <t>com.google.android.ext.services</t>
  </si>
  <si>
    <t>9-5137478</t>
  </si>
  <si>
    <t>9-5218085</t>
  </si>
  <si>
    <t>9-5646008</t>
  </si>
  <si>
    <t>68.0.3440.91</t>
  </si>
  <si>
    <t>69.0.3497.100</t>
  </si>
  <si>
    <t>70.0.3538.110</t>
  </si>
  <si>
    <t>71.0.3578.99</t>
  </si>
  <si>
    <t>72.0.3626.121</t>
  </si>
  <si>
    <t>74.0.3729.136</t>
  </si>
  <si>
    <t>2.18.292.05</t>
  </si>
  <si>
    <t>2.18.332.02</t>
  </si>
  <si>
    <t>2.18.392.02</t>
  </si>
  <si>
    <t>2.18.432.04</t>
  </si>
  <si>
    <t>2.18.482.03</t>
  </si>
  <si>
    <t>2.19.032.05</t>
  </si>
  <si>
    <t>2.19.072.05</t>
  </si>
  <si>
    <t>2.19.152.06</t>
  </si>
  <si>
    <t>37.1.206017801</t>
  </si>
  <si>
    <t>38.0.209707197</t>
  </si>
  <si>
    <t>39.1.213443905</t>
  </si>
  <si>
    <t>43.0.222101433</t>
  </si>
  <si>
    <t>45.0.225466837</t>
  </si>
  <si>
    <t>46.0.230154485</t>
  </si>
  <si>
    <t>48.0.235461935</t>
  </si>
  <si>
    <t>55.1.251964769</t>
  </si>
  <si>
    <t>8.7.15.206199545</t>
  </si>
  <si>
    <t>8.8.12.210495220</t>
  </si>
  <si>
    <t>8.9.9.213351932</t>
  </si>
  <si>
    <t>8.10.21.220187835</t>
  </si>
  <si>
    <t>8.11.25.224448671</t>
  </si>
  <si>
    <t>8.12.30.230564275</t>
  </si>
  <si>
    <t>9.2.3.235065705</t>
  </si>
  <si>
    <t>2019.03.31.243845549</t>
  </si>
  <si>
    <t>2019.04.28.246421133</t>
  </si>
  <si>
    <t>2019.06.09.254811277</t>
  </si>
  <si>
    <t>5.2.3</t>
  </si>
  <si>
    <t>Hangouts</t>
  </si>
  <si>
    <t>24.0.182154523</t>
  </si>
  <si>
    <t>30.0.235815591</t>
  </si>
  <si>
    <t>9.83.0</t>
  </si>
  <si>
    <t>9.85.2</t>
  </si>
  <si>
    <t>8.14.7429</t>
  </si>
  <si>
    <t>8.15.7562</t>
  </si>
  <si>
    <t>8.16.7620</t>
  </si>
  <si>
    <t>8.17.7736</t>
  </si>
  <si>
    <t>8.18.7847</t>
  </si>
  <si>
    <t>8.19.7938</t>
  </si>
  <si>
    <t>8.20.8059</t>
  </si>
  <si>
    <t>3.25.0.206203815</t>
  </si>
  <si>
    <t>3.27.0.209781319</t>
  </si>
  <si>
    <t>4.2.1.215643563</t>
  </si>
  <si>
    <t>4.5.0.220874418</t>
  </si>
  <si>
    <t>4.7.0.224579915</t>
  </si>
  <si>
    <t>4.9.0.232054664</t>
  </si>
  <si>
    <t>4.11.0.236189753</t>
  </si>
  <si>
    <t>4.15.0.245117517</t>
  </si>
  <si>
    <t>4.18.0.250747830</t>
  </si>
  <si>
    <t>4.6.14.8</t>
  </si>
  <si>
    <t>4.7.14.4</t>
  </si>
  <si>
    <t>4.8.20.18</t>
  </si>
  <si>
    <t>4.9.10</t>
  </si>
  <si>
    <t>4.11.6</t>
  </si>
  <si>
    <t>4.12.7</t>
  </si>
  <si>
    <t>13.30.56</t>
  </si>
  <si>
    <t>13.35.51</t>
  </si>
  <si>
    <t>13.40.54</t>
  </si>
  <si>
    <t>13.46.53</t>
  </si>
  <si>
    <t>13.50.52</t>
  </si>
  <si>
    <t>14.05.56</t>
  </si>
  <si>
    <t>14.08.55</t>
  </si>
  <si>
    <t>14.18.56</t>
  </si>
  <si>
    <t>14.22.54</t>
  </si>
  <si>
    <t>3.15.18.200023596</t>
  </si>
  <si>
    <t>3.16.6.232892818</t>
  </si>
  <si>
    <t>3.17.4.244699203</t>
  </si>
  <si>
    <t>7.4.1</t>
  </si>
  <si>
    <t>5.8.42</t>
  </si>
  <si>
    <t>5.8.46</t>
  </si>
  <si>
    <t>6.0.2</t>
  </si>
  <si>
    <t>6.0.8</t>
  </si>
  <si>
    <t>6.0.12</t>
  </si>
  <si>
    <t>6.0.20</t>
  </si>
  <si>
    <t>6.0.22</t>
  </si>
  <si>
    <t>6.0.32</t>
  </si>
  <si>
    <t>6.0.36</t>
  </si>
  <si>
    <t>5.3</t>
  </si>
  <si>
    <t>5.4</t>
  </si>
  <si>
    <t>6.0</t>
  </si>
  <si>
    <t>6.1.0</t>
  </si>
  <si>
    <t>6.1.1</t>
  </si>
  <si>
    <t>2.8.4.201036949</t>
  </si>
  <si>
    <t>3.0.7.210756853</t>
  </si>
  <si>
    <t>3.2.5.222172751</t>
  </si>
  <si>
    <t>3.3.3.226019458</t>
  </si>
  <si>
    <t>3.4.6.234021015</t>
  </si>
  <si>
    <t>3.5.7.243634183</t>
  </si>
  <si>
    <t>3.5.51.249995595</t>
  </si>
  <si>
    <t>5.0.292.06</t>
  </si>
  <si>
    <t>5.0.331.03</t>
  </si>
  <si>
    <t>5.0.391.06</t>
  </si>
  <si>
    <t>5.0.441.03</t>
  </si>
  <si>
    <t>5.0.481.05</t>
  </si>
  <si>
    <t>5.19.031.05</t>
  </si>
  <si>
    <t>5.19.071.01</t>
  </si>
  <si>
    <t>5.19.171.03</t>
  </si>
  <si>
    <t>7.4.19.206421213</t>
  </si>
  <si>
    <t>7.5.12.211120321</t>
  </si>
  <si>
    <t>7.6.13.215505041</t>
  </si>
  <si>
    <t>7.7.12.219989447</t>
  </si>
  <si>
    <t>7.8.7.224351926</t>
  </si>
  <si>
    <t>7.9.7.230658658</t>
  </si>
  <si>
    <t>8.0.4.236324529</t>
  </si>
  <si>
    <t>8.1.7.241875604</t>
  </si>
  <si>
    <t>8.2.11.248420697</t>
  </si>
  <si>
    <t>8.3.6.250752527</t>
  </si>
  <si>
    <t>7.0.0.198081500</t>
  </si>
  <si>
    <t>7.1.0.209841341</t>
  </si>
  <si>
    <t>7.2.0.220693075</t>
  </si>
  <si>
    <t>7.3.0.239841594</t>
  </si>
  <si>
    <t>3.4.048</t>
  </si>
  <si>
    <t>3.6.046</t>
  </si>
  <si>
    <t>3.7.052</t>
  </si>
  <si>
    <t>3.9.039</t>
  </si>
  <si>
    <t>4.0.054</t>
  </si>
  <si>
    <t>4.2.069</t>
  </si>
  <si>
    <t>4.3.098</t>
  </si>
  <si>
    <t>4.4.076</t>
  </si>
  <si>
    <t>1.8.203182757</t>
  </si>
  <si>
    <t>1.9.217369837</t>
  </si>
  <si>
    <t>1.10.226006496</t>
  </si>
  <si>
    <t>1.11.230975573</t>
  </si>
  <si>
    <t>1.13.244374064</t>
  </si>
  <si>
    <t>1.0.204375696</t>
  </si>
  <si>
    <t>1.0.217251024</t>
  </si>
  <si>
    <t>1.0.220185905</t>
  </si>
  <si>
    <t>1.0.224103129</t>
  </si>
  <si>
    <t>1.0.230804218</t>
  </si>
  <si>
    <t>1.0.236021409</t>
  </si>
  <si>
    <t>1.0.244270628</t>
  </si>
  <si>
    <t>1.0.249767206</t>
  </si>
  <si>
    <t>31.0.241960258</t>
  </si>
  <si>
    <t>1.10.207732807</t>
  </si>
  <si>
    <t>1.12.215384142</t>
  </si>
  <si>
    <t>1.13.220641344</t>
  </si>
  <si>
    <t>1.14.223165351</t>
  </si>
  <si>
    <t>2.1.232288259</t>
  </si>
  <si>
    <t>2.1.234827545</t>
  </si>
  <si>
    <t>2.4.245452535</t>
  </si>
  <si>
    <t>2.5.249433467</t>
  </si>
  <si>
    <t>2.6.252854660</t>
  </si>
  <si>
    <t>7.6.15.217635050</t>
  </si>
  <si>
    <t>7.8.9.226356166</t>
  </si>
  <si>
    <t>92</t>
  </si>
  <si>
    <t>9.80.2</t>
  </si>
  <si>
    <t>9.80.3</t>
  </si>
  <si>
    <t>10.2.6</t>
  </si>
  <si>
    <t>10.2.7</t>
  </si>
  <si>
    <t>PDF Viewer</t>
  </si>
  <si>
    <t>PdfViewer</t>
  </si>
  <si>
    <t>2.7.332.10</t>
  </si>
  <si>
    <t>1.26.59</t>
  </si>
  <si>
    <t>1.29.53</t>
  </si>
  <si>
    <t>1.35.52</t>
  </si>
  <si>
    <t>1.41.58</t>
  </si>
  <si>
    <t>1.46.52</t>
  </si>
  <si>
    <t>2.13.54</t>
  </si>
  <si>
    <t>2.21.56</t>
  </si>
  <si>
    <t>R1</t>
  </si>
  <si>
    <t>R2</t>
  </si>
  <si>
    <t>R3</t>
  </si>
  <si>
    <t>8.1_201803</t>
  </si>
  <si>
    <t>8.1_201804</t>
  </si>
  <si>
    <t>8.1_201805</t>
  </si>
  <si>
    <t>8.1_201806</t>
  </si>
  <si>
    <t>8.1_201807</t>
  </si>
  <si>
    <t>8.1_201808</t>
  </si>
  <si>
    <t>8.1_201809</t>
  </si>
  <si>
    <t>8.1_201810</t>
  </si>
  <si>
    <t>8.1_201812</t>
  </si>
  <si>
    <t>8.1.0-4487743</t>
  </si>
  <si>
    <t>11.7.46</t>
  </si>
  <si>
    <t>11.9.51</t>
  </si>
  <si>
    <t>11.9.75</t>
  </si>
  <si>
    <t>12.2.21</t>
  </si>
  <si>
    <t>12.5.29</t>
  </si>
  <si>
    <t>12.6.89</t>
  </si>
  <si>
    <t>12.8.76</t>
  </si>
  <si>
    <t>8.1.0-4771558</t>
  </si>
  <si>
    <t>8.3.73</t>
  </si>
  <si>
    <t>8.5.39</t>
  </si>
  <si>
    <t>8.8.12</t>
  </si>
  <si>
    <t>9.0.15</t>
  </si>
  <si>
    <t>9.2.11</t>
  </si>
  <si>
    <t>9.8.07</t>
  </si>
  <si>
    <t>10.3.12</t>
  </si>
  <si>
    <t>10.6.08</t>
  </si>
  <si>
    <t>227.4487743</t>
  </si>
  <si>
    <t>227.4514490</t>
  </si>
  <si>
    <t>227.4594402</t>
  </si>
  <si>
    <t>227.4726969</t>
  </si>
  <si>
    <t>227.4773854</t>
  </si>
  <si>
    <t>227.4907233</t>
  </si>
  <si>
    <t>227.4976668</t>
  </si>
  <si>
    <t>227.5057864</t>
  </si>
  <si>
    <t>7.14.21.21</t>
  </si>
  <si>
    <t>7.17.28.21</t>
  </si>
  <si>
    <t>7.23.26.21</t>
  </si>
  <si>
    <t>8.0.22.21</t>
  </si>
  <si>
    <t>8.5.15.21</t>
  </si>
  <si>
    <t>8.8.15.21</t>
  </si>
  <si>
    <t>6.0.175105600</t>
  </si>
  <si>
    <t>7.0.176692782</t>
  </si>
  <si>
    <t>8.0.178312362</t>
  </si>
  <si>
    <t>11.0.194168434</t>
  </si>
  <si>
    <t>12.0.195755634</t>
  </si>
  <si>
    <t>2.2.3.170208164</t>
  </si>
  <si>
    <t>2.4.4.178663410</t>
  </si>
  <si>
    <t>2.5.4.186070557</t>
  </si>
  <si>
    <t>2.6.5.191657038</t>
  </si>
  <si>
    <t>2.7.3.196717324</t>
  </si>
  <si>
    <t>13.0.171616398</t>
  </si>
  <si>
    <t>14.0.176716531</t>
  </si>
  <si>
    <t>15.0.179075669</t>
  </si>
  <si>
    <t>17.0.186697879</t>
  </si>
  <si>
    <t>18.0.187698947</t>
  </si>
  <si>
    <t>20.0.198798071</t>
  </si>
  <si>
    <t>1.0.167490326</t>
  </si>
  <si>
    <t>8.1.0-4638476</t>
  </si>
  <si>
    <t>8.1.0-4879956</t>
  </si>
  <si>
    <t>8.1.0-5137497</t>
  </si>
  <si>
    <t>62.0.3202.84</t>
  </si>
  <si>
    <t>63.0.3239.111</t>
  </si>
  <si>
    <t>64.0.3282.137</t>
  </si>
  <si>
    <t>65.0.3325.109</t>
  </si>
  <si>
    <t>66.0.3359.126</t>
  </si>
  <si>
    <t>67.0.3396.87</t>
  </si>
  <si>
    <t>2.7.412.12</t>
  </si>
  <si>
    <t>2.7.462.09</t>
  </si>
  <si>
    <t>2.18.072.02</t>
  </si>
  <si>
    <t>2.18.092.01</t>
  </si>
  <si>
    <t>2.18.152.01</t>
  </si>
  <si>
    <t>2.18.252.01</t>
  </si>
  <si>
    <t>21.0.173407782</t>
  </si>
  <si>
    <t>25.0.179835608</t>
  </si>
  <si>
    <t>26.0.182993604</t>
  </si>
  <si>
    <t>29.0.187910126</t>
  </si>
  <si>
    <t>29.2.190363094</t>
  </si>
  <si>
    <t>32.1.193963080</t>
  </si>
  <si>
    <t>34.4.197806290</t>
  </si>
  <si>
    <t>36.1.202022753</t>
  </si>
  <si>
    <t>7.10.8.172533986</t>
  </si>
  <si>
    <t>7.11.26.179049568</t>
  </si>
  <si>
    <t>8.1.7.183725757</t>
  </si>
  <si>
    <t>8.2.11.186835846</t>
  </si>
  <si>
    <t>8.2.25.188905562</t>
  </si>
  <si>
    <t>8.3.25.192150130</t>
  </si>
  <si>
    <t>8.5.6.197055160</t>
  </si>
  <si>
    <t>8.6.3.200445973</t>
  </si>
  <si>
    <t>5.2.3-99827563</t>
  </si>
  <si>
    <t>19.0.154358895</t>
  </si>
  <si>
    <t>23.0.172956998</t>
  </si>
  <si>
    <t>9.56.7</t>
  </si>
  <si>
    <t>9.70.1</t>
  </si>
  <si>
    <t>9.72.2</t>
  </si>
  <si>
    <t>9.74.1</t>
  </si>
  <si>
    <t>9.76.1</t>
  </si>
  <si>
    <t>9.78.1</t>
  </si>
  <si>
    <t>9.81.1</t>
  </si>
  <si>
    <t>8.0.6322</t>
  </si>
  <si>
    <t>8.6.6626</t>
  </si>
  <si>
    <t>8.7.6773</t>
  </si>
  <si>
    <t>8.8.6838</t>
  </si>
  <si>
    <t>8.12.7210</t>
  </si>
  <si>
    <t>8.13.7350</t>
  </si>
  <si>
    <t>3.8.0.173617484</t>
  </si>
  <si>
    <t>3.11.0.178912478</t>
  </si>
  <si>
    <t>3.13.0.183914708</t>
  </si>
  <si>
    <t>3.15.0.187517307</t>
  </si>
  <si>
    <t>3.16.1.190141690</t>
  </si>
  <si>
    <t>3.19.0.194452507</t>
  </si>
  <si>
    <t>3.21.0.198453719</t>
  </si>
  <si>
    <t>3.23.1.202220783</t>
  </si>
  <si>
    <t>3.28.14</t>
  </si>
  <si>
    <t>4.1.6.13</t>
  </si>
  <si>
    <t>4.2.6.13</t>
  </si>
  <si>
    <t>4.3.5</t>
  </si>
  <si>
    <t>4.4.43.4</t>
  </si>
  <si>
    <t>4.5.11.4</t>
  </si>
  <si>
    <t>12.43.52</t>
  </si>
  <si>
    <t>12.47.58</t>
  </si>
  <si>
    <t>13.04.55</t>
  </si>
  <si>
    <t>13.07.55</t>
  </si>
  <si>
    <t>13.10.59</t>
  </si>
  <si>
    <t>13.16.55</t>
  </si>
  <si>
    <t>13.20.54</t>
  </si>
  <si>
    <t>13.25.56</t>
  </si>
  <si>
    <t>3.13.3</t>
  </si>
  <si>
    <t>3.14.9</t>
  </si>
  <si>
    <t>3.14.12</t>
  </si>
  <si>
    <t>5.8.4</t>
  </si>
  <si>
    <t>5.8.6</t>
  </si>
  <si>
    <t>5.8.16</t>
  </si>
  <si>
    <t>5.8.22</t>
  </si>
  <si>
    <t>5.8.24</t>
  </si>
  <si>
    <t>5.8.28</t>
  </si>
  <si>
    <t>5.8.34</t>
  </si>
  <si>
    <t>5.8.38</t>
  </si>
  <si>
    <t>5.1</t>
  </si>
  <si>
    <t>Pinyin IME</t>
  </si>
  <si>
    <t>GooglePinyinIME</t>
  </si>
  <si>
    <t>4.5.1.158369870</t>
  </si>
  <si>
    <t>Google Japanese Input</t>
  </si>
  <si>
    <t>JapaneseIME</t>
  </si>
  <si>
    <t>2.21.2874.3</t>
  </si>
  <si>
    <t>4.0.411.05</t>
  </si>
  <si>
    <t>4.0.481.04</t>
  </si>
  <si>
    <t>4.1.031.06</t>
  </si>
  <si>
    <t>4.1.071.01</t>
  </si>
  <si>
    <t>4.1.091.10</t>
  </si>
  <si>
    <t>4.1.151.10</t>
  </si>
  <si>
    <t>4.1.191.12</t>
  </si>
  <si>
    <t>5.0.251.04</t>
  </si>
  <si>
    <t>Korean IME</t>
  </si>
  <si>
    <t>KoreanIME</t>
  </si>
  <si>
    <t>1.5.5.158369870</t>
  </si>
  <si>
    <t>6.6.22.171938909</t>
  </si>
  <si>
    <t>6.8.8.178714143</t>
  </si>
  <si>
    <t>6.9.8.183626756</t>
  </si>
  <si>
    <t>7.0.8.188704572</t>
  </si>
  <si>
    <t>7.1.8.191763606</t>
  </si>
  <si>
    <t>7.2.9.197069278</t>
  </si>
  <si>
    <t>7.3.12.201473387</t>
  </si>
  <si>
    <t>6.0.0</t>
  </si>
  <si>
    <t>6.1.0.182429506</t>
  </si>
  <si>
    <t>6.1.0.186797687</t>
  </si>
  <si>
    <t>6.2.0.199837370</t>
  </si>
  <si>
    <t>2.5.212</t>
  </si>
  <si>
    <t>2.7.030</t>
  </si>
  <si>
    <t>2.8.040</t>
  </si>
  <si>
    <t>3.0.040</t>
  </si>
  <si>
    <t>3.2.042</t>
  </si>
  <si>
    <t>3.3.044</t>
  </si>
  <si>
    <t>1.1.0</t>
  </si>
  <si>
    <t>1.4.185572707</t>
  </si>
  <si>
    <t>1.5.191740228</t>
  </si>
  <si>
    <t>1.7.202218334</t>
  </si>
  <si>
    <t>1.0.185922376</t>
  </si>
  <si>
    <t>1.0.189786363</t>
  </si>
  <si>
    <t>1.0.191899344</t>
  </si>
  <si>
    <t>1.0.194484091</t>
  </si>
  <si>
    <t>1.0.201265789</t>
  </si>
  <si>
    <t>8.2.11.186383962</t>
  </si>
  <si>
    <t>8.3.11.189987008</t>
  </si>
  <si>
    <t>1.4.187890275</t>
  </si>
  <si>
    <t>1.5.192745942</t>
  </si>
  <si>
    <t>1.8.198722872</t>
  </si>
  <si>
    <t>6.9.9.183769327</t>
  </si>
  <si>
    <t>88</t>
  </si>
  <si>
    <t>1.06.56</t>
  </si>
  <si>
    <t>1.06.59</t>
  </si>
  <si>
    <t>1.13.63</t>
  </si>
  <si>
    <t>1.18.57</t>
  </si>
  <si>
    <t>R4</t>
  </si>
  <si>
    <t>R5</t>
  </si>
  <si>
    <t>R6</t>
  </si>
  <si>
    <t>8.0_201803</t>
  </si>
  <si>
    <t>8.0_201804</t>
  </si>
  <si>
    <t>8.0_201805</t>
  </si>
  <si>
    <t>8.0_201806</t>
  </si>
  <si>
    <t>8.0_201807</t>
  </si>
  <si>
    <t>8.0_201808</t>
  </si>
  <si>
    <t>8.0_201809</t>
  </si>
  <si>
    <t>8.0_201810</t>
  </si>
  <si>
    <t>8.0_201812</t>
  </si>
  <si>
    <t>8.0.0-4147944</t>
  </si>
  <si>
    <t>11.3.02</t>
  </si>
  <si>
    <t>11.5.09</t>
  </si>
  <si>
    <t>11.5.18</t>
  </si>
  <si>
    <t>com.google.android.gms.policy_sidecar_o</t>
  </si>
  <si>
    <t>8.0.0-4184888</t>
  </si>
  <si>
    <t>8.0.0-4771557</t>
  </si>
  <si>
    <t>7.9.66</t>
  </si>
  <si>
    <t>8.1.73</t>
  </si>
  <si>
    <t>8.3.41</t>
  </si>
  <si>
    <t>226.4211684</t>
  </si>
  <si>
    <t>226.4393169</t>
  </si>
  <si>
    <t>226.4514397</t>
  </si>
  <si>
    <t>226.4594254</t>
  </si>
  <si>
    <t>226.4615133</t>
  </si>
  <si>
    <t>226.4657902</t>
  </si>
  <si>
    <t>226.4707517</t>
  </si>
  <si>
    <t>226.5057848</t>
  </si>
  <si>
    <t>7.8.22.21</t>
  </si>
  <si>
    <t>7.10.35.21</t>
  </si>
  <si>
    <t>7.12.24.21</t>
  </si>
  <si>
    <t>5.0.170203160</t>
  </si>
  <si>
    <t>12.0.167196395</t>
  </si>
  <si>
    <t>8.0.0-4144565</t>
  </si>
  <si>
    <t>8.0.0-4260053</t>
  </si>
  <si>
    <t>8.0.0-4344938</t>
  </si>
  <si>
    <t>8.0.0-4387136</t>
  </si>
  <si>
    <t>8.0.0-4474925</t>
  </si>
  <si>
    <t>8.0.0-4638495</t>
  </si>
  <si>
    <t>8.0.0-4879943</t>
  </si>
  <si>
    <t>8.0.0-5137519</t>
  </si>
  <si>
    <t>59.0.3071.125</t>
  </si>
  <si>
    <t>60.0.3112.116</t>
  </si>
  <si>
    <t>61.0.3163.98</t>
  </si>
  <si>
    <t>2.7.252.04</t>
  </si>
  <si>
    <t>2.7.332.07</t>
  </si>
  <si>
    <t>2.7.372.10</t>
  </si>
  <si>
    <t>15.0.164646574</t>
  </si>
  <si>
    <t>17.0.167290582</t>
  </si>
  <si>
    <t>19.0.170075846</t>
  </si>
  <si>
    <t>7.7.16.163886392</t>
  </si>
  <si>
    <t>7.8.13.166937981</t>
  </si>
  <si>
    <t>7.9.10.169126262</t>
  </si>
  <si>
    <t>7.11.5115</t>
  </si>
  <si>
    <t>7.12.5218</t>
  </si>
  <si>
    <t>3.2.0.163525294</t>
  </si>
  <si>
    <t>3.5.0.168703624</t>
  </si>
  <si>
    <t>3.6.0.170443611</t>
  </si>
  <si>
    <t>3.27.13</t>
  </si>
  <si>
    <t>3.28.13</t>
  </si>
  <si>
    <t>12.29.57</t>
  </si>
  <si>
    <t>12.34.55</t>
  </si>
  <si>
    <t>12.37.59</t>
  </si>
  <si>
    <t>3.12.9</t>
  </si>
  <si>
    <t>5.7.31</t>
  </si>
  <si>
    <t>5.7.37</t>
  </si>
  <si>
    <t>5.7.39</t>
  </si>
  <si>
    <t>3.4.803.03</t>
  </si>
  <si>
    <t>3.4.861.07</t>
  </si>
  <si>
    <t>3.4.901.06</t>
  </si>
  <si>
    <t>6.4.16.162469584</t>
  </si>
  <si>
    <t>2.3.038</t>
  </si>
  <si>
    <t>2.4.036</t>
  </si>
  <si>
    <t>App/Lib Name</t>
  </si>
  <si>
    <t>Module Name
(Green: GMS mandatory)</t>
  </si>
  <si>
    <t>App Package Name
Library Name</t>
  </si>
  <si>
    <t>R7</t>
  </si>
  <si>
    <t>R8</t>
  </si>
  <si>
    <t>R9</t>
  </si>
  <si>
    <t>R10</t>
  </si>
  <si>
    <t>7.1_201803</t>
  </si>
  <si>
    <t>7.1.1-3515457</t>
  </si>
  <si>
    <t>10.0.84</t>
  </si>
  <si>
    <t>10.2.98</t>
  </si>
  <si>
    <t>11.0.55</t>
  </si>
  <si>
    <t>Google Account Manager</t>
  </si>
  <si>
    <t>GoogleLoginService</t>
  </si>
  <si>
    <t>com.google.android.gsf.login</t>
  </si>
  <si>
    <t>7.1.1-3779609</t>
  </si>
  <si>
    <t>7.1.1-4158906</t>
  </si>
  <si>
    <t>7.2.13</t>
  </si>
  <si>
    <t>7.4.12</t>
  </si>
  <si>
    <t>7.5.08</t>
  </si>
  <si>
    <t>7.8.16</t>
  </si>
  <si>
    <t>8.0.73</t>
  </si>
  <si>
    <t>225.3779609</t>
  </si>
  <si>
    <t>225.3942150</t>
  </si>
  <si>
    <t>225.4158906</t>
  </si>
  <si>
    <t>225.4393173</t>
  </si>
  <si>
    <t>225.4592121</t>
  </si>
  <si>
    <t>225.4608074</t>
  </si>
  <si>
    <t>6.8.23.21</t>
  </si>
  <si>
    <t>6.12.25.21</t>
  </si>
  <si>
    <t>6.13.25.21</t>
  </si>
  <si>
    <t>7.2.26.21</t>
  </si>
  <si>
    <t>7.1.1-3575257</t>
  </si>
  <si>
    <t>7.1.1-3733695</t>
  </si>
  <si>
    <t>7.1.1-4289765</t>
  </si>
  <si>
    <t>7.1.1-4377943</t>
  </si>
  <si>
    <t>Framework libraries in /system/framework</t>
  </si>
  <si>
    <t>MapView V1</t>
  </si>
  <si>
    <t>MapView_v1</t>
  </si>
  <si>
    <t>com.google.android.maps</t>
  </si>
  <si>
    <t>Media Effects library</t>
  </si>
  <si>
    <t>GoogleMediaEffects</t>
  </si>
  <si>
    <t>com.google.android.media.effects</t>
  </si>
  <si>
    <t>55.0.2883.91</t>
  </si>
  <si>
    <t>56.0.2924.87</t>
  </si>
  <si>
    <t>58.0.3029.83</t>
  </si>
  <si>
    <t>2.4.452.14</t>
  </si>
  <si>
    <t>2.7.012.19</t>
  </si>
  <si>
    <t>2.7.063.14</t>
  </si>
  <si>
    <t>2.7.153.14</t>
  </si>
  <si>
    <t>5.0.140397031.DR5_RC11</t>
  </si>
  <si>
    <t>6.0.142312209.DR6_RC11</t>
  </si>
  <si>
    <t>7.0.146713755</t>
  </si>
  <si>
    <t>11.0.155468408</t>
  </si>
  <si>
    <t>6.11.6.140557227</t>
  </si>
  <si>
    <t>7.1.15.145691033</t>
  </si>
  <si>
    <t>7.2.12.147797444</t>
  </si>
  <si>
    <t>7.4.23.154506495</t>
  </si>
  <si>
    <t>7.7.16.164685024</t>
  </si>
  <si>
    <t xml:space="preserve"> 7.8.13.166937981</t>
  </si>
  <si>
    <t>7.1.1-3910769</t>
  </si>
  <si>
    <t>15.0.141104777</t>
  </si>
  <si>
    <t>16.0.144731464</t>
  </si>
  <si>
    <t>17.0.148298972</t>
  </si>
  <si>
    <t>21.0.162426697</t>
  </si>
  <si>
    <t>9.42.3</t>
  </si>
  <si>
    <t>9.45.1</t>
  </si>
  <si>
    <t>9.47.3</t>
  </si>
  <si>
    <t>7.0.4007-1.J.3489099</t>
  </si>
  <si>
    <t>7.3.4313-1.M.3679657</t>
  </si>
  <si>
    <t>7.4.4422-1.N.3782921</t>
  </si>
  <si>
    <t>7.7.4721</t>
  </si>
  <si>
    <t>2.5.0.140879878</t>
  </si>
  <si>
    <t>2.8.1.146834365</t>
  </si>
  <si>
    <t>2.10.0.148909749</t>
  </si>
  <si>
    <t>2.14.1.154467786</t>
  </si>
  <si>
    <t>3.20.10</t>
  </si>
  <si>
    <t>3.21.10</t>
  </si>
  <si>
    <t>3.22.14</t>
  </si>
  <si>
    <t>3.25.3</t>
  </si>
  <si>
    <t>11.45.59</t>
  </si>
  <si>
    <t>12.03.57</t>
  </si>
  <si>
    <t>12.05.53</t>
  </si>
  <si>
    <t>12.17.54</t>
  </si>
  <si>
    <t>3.10.10</t>
  </si>
  <si>
    <t>3.11.12</t>
  </si>
  <si>
    <t>Android Pay</t>
  </si>
  <si>
    <t>AndroidPay</t>
  </si>
  <si>
    <t>1.12.141346482</t>
  </si>
  <si>
    <t>1.13.144762007</t>
  </si>
  <si>
    <t>1.16.148675048</t>
  </si>
  <si>
    <t>Google Play Books</t>
  </si>
  <si>
    <t>Books</t>
  </si>
  <si>
    <t>3.10.29</t>
  </si>
  <si>
    <t>3.12.15</t>
  </si>
  <si>
    <t>7.1.1</t>
  </si>
  <si>
    <t>7.2</t>
  </si>
  <si>
    <t>7.2.1</t>
  </si>
  <si>
    <t>5.6.10-141292193</t>
  </si>
  <si>
    <t>5.7.4-144971680</t>
  </si>
  <si>
    <t>5.7.10-149099100</t>
  </si>
  <si>
    <t>5.7.20</t>
  </si>
  <si>
    <t>Cloud Print</t>
  </si>
  <si>
    <t>CloudPrint</t>
  </si>
  <si>
    <t>1.36b</t>
  </si>
  <si>
    <t>4.6.1</t>
  </si>
  <si>
    <t>5.0.1</t>
  </si>
  <si>
    <t>Google Apps Device Policy</t>
  </si>
  <si>
    <t>DMAgent</t>
  </si>
  <si>
    <t>7.03</t>
  </si>
  <si>
    <t>Google Docs</t>
  </si>
  <si>
    <t>EditorsDocs</t>
  </si>
  <si>
    <t>1.6.462.13</t>
  </si>
  <si>
    <t>1.7.012.06</t>
  </si>
  <si>
    <t>Google Sheet</t>
  </si>
  <si>
    <t>EditorsSheets</t>
  </si>
  <si>
    <t>1.6.482.10</t>
  </si>
  <si>
    <t>Google Slides</t>
  </si>
  <si>
    <t>EditorsSlides</t>
  </si>
  <si>
    <t>1.6.462.08</t>
  </si>
  <si>
    <t>1.7.012.08</t>
  </si>
  <si>
    <t>Hindi IME</t>
  </si>
  <si>
    <t>GoogleHindiIME</t>
  </si>
  <si>
    <t>3.2.0.125756904</t>
  </si>
  <si>
    <t>4.3.0.125756775</t>
  </si>
  <si>
    <t>2.18.2569.3.124334694</t>
  </si>
  <si>
    <t>3.4.462.01</t>
  </si>
  <si>
    <t>3.4.491.02</t>
  </si>
  <si>
    <t>3.4.583.05</t>
  </si>
  <si>
    <t>3.4.704.02</t>
  </si>
  <si>
    <t>1.5.0.125756861</t>
  </si>
  <si>
    <t>5.1.18.125495799</t>
  </si>
  <si>
    <t>Google Play Games</t>
  </si>
  <si>
    <t>PlayGames</t>
  </si>
  <si>
    <t>3.9.08</t>
  </si>
  <si>
    <t>Google+</t>
  </si>
  <si>
    <t>PlusOne</t>
  </si>
  <si>
    <t>9.2.0.139967573</t>
  </si>
  <si>
    <t>9.6.0.147458593</t>
  </si>
  <si>
    <t>5.0.4</t>
  </si>
  <si>
    <t>5.1.0</t>
  </si>
  <si>
    <t>5.2.0</t>
  </si>
  <si>
    <t>5.2.1</t>
  </si>
  <si>
    <t>Google Play Newsstand</t>
  </si>
  <si>
    <t>Newsstand</t>
  </si>
  <si>
    <t>4.0.0</t>
  </si>
  <si>
    <t>4.2.0</t>
  </si>
  <si>
    <t>News &amp; Weather</t>
  </si>
  <si>
    <t>NewsWeather</t>
  </si>
  <si>
    <t>2.5.2</t>
  </si>
  <si>
    <t>Messenger</t>
  </si>
  <si>
    <t>2.0.768</t>
  </si>
  <si>
    <t>2.1.163</t>
  </si>
  <si>
    <t>2.2.068</t>
  </si>
  <si>
    <t>2.3.269</t>
  </si>
  <si>
    <t>R11</t>
  </si>
  <si>
    <t>R12</t>
  </si>
  <si>
    <t>R13</t>
  </si>
  <si>
    <t>R14</t>
  </si>
  <si>
    <t>7.0_201803</t>
  </si>
  <si>
    <t>7.0-3037786</t>
  </si>
  <si>
    <t>9.3.79</t>
  </si>
  <si>
    <t>9.4.52</t>
  </si>
  <si>
    <t>9.6.83</t>
  </si>
  <si>
    <t>9.8.79</t>
  </si>
  <si>
    <t>7.0-3779664</t>
  </si>
  <si>
    <t>7.0-4160035</t>
  </si>
  <si>
    <t>6.7.15</t>
  </si>
  <si>
    <t>6.9.15</t>
  </si>
  <si>
    <t>6.9.40</t>
  </si>
  <si>
    <t>7.0.17</t>
  </si>
  <si>
    <t>224.3779664</t>
  </si>
  <si>
    <t>6.1.28.21</t>
  </si>
  <si>
    <t>6.3.36.21</t>
  </si>
  <si>
    <t>6.4.31.21</t>
  </si>
  <si>
    <t>6.7.21.21</t>
  </si>
  <si>
    <t>7.0-3067715</t>
  </si>
  <si>
    <t>7.0-3267767</t>
  </si>
  <si>
    <t>7.0-3310423</t>
  </si>
  <si>
    <t>7.0-3365839</t>
  </si>
  <si>
    <t>7.0-3573199</t>
  </si>
  <si>
    <t>7.0-3733539</t>
  </si>
  <si>
    <t>7.0-4289729</t>
  </si>
  <si>
    <t>7.0-4377972</t>
  </si>
  <si>
    <t>52.0.2743.98</t>
  </si>
  <si>
    <t>53.0.2785.124</t>
  </si>
  <si>
    <t>54.0.2840.85</t>
  </si>
  <si>
    <t>2.4.211.28</t>
  </si>
  <si>
    <t>2.4.311.34</t>
  </si>
  <si>
    <t>2.4.351.24</t>
  </si>
  <si>
    <t>2.4.382.19</t>
  </si>
  <si>
    <t>4.0.138442281.DR4_RC09</t>
  </si>
  <si>
    <t>6.7.128801648</t>
  </si>
  <si>
    <t>6.8.132350049</t>
  </si>
  <si>
    <t>6.9.11.134426830</t>
  </si>
  <si>
    <t>6.10.9.136347105</t>
  </si>
  <si>
    <t>7.0-3787403</t>
  </si>
  <si>
    <t>10.1.123988066</t>
  </si>
  <si>
    <t>12.0.130004787</t>
  </si>
  <si>
    <t>14.0.136618992</t>
  </si>
  <si>
    <t>9.33.1</t>
  </si>
  <si>
    <t>9.36.2</t>
  </si>
  <si>
    <t>9.38.1</t>
  </si>
  <si>
    <t>9.40.2</t>
  </si>
  <si>
    <t>6.12.3216E.3118869</t>
  </si>
  <si>
    <t>6.13.3321-0.F.3231528</t>
  </si>
  <si>
    <t>6.14.3420-0.G.3279860</t>
  </si>
  <si>
    <t>6.16.3624-0.I.3421865</t>
  </si>
  <si>
    <t>1.25.0.129505344</t>
  </si>
  <si>
    <t>1.27.0.131959713</t>
  </si>
  <si>
    <t>2.1.0.134852482</t>
  </si>
  <si>
    <t>2.3.0.137536389</t>
  </si>
  <si>
    <t>3.17.6</t>
  </si>
  <si>
    <t>3.19.11</t>
  </si>
  <si>
    <t>11.29.53</t>
  </si>
  <si>
    <t>11.33.58</t>
  </si>
  <si>
    <t>11.38.54</t>
  </si>
  <si>
    <t>11.43.54</t>
  </si>
  <si>
    <t>3.9.16</t>
  </si>
  <si>
    <t>1.3.122316814</t>
  </si>
  <si>
    <t>1.5.130002920</t>
  </si>
  <si>
    <t>1.6.133355066</t>
  </si>
  <si>
    <t>1.8.135831409</t>
  </si>
  <si>
    <t>3.8.41</t>
  </si>
  <si>
    <t>3.9.49</t>
  </si>
  <si>
    <t>3.10.27</t>
  </si>
  <si>
    <t>7.0 (3129557)</t>
  </si>
  <si>
    <t>7.0.1 (3138825)</t>
  </si>
  <si>
    <t>5.5.7-124953442</t>
  </si>
  <si>
    <t>5.5.18-131833137</t>
  </si>
  <si>
    <t>5.6-133922642</t>
  </si>
  <si>
    <t>5.6.6-137495241</t>
  </si>
  <si>
    <t>1.33b</t>
  </si>
  <si>
    <t>4.5.1</t>
  </si>
  <si>
    <t>1.6.192.06</t>
  </si>
  <si>
    <t>1.6.332.10</t>
  </si>
  <si>
    <t>1.6.372.17</t>
  </si>
  <si>
    <t>1.6.412.11</t>
  </si>
  <si>
    <t>1.6.192.08</t>
  </si>
  <si>
    <t>1.6.332.08</t>
  </si>
  <si>
    <t>1.6.372.11</t>
  </si>
  <si>
    <t>1.6.412.09</t>
  </si>
  <si>
    <t>1.6.192.12</t>
  </si>
  <si>
    <t>1.6.332.13</t>
  </si>
  <si>
    <t>1.6.372.08</t>
  </si>
  <si>
    <t>1.6.412.17</t>
  </si>
  <si>
    <t>3.3.222.0</t>
  </si>
  <si>
    <t>3.3.331.0</t>
  </si>
  <si>
    <t>3.3.404.0</t>
  </si>
  <si>
    <t>3.3.431.0</t>
  </si>
  <si>
    <t>3.7.23</t>
  </si>
  <si>
    <t>3.7.24</t>
  </si>
  <si>
    <t>8.1.0.124973427</t>
  </si>
  <si>
    <t>8.6.0.132115459</t>
  </si>
  <si>
    <t>8.8.0.134118349</t>
  </si>
  <si>
    <t>9.0.0.136781392</t>
  </si>
  <si>
    <t>5.0.2</t>
  </si>
  <si>
    <t>3.5.2</t>
  </si>
  <si>
    <t>3.5.3</t>
  </si>
  <si>
    <t>1.8.528</t>
  </si>
  <si>
    <t>1.9.037</t>
  </si>
  <si>
    <t>2.0.069</t>
  </si>
  <si>
    <t>6.0-2302772</t>
  </si>
  <si>
    <t>6.0.1 (2589488)</t>
  </si>
  <si>
    <t>8.1.18</t>
  </si>
  <si>
    <t>8.3.01</t>
  </si>
  <si>
    <t>8.7.03</t>
  </si>
  <si>
    <t>8.7.05</t>
  </si>
  <si>
    <t>9.2.56</t>
  </si>
  <si>
    <t>6.0.1 (3031850)</t>
  </si>
  <si>
    <t>5.9.12</t>
  </si>
  <si>
    <t>5.10.30</t>
  </si>
  <si>
    <t>6.0.5</t>
  </si>
  <si>
    <t>6.4.12</t>
  </si>
  <si>
    <t>6.8.24</t>
  </si>
  <si>
    <t>6.9.21</t>
  </si>
  <si>
    <t>2.0</t>
  </si>
  <si>
    <t>2.0 (2589488)</t>
  </si>
  <si>
    <t>2.0 (3659388)</t>
  </si>
  <si>
    <t>5.0.24.19</t>
  </si>
  <si>
    <t>5.4.28.19</t>
  </si>
  <si>
    <t>5.10.32</t>
  </si>
  <si>
    <t>5.11.35</t>
  </si>
  <si>
    <t>5.13.31.21</t>
  </si>
  <si>
    <t>6.0.23.21</t>
  </si>
  <si>
    <t>1.1 (2589488)</t>
  </si>
  <si>
    <t>45.0.2454.94</t>
  </si>
  <si>
    <t>46.0.2490.76</t>
  </si>
  <si>
    <t>49.0.2623.91</t>
  </si>
  <si>
    <t>50.0.2661.89</t>
  </si>
  <si>
    <t>51.0.2704.81</t>
  </si>
  <si>
    <t>2.3.327.07</t>
  </si>
  <si>
    <t>2.3.583.20</t>
  </si>
  <si>
    <t>2.4.181.13</t>
  </si>
  <si>
    <t>2.4.211.35</t>
  </si>
  <si>
    <t>5.5.101804505</t>
  </si>
  <si>
    <t>6.0.115979076</t>
  </si>
  <si>
    <t>6.5-1.123769152</t>
  </si>
  <si>
    <t>6.8.130963407</t>
  </si>
  <si>
    <t>4.2.102354210</t>
  </si>
  <si>
    <t>8.0.116581895</t>
  </si>
  <si>
    <t>8.1.121732641</t>
  </si>
  <si>
    <t>11.0.125976520</t>
  </si>
  <si>
    <t>9.14.0</t>
  </si>
  <si>
    <t>9.22.1</t>
  </si>
  <si>
    <t>9.26.1</t>
  </si>
  <si>
    <t>9.32.1</t>
  </si>
  <si>
    <t>6.0.1995S.2258080</t>
  </si>
  <si>
    <t>6.5.2513X.2681020</t>
  </si>
  <si>
    <t>6.7.2713Z.2790541</t>
  </si>
  <si>
    <t>6.8.2817A.2862803</t>
  </si>
  <si>
    <t>6.11.3120D.3072211</t>
  </si>
  <si>
    <t>1.5.0.103330409</t>
  </si>
  <si>
    <t>1.16.0.117494210</t>
  </si>
  <si>
    <t>1.18.0.119671374</t>
  </si>
  <si>
    <t>1.21.0.123444480</t>
  </si>
  <si>
    <t>1.24.0.127982639</t>
  </si>
  <si>
    <t>3.8.12</t>
  </si>
  <si>
    <t>3.12.10</t>
  </si>
  <si>
    <t>3.13.10</t>
  </si>
  <si>
    <t>3.14.4</t>
  </si>
  <si>
    <t>3.16.7</t>
  </si>
  <si>
    <t>45.0.2454.95</t>
  </si>
  <si>
    <t>48.0.2564.106</t>
  </si>
  <si>
    <t>49.0.2623.105</t>
  </si>
  <si>
    <t>50.0.2661.86</t>
  </si>
  <si>
    <t>10.28.60</t>
  </si>
  <si>
    <t>11.07.59</t>
  </si>
  <si>
    <t>11.19.56</t>
  </si>
  <si>
    <t>11.27.53</t>
  </si>
  <si>
    <t>3.6.7.2302772</t>
  </si>
  <si>
    <t>3.8.17</t>
  </si>
  <si>
    <t>3.9.11</t>
  </si>
  <si>
    <t>3.6.8</t>
  </si>
  <si>
    <t>3.7.75</t>
  </si>
  <si>
    <t>3.8.15</t>
  </si>
  <si>
    <t>3.9.37</t>
  </si>
  <si>
    <t>1.5.037</t>
  </si>
  <si>
    <t>1.7.050</t>
  </si>
  <si>
    <t>1.8.268</t>
  </si>
  <si>
    <t>1.9.035</t>
  </si>
  <si>
    <t>5.2 (2302772)</t>
  </si>
  <si>
    <t>6.0 (2715628)</t>
  </si>
  <si>
    <t>5.2.3-99559785</t>
  </si>
  <si>
    <t>5.3.6-115544951</t>
  </si>
  <si>
    <t>5.5.12-127519458</t>
  </si>
  <si>
    <t>1.26b</t>
  </si>
  <si>
    <t>4.2 (2269723)</t>
  </si>
  <si>
    <t>4.2.1 (2383161)</t>
  </si>
  <si>
    <t>6.81</t>
  </si>
  <si>
    <t>1.4.392.08</t>
  </si>
  <si>
    <t>1.6.092.08</t>
  </si>
  <si>
    <t>1.6.273.14</t>
  </si>
  <si>
    <t>1.6.273.11</t>
  </si>
  <si>
    <t>1.2.392.10</t>
  </si>
  <si>
    <t>1.6.092.09</t>
  </si>
  <si>
    <t>1.6.273.10</t>
  </si>
  <si>
    <t>6.0.1 (3393395)</t>
  </si>
  <si>
    <t>2.3.1.100257128</t>
  </si>
  <si>
    <t>3.1.1.112921620</t>
  </si>
  <si>
    <t>3.2.1.128147929</t>
  </si>
  <si>
    <t>Google Now Launcher</t>
  </si>
  <si>
    <t>GoogleHome</t>
  </si>
  <si>
    <t>1.2.large</t>
  </si>
  <si>
    <t>1.3.large</t>
  </si>
  <si>
    <t>4.1.2.100257095</t>
  </si>
  <si>
    <t>4.2.1.111290097</t>
  </si>
  <si>
    <t>4.3.1.128147547</t>
  </si>
  <si>
    <t>2.17.2101.3</t>
  </si>
  <si>
    <t>2.17.2150.3</t>
  </si>
  <si>
    <t>2.18.2580.3</t>
  </si>
  <si>
    <t>2.18.2581.3.129228829</t>
  </si>
  <si>
    <t>3.2.000.00</t>
  </si>
  <si>
    <t>3.3.102.0</t>
  </si>
  <si>
    <t>3.3.184.0</t>
  </si>
  <si>
    <t>3.3.255.0</t>
  </si>
  <si>
    <t>1.3.1.100256989</t>
  </si>
  <si>
    <t>1.4.1.113613201</t>
  </si>
  <si>
    <t>1.5.1.128147923</t>
  </si>
  <si>
    <t>4.1.23003.2302772</t>
  </si>
  <si>
    <t>4.1.23043.2297020</t>
  </si>
  <si>
    <t>4.1.23163.2622203</t>
  </si>
  <si>
    <t>5.0.25.122319759</t>
  </si>
  <si>
    <t>5.1.23.127065177</t>
  </si>
  <si>
    <t>3.4.3</t>
  </si>
  <si>
    <t>3.5.1</t>
  </si>
  <si>
    <t>2.3.3 (100133614)</t>
  </si>
  <si>
    <t>3.3.58</t>
  </si>
  <si>
    <t>3.6.27</t>
  </si>
  <si>
    <t>3.7.22</t>
  </si>
  <si>
    <t>6.3.0.102589503</t>
  </si>
  <si>
    <t>7.4.0.117198259</t>
  </si>
  <si>
    <t>8.0.0.123904538</t>
  </si>
  <si>
    <t>8.3.0.127745804</t>
  </si>
  <si>
    <t>4.3.0</t>
  </si>
  <si>
    <t>4.4.1</t>
  </si>
  <si>
    <t>4.5.0</t>
  </si>
  <si>
    <t>1.0.103342659</t>
  </si>
  <si>
    <t>1.0.103778191</t>
  </si>
  <si>
    <t>1.2.111627672</t>
  </si>
  <si>
    <t>1.4.126456861</t>
  </si>
  <si>
    <t>6.7.80</t>
  </si>
  <si>
    <t>7.5.71</t>
  </si>
  <si>
    <t>5.1-1743759</t>
  </si>
  <si>
    <t>5.1-3031930</t>
  </si>
  <si>
    <t>5.1.1-1900399</t>
  </si>
  <si>
    <t>5.1.1-1900399 (LMY48C)</t>
  </si>
  <si>
    <t>5.1.1-2176675</t>
  </si>
  <si>
    <t>5.2.13</t>
  </si>
  <si>
    <t>5.5.12</t>
  </si>
  <si>
    <t>2.0 (LMY47S)</t>
  </si>
  <si>
    <t>2.0 (#2415170)</t>
  </si>
  <si>
    <t>2.0 (#2620126)</t>
  </si>
  <si>
    <t>4.3.11</t>
  </si>
  <si>
    <t>4.6.10.19</t>
  </si>
  <si>
    <t>Android Work Assistant</t>
  </si>
  <si>
    <t>AndroidForWork</t>
  </si>
  <si>
    <t>com.google.android.androidforwork</t>
  </si>
  <si>
    <t>3.3.15</t>
  </si>
  <si>
    <t>3.4.9</t>
  </si>
  <si>
    <t>3.6.9</t>
  </si>
  <si>
    <t>Browser Provider for Chrome</t>
  </si>
  <si>
    <t>BrowserProviderProxy</t>
  </si>
  <si>
    <t>com.android.browser.provider</t>
  </si>
  <si>
    <t>42.0.2311.111</t>
  </si>
  <si>
    <t>43.0.2357.93</t>
  </si>
  <si>
    <t>2.1.495.10</t>
  </si>
  <si>
    <t>2.2.183.17</t>
  </si>
  <si>
    <t>2.3.357.23</t>
  </si>
  <si>
    <t>5.0.2 (1791555)</t>
  </si>
  <si>
    <t>5.2.93937770</t>
  </si>
  <si>
    <t>5.7.105901136</t>
  </si>
  <si>
    <t>2.5.83281670</t>
  </si>
  <si>
    <t>3.3.94322993</t>
  </si>
  <si>
    <t>9.4.0</t>
  </si>
  <si>
    <t>9.9.0</t>
  </si>
  <si>
    <t>5.8.1810R.1720607</t>
  </si>
  <si>
    <t>5.9.1854R.1904527</t>
  </si>
  <si>
    <t>6.0.2005S.2314365</t>
  </si>
  <si>
    <t>3.3.1</t>
  </si>
  <si>
    <t>3.4.0</t>
  </si>
  <si>
    <t>3.4.4</t>
  </si>
  <si>
    <t>1.0.1.94954577</t>
  </si>
  <si>
    <t>1.6.1.104919497</t>
  </si>
  <si>
    <t>2.2.09</t>
  </si>
  <si>
    <t>3.0.11</t>
  </si>
  <si>
    <t>5.0.0.85934159</t>
  </si>
  <si>
    <t>5.5.0.93566200</t>
  </si>
  <si>
    <t>6.5.0.104456905</t>
  </si>
  <si>
    <t>Street View</t>
  </si>
  <si>
    <t>Street</t>
  </si>
  <si>
    <t>1.8.1.2</t>
  </si>
  <si>
    <t>3.6.16</t>
  </si>
  <si>
    <t>3.8.8</t>
  </si>
  <si>
    <t>3.9.20</t>
  </si>
  <si>
    <t>42.0.2311.137</t>
  </si>
  <si>
    <t>43.0.2357.121</t>
  </si>
  <si>
    <t>10.05.6</t>
  </si>
  <si>
    <t>10.18.55</t>
  </si>
  <si>
    <t>10.37.58</t>
  </si>
  <si>
    <t>1.3.030</t>
  </si>
  <si>
    <t>5.0.1-1689541</t>
  </si>
  <si>
    <t>5.2.1-94626333</t>
  </si>
  <si>
    <t>5.2.4-102744861</t>
  </si>
  <si>
    <t>1.11b</t>
  </si>
  <si>
    <t>1.17b</t>
  </si>
  <si>
    <t>3.0.4 (LMY48D)</t>
  </si>
  <si>
    <t>4.2.1</t>
  </si>
  <si>
    <t>6.09</t>
  </si>
  <si>
    <t>6.45</t>
  </si>
  <si>
    <t>1.4.032.08</t>
  </si>
  <si>
    <t>1.4.192.11</t>
  </si>
  <si>
    <t>1.4.192.08</t>
  </si>
  <si>
    <t>1.2.032.12</t>
  </si>
  <si>
    <t>1.2.192.12</t>
  </si>
  <si>
    <t>Google Camera</t>
  </si>
  <si>
    <t>GoogleCamera</t>
  </si>
  <si>
    <t>2.4.025 (1636091-30)</t>
  </si>
  <si>
    <t>Sound Search</t>
  </si>
  <si>
    <t>GoogleEars</t>
  </si>
  <si>
    <t>1.1.12</t>
  </si>
  <si>
    <t>Earth</t>
  </si>
  <si>
    <t>GoogleEarth</t>
  </si>
  <si>
    <t>8.0.1.2311</t>
  </si>
  <si>
    <t>2.2.1.89476514</t>
  </si>
  <si>
    <t>2.2.1.81303921</t>
  </si>
  <si>
    <t>1.1.1.1706998</t>
  </si>
  <si>
    <t>4.0.1.89475351</t>
  </si>
  <si>
    <t>4.1.1.93780058</t>
  </si>
  <si>
    <t>3.3.13.1635260</t>
  </si>
  <si>
    <t>3.4.6.1819666</t>
  </si>
  <si>
    <t>3.7.12.2235583</t>
  </si>
  <si>
    <t>2.17.2072.3</t>
  </si>
  <si>
    <t>3.0.03</t>
  </si>
  <si>
    <t>3.1.204.00</t>
  </si>
  <si>
    <t>3.2.354.00</t>
  </si>
  <si>
    <t>1.3.0.89654380</t>
  </si>
  <si>
    <t>1.3.0.90053456</t>
  </si>
  <si>
    <t>4.0.21003.1818039</t>
  </si>
  <si>
    <t>4.0.21203.1613964</t>
  </si>
  <si>
    <t>2.2 (1623380)</t>
  </si>
  <si>
    <t>2.3 (1824253)</t>
  </si>
  <si>
    <t>3.6.0</t>
  </si>
  <si>
    <t>4.3.1</t>
  </si>
  <si>
    <t>Google Wallet</t>
  </si>
  <si>
    <t>Wallet</t>
  </si>
  <si>
    <t>8.0-R190-v25</t>
  </si>
  <si>
    <t>9.0-R206-v12</t>
  </si>
  <si>
    <t>Initial R1</t>
  </si>
  <si>
    <t>6.1.84</t>
  </si>
  <si>
    <t>6.5.99</t>
  </si>
  <si>
    <t>8.1.15, 8.1.18</t>
  </si>
  <si>
    <t>8.1.22</t>
  </si>
  <si>
    <t>5.0-1557777</t>
  </si>
  <si>
    <t>5.0.1-1602158</t>
  </si>
  <si>
    <t>5.0.2-1900396 (LRX22M)</t>
  </si>
  <si>
    <t>5.0.36</t>
  </si>
  <si>
    <t>5.1.11</t>
  </si>
  <si>
    <t>2.0 (LRX22C)</t>
  </si>
  <si>
    <t>4.0.28.1516623</t>
  </si>
  <si>
    <t>4.1.24.1672412</t>
  </si>
  <si>
    <t>5.2.33.19</t>
  </si>
  <si>
    <t>3.2.35</t>
  </si>
  <si>
    <t>3.3.11</t>
  </si>
  <si>
    <t>38.0.2125.509</t>
  </si>
  <si>
    <t>39.0.2171.93</t>
  </si>
  <si>
    <t>2.1.382.21</t>
  </si>
  <si>
    <t>2.1.495.05</t>
  </si>
  <si>
    <t>5.0 (1533254)</t>
  </si>
  <si>
    <t>5.0.1 (1642443)</t>
  </si>
  <si>
    <t>2.4.78234730</t>
  </si>
  <si>
    <t>9.2.0</t>
  </si>
  <si>
    <t>5.7.1717Q.1530520</t>
  </si>
  <si>
    <t>5.7.1788Q.1634597</t>
  </si>
  <si>
    <t>3.3</t>
  </si>
  <si>
    <t>com.google.android.apps.photos</t>
  </si>
  <si>
    <t>2.1.17</t>
  </si>
  <si>
    <t>2.2.05</t>
  </si>
  <si>
    <t>4.6.0.76970369</t>
  </si>
  <si>
    <t>4.8.0.81189390</t>
  </si>
  <si>
    <t>3.4.23</t>
  </si>
  <si>
    <t>3.6.14</t>
  </si>
  <si>
    <t>37 (1589900-arm)</t>
  </si>
  <si>
    <t>37 (1602158)</t>
  </si>
  <si>
    <t>5.10.3.5</t>
  </si>
  <si>
    <t>6.0.13</t>
  </si>
  <si>
    <t>Bugle</t>
  </si>
  <si>
    <t>com.google.android.apps.messaging</t>
  </si>
  <si>
    <t>5.0-1503864</t>
  </si>
  <si>
    <t>5.0.1-1638276</t>
  </si>
  <si>
    <t>1.09b</t>
  </si>
  <si>
    <t>com.google.android.deskclock</t>
  </si>
  <si>
    <t>3.0.2</t>
  </si>
  <si>
    <t>5.78</t>
  </si>
  <si>
    <t>6.08</t>
  </si>
  <si>
    <t>1.3.382.20</t>
  </si>
  <si>
    <t>1.3.492.11</t>
  </si>
  <si>
    <t>1.3.382.22</t>
  </si>
  <si>
    <t>1.0.912.20</t>
  </si>
  <si>
    <t>1.1.492.10</t>
  </si>
  <si>
    <t>5.0-1551133</t>
  </si>
  <si>
    <t>2.4.008 (1551133-30)</t>
  </si>
  <si>
    <t>2.4.025</t>
  </si>
  <si>
    <t>8.0.1.2310</t>
  </si>
  <si>
    <t>2.1.0.76677296</t>
  </si>
  <si>
    <t>1.1.1.1516623</t>
  </si>
  <si>
    <t>3.3.0.76671927</t>
  </si>
  <si>
    <t>3.2.12.1551133</t>
  </si>
  <si>
    <t>com.google.android.inputmethod.japanese</t>
  </si>
  <si>
    <t>2.4.12</t>
  </si>
  <si>
    <t>1.1.0.77570483</t>
  </si>
  <si>
    <t>4.0.21003.1551133</t>
  </si>
  <si>
    <t>4.0.21003.1602158</t>
  </si>
  <si>
    <t>2.1 (1473478)</t>
  </si>
  <si>
    <t>Android Pay (Wallet)</t>
  </si>
  <si>
    <t>AndroidPay (Wallet)</t>
  </si>
  <si>
    <t>7.0-R185-v21</t>
  </si>
  <si>
    <t>GMS APKs</t>
  </si>
  <si>
    <t>App</t>
  </si>
  <si>
    <t xml:space="preserve"> Initial R1</t>
  </si>
  <si>
    <t>Description</t>
  </si>
  <si>
    <t>prebuilt repository</t>
  </si>
  <si>
    <t>Books.apk</t>
  </si>
  <si>
    <t>com.google.android.apps.books</t>
  </si>
  <si>
    <t>3.0.15</t>
  </si>
  <si>
    <t>3.1.33</t>
  </si>
  <si>
    <t>3.1.49</t>
  </si>
  <si>
    <t xml:space="preserve"> Google Books application</t>
  </si>
  <si>
    <t>vendor/google/gms/dist/apps</t>
  </si>
  <si>
    <t>BrowserProviderProxy.apk</t>
  </si>
  <si>
    <t>THIS MUST BE SIGNED BY PARTNER - Needed if Chrome is the only pre-loaded Browser (see Chrome Integration Instructions)</t>
  </si>
  <si>
    <t>CalendarGoogle.apk</t>
  </si>
  <si>
    <t>com.google.android.calendar</t>
  </si>
  <si>
    <t xml:space="preserve">Google version of platform calendar app </t>
  </si>
  <si>
    <t>Chrome.apk</t>
  </si>
  <si>
    <t>com.android.chrome</t>
  </si>
  <si>
    <t>30.0.1599.92</t>
  </si>
  <si>
    <t>33.0.1750.136</t>
  </si>
  <si>
    <t>34.0.1847.114</t>
  </si>
  <si>
    <t>35.0.1916.141</t>
  </si>
  <si>
    <t>36.0.1985.135</t>
  </si>
  <si>
    <t>40.0.2214.109</t>
  </si>
  <si>
    <t>Chrome Browser</t>
  </si>
  <si>
    <t>ConfigUpdater.apk</t>
  </si>
  <si>
    <t>Config Updater</t>
  </si>
  <si>
    <t>Configuration Updater</t>
  </si>
  <si>
    <t>ChromeBookmarksSyncAdapter.apk</t>
  </si>
  <si>
    <t>com.google.android.syncadapters.bookmarks</t>
  </si>
  <si>
    <t>Bookmarks Sync</t>
  </si>
  <si>
    <t>DEPRECATED</t>
  </si>
  <si>
    <t>This app has been deprecated starting from KK MR1 GMS</t>
  </si>
  <si>
    <t>CloudPrint.apk</t>
  </si>
  <si>
    <t>com.google.android.apps.cloudprint</t>
  </si>
  <si>
    <t>0.8.10</t>
  </si>
  <si>
    <t>0.9.2</t>
  </si>
  <si>
    <t>0.9.10</t>
  </si>
  <si>
    <t>Enables priting to any Cloud Print-enabled printer</t>
  </si>
  <si>
    <t>DeskClockGoogle.apk</t>
  </si>
  <si>
    <t>3.0.0</t>
  </si>
  <si>
    <t>Google version of platform desk clock app</t>
  </si>
  <si>
    <t>Drive.apk</t>
  </si>
  <si>
    <t>com.google.android.apps.docs</t>
  </si>
  <si>
    <t>1.2.563.31</t>
  </si>
  <si>
    <t>2.0.222.39</t>
  </si>
  <si>
    <t>2.0.222.51</t>
  </si>
  <si>
    <t>FaceLock.apk</t>
  </si>
  <si>
    <t>Used for unlocking device using facial recognition</t>
  </si>
  <si>
    <t>GalleryGoogle.apk</t>
  </si>
  <si>
    <t>com.google.android.gallery3d</t>
  </si>
  <si>
    <t>Gallery</t>
  </si>
  <si>
    <t>1.1.40304</t>
  </si>
  <si>
    <t>Google version of platform Gallery 3D and Camera app</t>
  </si>
  <si>
    <t>GenieWidget.apk</t>
  </si>
  <si>
    <t>com.google.android.apps.genie.geniewidget</t>
  </si>
  <si>
    <t>2.0 (1402436)</t>
  </si>
  <si>
    <t>Gmail.apk</t>
  </si>
  <si>
    <t>com.google.android.gm</t>
  </si>
  <si>
    <t>4.7.2 (967015)</t>
  </si>
  <si>
    <t>4.8 (1167183)</t>
  </si>
  <si>
    <t>4.9 (1271612)</t>
  </si>
  <si>
    <t xml:space="preserve"> Gmail client application</t>
  </si>
  <si>
    <t>GmsCore.apk</t>
  </si>
  <si>
    <t>com.google.android.gms</t>
  </si>
  <si>
    <t>Google Play Services</t>
  </si>
  <si>
    <t>4.0.33</t>
  </si>
  <si>
    <t>4.2.43</t>
  </si>
  <si>
    <t>4.3.24</t>
  </si>
  <si>
    <t>5.0.84</t>
  </si>
  <si>
    <t>5.0.89</t>
  </si>
  <si>
    <t>GoogleBackupTransport.apk</t>
  </si>
  <si>
    <t>com.google.android.backup</t>
  </si>
  <si>
    <t>Backup</t>
  </si>
  <si>
    <t>Allows backup of user's personal data to Googler servers with Google account. (Details)</t>
  </si>
  <si>
    <t>GoogleCalendarSyncAdapter.apk</t>
  </si>
  <si>
    <t>Calendar Sync</t>
  </si>
  <si>
    <t>4.4.2-951900</t>
  </si>
  <si>
    <t>4.4.4-1230475</t>
  </si>
  <si>
    <t xml:space="preserve"> Provides sync adapter for Google calendar sync - folded into CalendarGoogle</t>
  </si>
  <si>
    <t>GoogleCamera.apk</t>
  </si>
  <si>
    <t>com.google.android.GoogleCamera</t>
  </si>
  <si>
    <t>2.0.001</t>
  </si>
  <si>
    <t>2.2.024 (1195242-30)</t>
  </si>
  <si>
    <t>2.3.019 (1271679-30)</t>
  </si>
  <si>
    <t>Google Camera introduced in 4.4</t>
  </si>
  <si>
    <t>GoogleContactsSyncAdapter.apk</t>
  </si>
  <si>
    <t>Contacts Sync</t>
  </si>
  <si>
    <t xml:space="preserve"> Provides sync adapter for Google contacts sync</t>
  </si>
  <si>
    <t>GoogleFeedback.apk</t>
  </si>
  <si>
    <t>Google Feedback</t>
  </si>
  <si>
    <t>Collects data for developers whenever a running Market application freezes or crashes. (Details)</t>
  </si>
  <si>
    <t>GoogleLoginService.apk</t>
  </si>
  <si>
    <t>Google Login Service</t>
  </si>
  <si>
    <t xml:space="preserve"> Service used by Google apps to acquire login credentials  </t>
  </si>
  <si>
    <t>GoogleOneTimeInitializer.apk</t>
  </si>
  <si>
    <t>One Time Initializer</t>
  </si>
  <si>
    <t xml:space="preserve">One-time initialization after installation </t>
  </si>
  <si>
    <t>GooglePartnerSetup.apk</t>
  </si>
  <si>
    <t>4.4 (HTTPS fix)</t>
  </si>
  <si>
    <t xml:space="preserve"> A set of shared components used by Google applications to configure partner-specific parameters</t>
  </si>
  <si>
    <t>GoogleServicesFramework.apk</t>
  </si>
  <si>
    <t>GSF</t>
  </si>
  <si>
    <t xml:space="preserve"> Google checkin service which retrieves application configuration parameters</t>
  </si>
  <si>
    <t>GoogleTTS.apk</t>
  </si>
  <si>
    <t>com.google.android.tts</t>
  </si>
  <si>
    <t>Text-To-Speech</t>
  </si>
  <si>
    <t>2.4.3.864779</t>
  </si>
  <si>
    <t>3.0.10.1047791</t>
  </si>
  <si>
    <t>3.0.11.1070024</t>
  </si>
  <si>
    <t>3.1.3.1162895</t>
  </si>
  <si>
    <t>Provides Text-to-Speech functionality - new engine from Phonetic Arts</t>
  </si>
  <si>
    <t>Hangouts.apk</t>
  </si>
  <si>
    <t>com.google.android.talk</t>
  </si>
  <si>
    <t>2.0.128</t>
  </si>
  <si>
    <t>2.0.303 (1004807-30)</t>
  </si>
  <si>
    <t>2.1.311 (1231142-30)</t>
  </si>
  <si>
    <t>2.1.317 (1328022-30)</t>
  </si>
  <si>
    <t>Provides chat as well as SMS functionality</t>
  </si>
  <si>
    <t>LatinImeGoogle.apk</t>
  </si>
  <si>
    <t>com.google.android.inputmethod.latin</t>
  </si>
  <si>
    <t>Latin IME</t>
  </si>
  <si>
    <t>2.0.19123.914326a</t>
  </si>
  <si>
    <t>2.0.19133.927933</t>
  </si>
  <si>
    <t>3.0.19423.1102675</t>
  </si>
  <si>
    <t>3.1.19653.1284735</t>
  </si>
  <si>
    <t>Magazines.apk</t>
  </si>
  <si>
    <t>com.google.android.apps.magazines</t>
  </si>
  <si>
    <t>Play Magazines</t>
  </si>
  <si>
    <t>3.1.0</t>
  </si>
  <si>
    <t>3.2.0</t>
  </si>
  <si>
    <t>3.2.1</t>
  </si>
  <si>
    <t>Maps.apk</t>
  </si>
  <si>
    <t>com.google.android.apps.maps</t>
  </si>
  <si>
    <t>7.4.0</t>
  </si>
  <si>
    <t>7.7.0</t>
  </si>
  <si>
    <t>8.1.1</t>
  </si>
  <si>
    <t>8.2.0</t>
  </si>
  <si>
    <t xml:space="preserve"> Google Maps application, including Latitude, Places and Navigation</t>
  </si>
  <si>
    <t>vendor/google/gms/dist/apps/Maps</t>
  </si>
  <si>
    <t>MapView API</t>
  </si>
  <si>
    <t>com.google.android.maps.jar
com.google.android.maps.xml</t>
  </si>
  <si>
    <t>MapView v1 API</t>
  </si>
  <si>
    <t>Libraries for Mapping related applications</t>
  </si>
  <si>
    <t>Media Effects Libs</t>
  </si>
  <si>
    <t>com.google.android.media.effects.jar
com.google.android.media.effects.xml</t>
  </si>
  <si>
    <t>Media Effects</t>
  </si>
  <si>
    <t>Libraries for processing images and video with special effects</t>
  </si>
  <si>
    <t>MediaUploader.apk</t>
  </si>
  <si>
    <t>com.google.android.apps.uploader</t>
  </si>
  <si>
    <t>Media Uploader</t>
  </si>
  <si>
    <t>1.3.242047</t>
  </si>
  <si>
    <t xml:space="preserve"> YouTube and Picasa media upload service</t>
  </si>
  <si>
    <t>Music2.apk</t>
  </si>
  <si>
    <t>com.google.android.music</t>
  </si>
  <si>
    <t>Play Music</t>
  </si>
  <si>
    <t>5.2.1301L.891271</t>
  </si>
  <si>
    <t>5.4.1413N.1048534</t>
  </si>
  <si>
    <t>5.6.1609P.1258283</t>
  </si>
  <si>
    <t>5.6.1617P.1333751</t>
  </si>
  <si>
    <t>PartnerBookmarksProvider.apk</t>
  </si>
  <si>
    <t>NOT PART OF GMS, USE AOSP VERSION</t>
  </si>
  <si>
    <t>Phonesky.apk</t>
  </si>
  <si>
    <t>Play Store</t>
  </si>
  <si>
    <t>4.5.10</t>
  </si>
  <si>
    <t>4.6.17</t>
  </si>
  <si>
    <t>4.8.20</t>
  </si>
  <si>
    <t>4.9.13</t>
  </si>
  <si>
    <t xml:space="preserve"> The Android Play Store / Market application</t>
  </si>
  <si>
    <t>PlayGames.apk</t>
  </si>
  <si>
    <t>com.google.android.play.games</t>
  </si>
  <si>
    <t>Play Games</t>
  </si>
  <si>
    <t>1.1.04</t>
  </si>
  <si>
    <t>1.5.08</t>
  </si>
  <si>
    <t>1.6.07</t>
  </si>
  <si>
    <t>2.0.11</t>
  </si>
  <si>
    <t>Play Games application</t>
  </si>
  <si>
    <t>PlusOne.apk</t>
  </si>
  <si>
    <t>com.google.android.apps.plus</t>
  </si>
  <si>
    <t>4.2.3.56698342</t>
  </si>
  <si>
    <t>4.3.0.62241793</t>
  </si>
  <si>
    <t>4.3.1.63038142</t>
  </si>
  <si>
    <t>4.4.3.69327528</t>
  </si>
  <si>
    <t>Google+ app</t>
  </si>
  <si>
    <t>SetupWizard.apk</t>
  </si>
  <si>
    <t xml:space="preserve"> Google Account setup wizard.</t>
  </si>
  <si>
    <t>Street.apk</t>
  </si>
  <si>
    <t>com.google.android.street</t>
  </si>
  <si>
    <t>StreetView</t>
  </si>
  <si>
    <t xml:space="preserve"> StreetView apk that is part of the Maps application</t>
  </si>
  <si>
    <t>vendor/google/prebuilt</t>
  </si>
  <si>
    <t>TagGoogle.apk</t>
  </si>
  <si>
    <t>NFC Tag</t>
  </si>
  <si>
    <t>Tag is a sample app to test NFC functionality</t>
  </si>
  <si>
    <t>talkback.apk</t>
  </si>
  <si>
    <t>com.google.android.marvin.talkback</t>
  </si>
  <si>
    <t>TalkBack is an app for the Android Accessibility Service to help vision-impaired users</t>
  </si>
  <si>
    <t>Velvet.apk</t>
  </si>
  <si>
    <t>com.google.android.googlequicksearchbox</t>
  </si>
  <si>
    <t>QSB</t>
  </si>
  <si>
    <t>3.1.22</t>
  </si>
  <si>
    <t>3.3.12</t>
  </si>
  <si>
    <t>3.5.16.1262550</t>
  </si>
  <si>
    <t>3.6.14.1337016</t>
  </si>
  <si>
    <t xml:space="preserve"> Google search provider for enhanced Google search results</t>
  </si>
  <si>
    <t>VideoEditorGoogle.apk</t>
  </si>
  <si>
    <t>com.google.android.videoeditor</t>
  </si>
  <si>
    <t>Video Editor</t>
  </si>
  <si>
    <t>Google version of platform video editor app</t>
  </si>
  <si>
    <t>Videos.apk</t>
  </si>
  <si>
    <t>com.google.android.videos</t>
  </si>
  <si>
    <t>Play Movies &amp; TV</t>
  </si>
  <si>
    <t>3.0.25</t>
  </si>
  <si>
    <t>3.2.25</t>
  </si>
  <si>
    <t>YouTube.apk</t>
  </si>
  <si>
    <t>com.google.android.youtube</t>
  </si>
  <si>
    <t>5.3.23</t>
  </si>
  <si>
    <t>5.5.27</t>
  </si>
  <si>
    <t>5.7.41</t>
  </si>
  <si>
    <t>5.9.0.13</t>
  </si>
  <si>
    <t xml:space="preserve"> The YouTube application</t>
  </si>
  <si>
    <t>2.9.21</t>
  </si>
  <si>
    <t>3.1.23</t>
  </si>
  <si>
    <t>28.0.1500.94</t>
  </si>
  <si>
    <t>32.0.1700.99</t>
  </si>
  <si>
    <t>Chrome_x86.apk</t>
  </si>
  <si>
    <t>Chrome Browser for x86</t>
  </si>
  <si>
    <t>A sync adapter for the Chrome bookmark service</t>
  </si>
  <si>
    <t>Provides certificate pinning and SMS blacklist support.</t>
  </si>
  <si>
    <t>2.0.3</t>
  </si>
  <si>
    <t>Google Drive</t>
  </si>
  <si>
    <t>1.2.484.18</t>
  </si>
  <si>
    <t>Google Drive app</t>
  </si>
  <si>
    <t>Camera &amp; Gallery</t>
  </si>
  <si>
    <t>1.1.40012</t>
  </si>
  <si>
    <t>1.3.11</t>
  </si>
  <si>
    <t>News &amp; Weather app - NOT FOR TABLETS</t>
  </si>
  <si>
    <t>4.5.2-714156</t>
  </si>
  <si>
    <t>4.7.2_967015</t>
  </si>
  <si>
    <t>3.1.59</t>
  </si>
  <si>
    <t>4.1.32_978161-30</t>
  </si>
  <si>
    <t>GMS Core</t>
  </si>
  <si>
    <t>2.1.0.757479</t>
  </si>
  <si>
    <t>1.1.1.753199</t>
  </si>
  <si>
    <t>2.0.217_944332-30</t>
  </si>
  <si>
    <t>1.0.1870.703320</t>
  </si>
  <si>
    <t>7.0.2</t>
  </si>
  <si>
    <t>7.5.0</t>
  </si>
  <si>
    <t>2.0.0</t>
  </si>
  <si>
    <t>3.0.1</t>
  </si>
  <si>
    <t>Music</t>
  </si>
  <si>
    <t>5.1.1107K.753159</t>
  </si>
  <si>
    <t>5.3.1317M.940995</t>
  </si>
  <si>
    <t>Google Music app</t>
  </si>
  <si>
    <t>NetworkLocation.apk</t>
  </si>
  <si>
    <t>com.google.android.location</t>
  </si>
  <si>
    <t>NLP</t>
  </si>
  <si>
    <t>1.1.10</t>
  </si>
  <si>
    <t xml:space="preserve"> Google Location Service network-based location provider</t>
  </si>
  <si>
    <t>OneTimeInitializer.apk</t>
  </si>
  <si>
    <t>4.3.10</t>
  </si>
  <si>
    <t xml:space="preserve"> The Android Play Store application</t>
  </si>
  <si>
    <t>4.0.2.48854689</t>
  </si>
  <si>
    <t>4.2.4.58179886</t>
  </si>
  <si>
    <t>2.6.7.721924.arm</t>
  </si>
  <si>
    <t>3.1.24.941712.arm</t>
  </si>
  <si>
    <t>2.6.9</t>
  </si>
  <si>
    <t xml:space="preserve"> Google Videos app</t>
  </si>
  <si>
    <t>VoiceSearchStub.apk</t>
  </si>
  <si>
    <t>com.google.android.voicesearch</t>
  </si>
  <si>
    <t>Voice Search Stub</t>
  </si>
  <si>
    <t>Voice Search Stub for devices upgrading from pre-JB release</t>
  </si>
  <si>
    <t>4.5.17</t>
  </si>
  <si>
    <t>5.3.32</t>
  </si>
  <si>
    <t>R1 (552002)</t>
  </si>
  <si>
    <t>R2 (612687)</t>
  </si>
  <si>
    <t>R3 (721232)</t>
  </si>
  <si>
    <t>2.6.41</t>
  </si>
  <si>
    <t>2.7.39</t>
  </si>
  <si>
    <t>2.8.69</t>
  </si>
  <si>
    <t>Browser Provider</t>
  </si>
  <si>
    <t>4.2.2</t>
  </si>
  <si>
    <t>18.0.1025469</t>
  </si>
  <si>
    <t>28.0.1500.64</t>
  </si>
  <si>
    <t>31.0.1650.59</t>
  </si>
  <si>
    <t>18.0.1026322</t>
  </si>
  <si>
    <t>25.0.1364.169</t>
  </si>
  <si>
    <t>1.1.40001</t>
  </si>
  <si>
    <t>4.6 (836823)</t>
  </si>
  <si>
    <t>1.0.15</t>
  </si>
  <si>
    <t>3.0.27</t>
  </si>
  <si>
    <t>4.0.34 (924341-30)</t>
  </si>
  <si>
    <t>3.0.19427.1102675</t>
  </si>
  <si>
    <t>6.14.2</t>
  </si>
  <si>
    <t>6.14.3</t>
  </si>
  <si>
    <t>1.2.0</t>
  </si>
  <si>
    <t>1.2.1</t>
  </si>
  <si>
    <t>4.4.811H.526848</t>
  </si>
  <si>
    <t>4.5.914I.590354</t>
  </si>
  <si>
    <t>5.1.1106K.749200</t>
  </si>
  <si>
    <t>3.10.9</t>
  </si>
  <si>
    <t>4.0.25</t>
  </si>
  <si>
    <t>4.1.10</t>
  </si>
  <si>
    <t xml:space="preserve"> The Android Market application</t>
  </si>
  <si>
    <t>Play Games app</t>
  </si>
  <si>
    <t>3.2.2.38469528</t>
  </si>
  <si>
    <t>3.6.0.44338848</t>
  </si>
  <si>
    <t>Talk.apk</t>
  </si>
  <si>
    <t>GTalk</t>
  </si>
  <si>
    <t xml:space="preserve"> Google Talk application</t>
  </si>
  <si>
    <t>3.3.0</t>
  </si>
  <si>
    <t>3.5.0</t>
  </si>
  <si>
    <t>2.2.9.542574</t>
  </si>
  <si>
    <t>2.4.10.626027</t>
  </si>
  <si>
    <t>3.1.8.914827.arm</t>
  </si>
  <si>
    <t>2.3.7</t>
  </si>
  <si>
    <t>2.4.14</t>
  </si>
  <si>
    <t>2.7.15</t>
  </si>
  <si>
    <t>4.2.16</t>
  </si>
  <si>
    <t>4.4.11</t>
  </si>
  <si>
    <t>5.2.27</t>
  </si>
  <si>
    <t>R2 (438695)</t>
  </si>
  <si>
    <t>R3 (509230)</t>
  </si>
  <si>
    <t>R4 (509230)</t>
  </si>
  <si>
    <t>R5 (610838)</t>
  </si>
  <si>
    <t>R6 (708805)</t>
  </si>
  <si>
    <t>2.5.83</t>
  </si>
  <si>
    <t>2.6.31</t>
  </si>
  <si>
    <t>4.1.1</t>
  </si>
  <si>
    <t>4.1.2</t>
  </si>
  <si>
    <t>THIS MUST BE SIGNED BY PARTNER</t>
  </si>
  <si>
    <t>18.0.1025123</t>
  </si>
  <si>
    <t>18.0.1025171</t>
  </si>
  <si>
    <t>18.0.1025460</t>
  </si>
  <si>
    <t>26.0.1410.58</t>
  </si>
  <si>
    <t>1.1.40000</t>
  </si>
  <si>
    <t>GMS Play Services</t>
  </si>
  <si>
    <t>1.0.13</t>
  </si>
  <si>
    <t>6.9.0</t>
  </si>
  <si>
    <t>6.10.0</t>
  </si>
  <si>
    <t>6.12.0</t>
  </si>
  <si>
    <t>1.0.2</t>
  </si>
  <si>
    <t>4.3.606.400990</t>
  </si>
  <si>
    <t>4.3.615.481147</t>
  </si>
  <si>
    <t xml:space="preserve">Market </t>
  </si>
  <si>
    <t>3.7.15</t>
  </si>
  <si>
    <t>3.0.1.32017166</t>
  </si>
  <si>
    <t>3.1.1.32879387</t>
  </si>
  <si>
    <t>3.2.0.35289806</t>
  </si>
  <si>
    <t>3.3.0.40049528</t>
  </si>
  <si>
    <t>1.8.1.0</t>
  </si>
  <si>
    <t>3.1.1_r68</t>
  </si>
  <si>
    <t>2.0.21</t>
  </si>
  <si>
    <t>2.1.9</t>
  </si>
  <si>
    <t>4.0.23</t>
  </si>
  <si>
    <t>4.1.23</t>
  </si>
  <si>
    <t>GMS APKs &amp; Libs</t>
  </si>
  <si>
    <t>Version (R0 - ICL52)</t>
  </si>
  <si>
    <t>R0 - ICL53B - 228995</t>
  </si>
  <si>
    <t>MR0 R0 ITL41F 228551</t>
  </si>
  <si>
    <t>MR1 R0 IML74B 237844</t>
  </si>
  <si>
    <t>MR1 R0 IML74K 239410
Jan 05 2012</t>
  </si>
  <si>
    <t>Has Native Library</t>
  </si>
  <si>
    <t>MR1 R0 IML74K 239410
Jan 20 2012</t>
  </si>
  <si>
    <t>MR1 R1 IMM62 278776</t>
  </si>
  <si>
    <t>ICS R2 338691</t>
  </si>
  <si>
    <t>ICS R3 (390215)</t>
  </si>
  <si>
    <t xml:space="preserve"> ICS R4</t>
  </si>
  <si>
    <t>ICS R5</t>
  </si>
  <si>
    <t>ICS R6</t>
  </si>
  <si>
    <t>ICS R7</t>
  </si>
  <si>
    <t>ICS R8 (610279)</t>
  </si>
  <si>
    <t>BooksTablet.apk</t>
  </si>
  <si>
    <t>2.2.1</t>
  </si>
  <si>
    <t>2.3.3</t>
  </si>
  <si>
    <t>2.3.5</t>
  </si>
  <si>
    <t>2.4.3</t>
  </si>
  <si>
    <t>2.5.87</t>
  </si>
  <si>
    <t>2.5.93</t>
  </si>
  <si>
    <t>4.0.2-228311</t>
  </si>
  <si>
    <t>4.0.2-228995</t>
  </si>
  <si>
    <t>4.0.1-228551</t>
  </si>
  <si>
    <t>4.0.3-237844</t>
  </si>
  <si>
    <t>4.0.3-239410</t>
  </si>
  <si>
    <t>4.0.4</t>
  </si>
  <si>
    <t>CameraGoogle.apk</t>
  </si>
  <si>
    <t>com.google.android.camera</t>
  </si>
  <si>
    <t>Camera</t>
  </si>
  <si>
    <t>X</t>
  </si>
  <si>
    <t>Google version of platform camera app</t>
  </si>
  <si>
    <t>18.0.1025308</t>
  </si>
  <si>
    <t>18.0.1025314</t>
  </si>
  <si>
    <t>18.0.1026311</t>
  </si>
  <si>
    <t>25.0.1364.123</t>
  </si>
  <si>
    <t>1.1.30682</t>
  </si>
  <si>
    <t>Google version of platform Gallery 3D</t>
  </si>
  <si>
    <t>1.3.04</t>
  </si>
  <si>
    <t xml:space="preserve">4.0.3-237844 </t>
  </si>
  <si>
    <t>4.0.5</t>
  </si>
  <si>
    <t>GMS Core Services</t>
  </si>
  <si>
    <t>No</t>
  </si>
  <si>
    <t>GoogleQuickSearchBox.apk</t>
  </si>
  <si>
    <t>1.4.0.228311</t>
  </si>
  <si>
    <t>1.4.0.228995</t>
  </si>
  <si>
    <t>1.4.1.237844</t>
  </si>
  <si>
    <t>1.4.1.239410</t>
  </si>
  <si>
    <t>1.4.1.269500</t>
  </si>
  <si>
    <t>1.4.1</t>
  </si>
  <si>
    <t>LatinImeDictionaryPack.apk</t>
  </si>
  <si>
    <t>com.google.android.inputmethod.latin.dictionarypack</t>
  </si>
  <si>
    <t>Dictionary Pack</t>
  </si>
  <si>
    <t>Latin Dictionary Pack</t>
  </si>
  <si>
    <t>Magazines app</t>
  </si>
  <si>
    <t>5.12.0</t>
  </si>
  <si>
    <t>5.11.0</t>
  </si>
  <si>
    <t>6.0.3</t>
  </si>
  <si>
    <t>6.3.0</t>
  </si>
  <si>
    <t>6.6.0</t>
  </si>
  <si>
    <t>6.8.1</t>
  </si>
  <si>
    <t>6.11.1</t>
  </si>
  <si>
    <t>Maps Libs</t>
  </si>
  <si>
    <t xml:space="preserve">com.google.android.maps.jar, com.google.android.maps.xml </t>
  </si>
  <si>
    <t>com.google.android.media.effects.jar, com.google.android.media.effects.xml</t>
  </si>
  <si>
    <t>1.5.14</t>
  </si>
  <si>
    <t>4.0.9</t>
  </si>
  <si>
    <t>4.0.1</t>
  </si>
  <si>
    <t>4.1.510</t>
  </si>
  <si>
    <t>4.1.511</t>
  </si>
  <si>
    <t>4.1.513</t>
  </si>
  <si>
    <t>4.3.609.436083</t>
  </si>
  <si>
    <t>1.1.08</t>
  </si>
  <si>
    <t>3.4.7</t>
  </si>
  <si>
    <t>3.5.16</t>
  </si>
  <si>
    <t>3.5.19</t>
  </si>
  <si>
    <t>2.1.1.228311</t>
  </si>
  <si>
    <t>2.1.1.228995</t>
  </si>
  <si>
    <t>2.1.0.228995</t>
  </si>
  <si>
    <t>2.2.1.237844</t>
  </si>
  <si>
    <t>2.2.1.238649</t>
  </si>
  <si>
    <t>2.3.1.242969</t>
  </si>
  <si>
    <t>2.4.1.271037</t>
  </si>
  <si>
    <t>2.5.0.329322</t>
  </si>
  <si>
    <t>2.6.0</t>
  </si>
  <si>
    <t>1.7.1.0</t>
  </si>
  <si>
    <t>1.7.2.0</t>
  </si>
  <si>
    <t>1.8.0.1</t>
  </si>
  <si>
    <t>2.8.4</t>
  </si>
  <si>
    <t>3.1.3</t>
  </si>
  <si>
    <t>Play Movies</t>
  </si>
  <si>
    <t>1.4.0</t>
  </si>
  <si>
    <t>1.4.3</t>
  </si>
  <si>
    <t>1.4.9</t>
  </si>
  <si>
    <t>1.4.11</t>
  </si>
  <si>
    <t>VoiceSearch.apk</t>
  </si>
  <si>
    <t>Voice Search</t>
  </si>
  <si>
    <t>Voice Search and Voice IME</t>
  </si>
  <si>
    <t>3.5.5</t>
  </si>
  <si>
    <t>R7 (180999)</t>
  </si>
  <si>
    <t>R8 (211356)</t>
  </si>
  <si>
    <t>R9 (227833)</t>
  </si>
  <si>
    <t>R10 (277775)</t>
  </si>
  <si>
    <t>BooksPhone.apk</t>
  </si>
  <si>
    <t>1.3.5</t>
  </si>
  <si>
    <t>1.4.4</t>
  </si>
  <si>
    <t>1.4.6</t>
  </si>
  <si>
    <t>1.5.4</t>
  </si>
  <si>
    <t>2.6.40</t>
  </si>
  <si>
    <t>2.3.5.2</t>
  </si>
  <si>
    <t xml:space="preserve">2.3.5.2 </t>
  </si>
  <si>
    <t>2.3.6</t>
  </si>
  <si>
    <t>1.1.2.64376</t>
  </si>
  <si>
    <t>1.3.3.247963</t>
  </si>
  <si>
    <t>LatinImeTutorial.apk</t>
  </si>
  <si>
    <t>com.google.android.latinimetutorial</t>
  </si>
  <si>
    <t>Latin IME Tutorial</t>
  </si>
  <si>
    <t>removed</t>
  </si>
  <si>
    <t>Google Play Magazines</t>
  </si>
  <si>
    <t>Google Maps</t>
  </si>
  <si>
    <t>5.8.0</t>
  </si>
  <si>
    <t>6.4.0</t>
  </si>
  <si>
    <t>MarketUpdater.apk</t>
  </si>
  <si>
    <t>com.android.vending.updater</t>
  </si>
  <si>
    <t>Market Updater</t>
  </si>
  <si>
    <t>1.5.13</t>
  </si>
  <si>
    <t>Network Location Provider</t>
  </si>
  <si>
    <t>1.0.0</t>
  </si>
  <si>
    <t>Market</t>
  </si>
  <si>
    <t>3.1.7</t>
  </si>
  <si>
    <t>2.1.0.216852</t>
  </si>
  <si>
    <t>2.1.1.219805</t>
  </si>
  <si>
    <t>2.4.1</t>
  </si>
  <si>
    <t>com.android.setupwizard</t>
  </si>
  <si>
    <t>1.7.0.4</t>
  </si>
  <si>
    <t xml:space="preserve">1.7.1.0 </t>
  </si>
  <si>
    <t>Video GTalk</t>
  </si>
  <si>
    <t>Talk2.apk</t>
  </si>
  <si>
    <t>Vending.apk</t>
  </si>
  <si>
    <t>1.3.6</t>
  </si>
  <si>
    <t>1.4.2</t>
  </si>
  <si>
    <t>1.4.10</t>
  </si>
  <si>
    <t>2.1.3</t>
  </si>
  <si>
    <t>2.1.4</t>
  </si>
  <si>
    <t>2.1.6</t>
  </si>
  <si>
    <t>2.2.16</t>
  </si>
  <si>
    <t>2.3.4</t>
  </si>
  <si>
    <t>2.4.4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</si>
</sst>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65">
    <font>
      <sz val="10.0"/>
      <color rgb="FF000000"/>
      <name val="Arial"/>
    </font>
    <font>
      <b/>
      <sz val="11.0"/>
      <name val="Roboto"/>
    </font>
    <font>
      <b/>
      <name val="Roboto"/>
    </font>
    <font/>
    <font>
      <b/>
      <color rgb="FFFF0000"/>
      <name val="Roboto"/>
    </font>
    <font>
      <name val="Arial"/>
    </font>
    <font>
      <name val="Roboto"/>
    </font>
    <font>
      <u/>
      <color rgb="FF1155CC"/>
      <name val="Roboto"/>
    </font>
    <font>
      <color rgb="FF202124"/>
      <name val="Arial"/>
    </font>
    <font>
      <color rgb="FF000000"/>
      <name val="Docs-Roboto"/>
    </font>
    <font>
      <color rgb="FF000000"/>
      <name val="Arial"/>
    </font>
    <font>
      <u/>
      <color rgb="FF1155CC"/>
      <name val="Roboto Condensed"/>
    </font>
    <font>
      <name val="Roboto Condensed"/>
    </font>
    <font>
      <name val="Google Sans"/>
    </font>
    <font>
      <u/>
      <color rgb="FF1155CC"/>
      <name val="Roboto"/>
    </font>
    <font>
      <u/>
      <color rgb="FF1155CC"/>
      <name val="Roboto"/>
    </font>
    <font>
      <u/>
      <color rgb="FF1155CC"/>
      <name val="&quot;Roboto Condensed&quot;"/>
    </font>
    <font>
      <name val="&quot;Roboto Condensed&quot;"/>
    </font>
    <font>
      <u/>
      <color rgb="FF1155CC"/>
      <name val="Roboto"/>
    </font>
    <font>
      <color rgb="FF202124"/>
      <name val="Inherit"/>
    </font>
    <font>
      <u/>
      <color rgb="FF1155CC"/>
      <name val="&quot;Roboto Condensed&quot;"/>
    </font>
    <font>
      <color rgb="FF000000"/>
      <name val="&quot;Roboto Mono&quot;"/>
    </font>
    <font>
      <color rgb="FF202124"/>
      <name val="Roboto"/>
    </font>
    <font>
      <sz val="10.0"/>
      <color rgb="FF000000"/>
      <name val="&quot;Open Sans&quot;"/>
    </font>
    <font>
      <color rgb="FF000000"/>
      <name val="&quot;Open Sans&quot;"/>
    </font>
    <font>
      <sz val="11.0"/>
      <color rgb="FF000000"/>
      <name val="&quot;Open Sans&quot;"/>
    </font>
    <font>
      <color rgb="FF000000"/>
      <name val="Roboto"/>
    </font>
    <font>
      <u/>
      <sz val="10.0"/>
      <color rgb="FF0000FF"/>
      <name val="Roboto"/>
    </font>
    <font>
      <name val="&quot;Roboto Mono&quot;"/>
    </font>
    <font>
      <u/>
      <color rgb="FF1155CC"/>
      <name val="Roboto"/>
    </font>
    <font>
      <u/>
      <color rgb="FF1155CC"/>
      <name val="Roboto"/>
    </font>
    <font>
      <u/>
      <color rgb="FF1155CC"/>
      <name val="Roboto"/>
    </font>
    <font>
      <u/>
      <sz val="10.0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color rgb="FF0000FF"/>
      <name val="Roboto"/>
    </font>
    <font>
      <name val="&quot;Google Sans&quot;"/>
    </font>
    <font>
      <color rgb="FF000000"/>
      <name val="&quot;Google Sans&quot;"/>
    </font>
    <font>
      <u/>
      <sz val="10.0"/>
      <color rgb="FF1155CC"/>
      <name val="Roboto"/>
    </font>
    <font>
      <u/>
      <color rgb="FF1155CC"/>
      <name val="Roboto"/>
    </font>
    <font>
      <u/>
      <color rgb="FF1155CC"/>
      <name val="Roboto"/>
    </font>
    <font>
      <u/>
      <color rgb="FF1155CC"/>
      <name val="Roboto"/>
    </font>
    <font>
      <u/>
      <color rgb="FF1155CC"/>
      <name val="Roboto"/>
    </font>
    <font>
      <color rgb="FF000000"/>
    </font>
    <font>
      <u/>
      <color rgb="FF1155CC"/>
    </font>
    <font>
      <sz val="10.0"/>
      <name val="Roboto"/>
    </font>
    <font>
      <b/>
      <color rgb="FF000000"/>
      <name val="&quot;Roboto Mono&quot;"/>
    </font>
    <font>
      <b/>
      <name val="&quot;Google Sans&quot;"/>
    </font>
    <font>
      <u/>
      <color rgb="FF1155CC"/>
    </font>
    <font>
      <u/>
      <color rgb="FF1155CC"/>
      <name val="Roboto"/>
    </font>
    <font>
      <b/>
      <name val="Google Sans"/>
    </font>
    <font>
      <b/>
      <sz val="10.0"/>
      <name val="Roboto"/>
    </font>
    <font>
      <b/>
      <sz val="11.0"/>
      <color rgb="FF000000"/>
      <name val="Roboto"/>
    </font>
    <font>
      <sz val="10.0"/>
      <color rgb="FF000000"/>
      <name val="Roboto"/>
    </font>
    <font>
      <b/>
      <sz val="10.0"/>
      <color rgb="FFFF0000"/>
      <name val="Roboto"/>
    </font>
    <font>
      <u/>
      <sz val="10.0"/>
      <name val="Roboto"/>
    </font>
    <font>
      <b/>
      <color rgb="FF000000"/>
      <name val="Roboto"/>
    </font>
    <font>
      <u/>
      <sz val="10.0"/>
      <color rgb="FF0000FF"/>
      <name val="Roboto"/>
    </font>
    <font>
      <b/>
      <sz val="10.0"/>
      <color rgb="FF000000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0.0"/>
      <color rgb="FF0000FF"/>
      <name val="Roboto"/>
    </font>
    <font>
      <b/>
      <sz val="10.0"/>
    </font>
    <font>
      <sz val="10.0"/>
      <color rgb="FF000000"/>
    </font>
    <font>
      <b/>
      <sz val="10.0"/>
      <color rgb="FF000000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49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1" fillId="2" fontId="2" numFmtId="49" xfId="0" applyAlignment="1" applyBorder="1" applyFont="1" applyNumberForma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3" fillId="0" fontId="4" numFmtId="49" xfId="0" applyAlignment="1" applyBorder="1" applyFont="1" applyNumberFormat="1">
      <alignment vertical="bottom"/>
    </xf>
    <xf borderId="5" fillId="0" fontId="5" numFmtId="49" xfId="0" applyAlignment="1" applyBorder="1" applyFont="1" applyNumberFormat="1">
      <alignment vertical="bottom"/>
    </xf>
    <xf borderId="6" fillId="0" fontId="5" numFmtId="49" xfId="0" applyAlignment="1" applyBorder="1" applyFont="1" applyNumberFormat="1">
      <alignment vertical="bottom"/>
    </xf>
    <xf borderId="3" fillId="3" fontId="6" numFmtId="49" xfId="0" applyAlignment="1" applyBorder="1" applyFill="1" applyFont="1" applyNumberFormat="1">
      <alignment vertical="bottom"/>
    </xf>
    <xf borderId="4" fillId="3" fontId="6" numFmtId="49" xfId="0" applyAlignment="1" applyBorder="1" applyFont="1" applyNumberFormat="1">
      <alignment vertical="bottom"/>
    </xf>
    <xf borderId="4" fillId="0" fontId="6" numFmtId="49" xfId="0" applyAlignment="1" applyBorder="1" applyFont="1" applyNumberFormat="1">
      <alignment vertical="bottom"/>
    </xf>
    <xf borderId="6" fillId="0" fontId="6" numFmtId="49" xfId="0" applyAlignment="1" applyBorder="1" applyFont="1" applyNumberFormat="1">
      <alignment vertical="bottom"/>
    </xf>
    <xf borderId="6" fillId="4" fontId="6" numFmtId="49" xfId="0" applyAlignment="1" applyBorder="1" applyFill="1" applyFont="1" applyNumberFormat="1">
      <alignment vertical="bottom"/>
    </xf>
    <xf borderId="4" fillId="3" fontId="6" numFmtId="0" xfId="0" applyAlignment="1" applyBorder="1" applyFont="1">
      <alignment vertical="bottom"/>
    </xf>
    <xf borderId="4" fillId="0" fontId="7" numFmtId="49" xfId="0" applyAlignment="1" applyBorder="1" applyFont="1" applyNumberFormat="1">
      <alignment vertical="bottom"/>
    </xf>
    <xf borderId="6" fillId="5" fontId="8" numFmtId="49" xfId="0" applyAlignment="1" applyBorder="1" applyFill="1" applyFont="1" applyNumberFormat="1">
      <alignment vertical="bottom"/>
    </xf>
    <xf borderId="6" fillId="4" fontId="8" numFmtId="49" xfId="0" applyAlignment="1" applyBorder="1" applyFont="1" applyNumberFormat="1">
      <alignment vertical="bottom"/>
    </xf>
    <xf borderId="6" fillId="3" fontId="6" numFmtId="49" xfId="0" applyAlignment="1" applyBorder="1" applyFont="1" applyNumberFormat="1">
      <alignment vertical="bottom"/>
    </xf>
    <xf borderId="0" fillId="6" fontId="9" numFmtId="49" xfId="0" applyAlignment="1" applyFill="1" applyFont="1" applyNumberFormat="1">
      <alignment horizontal="left" readingOrder="0"/>
    </xf>
    <xf borderId="6" fillId="4" fontId="6" numFmtId="49" xfId="0" applyAlignment="1" applyBorder="1" applyFont="1" applyNumberFormat="1">
      <alignment readingOrder="0" vertical="bottom"/>
    </xf>
    <xf borderId="6" fillId="0" fontId="10" numFmtId="49" xfId="0" applyAlignment="1" applyBorder="1" applyFont="1" applyNumberFormat="1">
      <alignment vertical="bottom"/>
    </xf>
    <xf borderId="6" fillId="4" fontId="10" numFmtId="49" xfId="0" applyAlignment="1" applyBorder="1" applyFont="1" applyNumberFormat="1">
      <alignment vertical="bottom"/>
    </xf>
    <xf borderId="4" fillId="0" fontId="11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6" fillId="3" fontId="13" numFmtId="49" xfId="0" applyAlignment="1" applyBorder="1" applyFont="1" applyNumberFormat="1">
      <alignment vertical="bottom"/>
    </xf>
    <xf borderId="6" fillId="0" fontId="12" numFmtId="49" xfId="0" applyAlignment="1" applyBorder="1" applyFont="1" applyNumberFormat="1">
      <alignment vertical="bottom"/>
    </xf>
    <xf borderId="3" fillId="7" fontId="6" numFmtId="49" xfId="0" applyAlignment="1" applyBorder="1" applyFill="1" applyFont="1" applyNumberFormat="1">
      <alignment vertical="bottom"/>
    </xf>
    <xf borderId="4" fillId="7" fontId="6" numFmtId="49" xfId="0" applyAlignment="1" applyBorder="1" applyFont="1" applyNumberFormat="1">
      <alignment vertical="bottom"/>
    </xf>
    <xf borderId="3" fillId="0" fontId="6" numFmtId="49" xfId="0" applyAlignment="1" applyBorder="1" applyFont="1" applyNumberFormat="1">
      <alignment vertical="bottom"/>
    </xf>
    <xf borderId="4" fillId="0" fontId="5" numFmtId="49" xfId="0" applyAlignment="1" applyBorder="1" applyFont="1" applyNumberFormat="1">
      <alignment vertical="bottom"/>
    </xf>
    <xf borderId="6" fillId="4" fontId="8" numFmtId="49" xfId="0" applyAlignment="1" applyBorder="1" applyFont="1" applyNumberFormat="1">
      <alignment readingOrder="0" vertical="bottom"/>
    </xf>
    <xf borderId="4" fillId="6" fontId="14" numFmtId="49" xfId="0" applyAlignment="1" applyBorder="1" applyFont="1" applyNumberFormat="1">
      <alignment vertical="bottom"/>
    </xf>
    <xf borderId="6" fillId="7" fontId="6" numFmtId="49" xfId="0" applyAlignment="1" applyBorder="1" applyFont="1" applyNumberFormat="1">
      <alignment vertical="bottom"/>
    </xf>
    <xf borderId="6" fillId="6" fontId="15" numFmtId="49" xfId="0" applyAlignment="1" applyBorder="1" applyFont="1" applyNumberFormat="1">
      <alignment vertical="bottom"/>
    </xf>
    <xf borderId="4" fillId="5" fontId="8" numFmtId="49" xfId="0" applyAlignment="1" applyBorder="1" applyFont="1" applyNumberFormat="1">
      <alignment vertical="bottom"/>
    </xf>
    <xf borderId="3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3" fillId="8" fontId="6" numFmtId="49" xfId="0" applyAlignment="1" applyBorder="1" applyFill="1" applyFont="1" applyNumberFormat="1">
      <alignment vertical="bottom"/>
    </xf>
    <xf borderId="4" fillId="8" fontId="6" numFmtId="49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1" fillId="2" fontId="1" numFmtId="49" xfId="0" applyAlignment="1" applyBorder="1" applyFont="1" applyNumberFormat="1">
      <alignment horizontal="center"/>
    </xf>
    <xf borderId="2" fillId="2" fontId="1" numFmtId="49" xfId="0" applyAlignment="1" applyBorder="1" applyFont="1" applyNumberFormat="1">
      <alignment horizontal="center"/>
    </xf>
    <xf borderId="2" fillId="2" fontId="1" numFmtId="49" xfId="0" applyAlignment="1" applyBorder="1" applyFont="1" applyNumberFormat="1">
      <alignment horizontal="center" readingOrder="0" vertical="bottom"/>
    </xf>
    <xf borderId="1" fillId="2" fontId="2" numFmtId="49" xfId="0" applyAlignment="1" applyBorder="1" applyFont="1" applyNumberFormat="1">
      <alignment horizontal="center" readingOrder="0" vertical="bottom"/>
    </xf>
    <xf borderId="7" fillId="0" fontId="4" numFmtId="49" xfId="0" applyAlignment="1" applyBorder="1" applyFont="1" applyNumberFormat="1">
      <alignment vertical="bottom"/>
    </xf>
    <xf borderId="5" fillId="0" fontId="5" numFmtId="49" xfId="0" applyAlignment="1" applyBorder="1" applyFont="1" applyNumberFormat="1">
      <alignment vertical="bottom"/>
    </xf>
    <xf borderId="3" fillId="0" fontId="5" numFmtId="49" xfId="0" applyAlignment="1" applyBorder="1" applyFont="1" applyNumberFormat="1">
      <alignment vertical="bottom"/>
    </xf>
    <xf borderId="3" fillId="0" fontId="6" numFmtId="49" xfId="0" applyAlignment="1" applyBorder="1" applyFont="1" applyNumberFormat="1">
      <alignment readingOrder="0" vertical="bottom"/>
    </xf>
    <xf borderId="3" fillId="0" fontId="8" numFmtId="49" xfId="0" applyAlignment="1" applyBorder="1" applyFont="1" applyNumberFormat="1">
      <alignment readingOrder="0" vertical="bottom"/>
    </xf>
    <xf borderId="6" fillId="0" fontId="6" numFmtId="49" xfId="0" applyAlignment="1" applyBorder="1" applyFont="1" applyNumberFormat="1">
      <alignment readingOrder="0" vertical="bottom"/>
    </xf>
    <xf borderId="3" fillId="0" fontId="10" numFmtId="49" xfId="0" applyAlignment="1" applyBorder="1" applyFont="1" applyNumberFormat="1">
      <alignment readingOrder="0" vertical="bottom"/>
    </xf>
    <xf borderId="4" fillId="0" fontId="16" numFmtId="0" xfId="0" applyAlignment="1" applyBorder="1" applyFont="1">
      <alignment vertical="bottom"/>
    </xf>
    <xf borderId="4" fillId="0" fontId="17" numFmtId="0" xfId="0" applyAlignment="1" applyBorder="1" applyFont="1">
      <alignment vertical="bottom"/>
    </xf>
    <xf borderId="6" fillId="3" fontId="13" numFmtId="49" xfId="0" applyBorder="1" applyFont="1" applyNumberFormat="1"/>
    <xf borderId="4" fillId="0" fontId="5" numFmtId="49" xfId="0" applyAlignment="1" applyBorder="1" applyFont="1" applyNumberFormat="1">
      <alignment vertical="bottom"/>
    </xf>
    <xf borderId="6" fillId="5" fontId="8" numFmtId="49" xfId="0" applyAlignment="1" applyBorder="1" applyFont="1" applyNumberFormat="1">
      <alignment readingOrder="0" vertical="bottom"/>
    </xf>
    <xf borderId="6" fillId="6" fontId="8" numFmtId="49" xfId="0" applyAlignment="1" applyBorder="1" applyFont="1" applyNumberFormat="1">
      <alignment vertical="bottom"/>
    </xf>
    <xf borderId="6" fillId="6" fontId="8" numFmtId="49" xfId="0" applyAlignment="1" applyBorder="1" applyFont="1" applyNumberFormat="1">
      <alignment readingOrder="0" vertical="bottom"/>
    </xf>
    <xf borderId="6" fillId="0" fontId="5" numFmtId="49" xfId="0" applyAlignment="1" applyBorder="1" applyFont="1" applyNumberFormat="1">
      <alignment readingOrder="0" vertical="bottom"/>
    </xf>
    <xf borderId="3" fillId="0" fontId="8" numFmtId="49" xfId="0" applyAlignment="1" applyBorder="1" applyFont="1" applyNumberFormat="1">
      <alignment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3" fillId="0" fontId="10" numFmtId="49" xfId="0" applyAlignment="1" applyBorder="1" applyFont="1" applyNumberFormat="1">
      <alignment vertical="bottom"/>
    </xf>
    <xf borderId="6" fillId="0" fontId="8" numFmtId="49" xfId="0" applyAlignment="1" applyBorder="1" applyFont="1" applyNumberFormat="1">
      <alignment vertical="bottom"/>
    </xf>
    <xf borderId="6" fillId="5" fontId="5" numFmtId="49" xfId="0" applyAlignment="1" applyBorder="1" applyFont="1" applyNumberFormat="1">
      <alignment vertical="bottom"/>
    </xf>
    <xf borderId="5" fillId="7" fontId="8" numFmtId="49" xfId="0" applyAlignment="1" applyBorder="1" applyFont="1" applyNumberFormat="1">
      <alignment vertical="bottom"/>
    </xf>
    <xf borderId="6" fillId="6" fontId="6" numFmtId="49" xfId="0" applyAlignment="1" applyBorder="1" applyFont="1" applyNumberFormat="1">
      <alignment vertical="bottom"/>
    </xf>
    <xf borderId="6" fillId="0" fontId="5" numFmtId="49" xfId="0" applyAlignment="1" applyBorder="1" applyFont="1" applyNumberFormat="1">
      <alignment vertical="bottom"/>
    </xf>
    <xf borderId="3" fillId="0" fontId="5" numFmtId="49" xfId="0" applyAlignment="1" applyBorder="1" applyFont="1" applyNumberFormat="1">
      <alignment vertical="bottom"/>
    </xf>
    <xf borderId="8" fillId="4" fontId="8" numFmtId="49" xfId="0" applyAlignment="1" applyBorder="1" applyFont="1" applyNumberFormat="1">
      <alignment vertical="bottom"/>
    </xf>
    <xf borderId="3" fillId="4" fontId="8" numFmtId="49" xfId="0" applyAlignment="1" applyBorder="1" applyFont="1" applyNumberFormat="1">
      <alignment vertical="bottom"/>
    </xf>
    <xf borderId="3" fillId="4" fontId="6" numFmtId="49" xfId="0" applyAlignment="1" applyBorder="1" applyFont="1" applyNumberFormat="1">
      <alignment vertical="bottom"/>
    </xf>
    <xf borderId="9" fillId="4" fontId="8" numFmtId="49" xfId="0" applyAlignment="1" applyBorder="1" applyFont="1" applyNumberFormat="1">
      <alignment vertical="bottom"/>
    </xf>
    <xf borderId="3" fillId="0" fontId="10" numFmtId="49" xfId="0" applyAlignment="1" applyBorder="1" applyFont="1" applyNumberFormat="1">
      <alignment vertical="bottom"/>
    </xf>
    <xf borderId="3" fillId="4" fontId="10" numFmtId="49" xfId="0" applyAlignment="1" applyBorder="1" applyFont="1" applyNumberFormat="1">
      <alignment vertical="bottom"/>
    </xf>
    <xf borderId="3" fillId="6" fontId="8" numFmtId="49" xfId="0" applyAlignment="1" applyBorder="1" applyFont="1" applyNumberFormat="1">
      <alignment vertical="bottom"/>
    </xf>
    <xf borderId="7" fillId="4" fontId="8" numFmtId="49" xfId="0" applyAlignment="1" applyBorder="1" applyFont="1" applyNumberFormat="1">
      <alignment vertical="bottom"/>
    </xf>
    <xf borderId="3" fillId="0" fontId="10" numFmtId="49" xfId="0" applyAlignment="1" applyBorder="1" applyFont="1" applyNumberFormat="1">
      <alignment vertical="bottom"/>
    </xf>
    <xf borderId="7" fillId="4" fontId="10" numFmtId="49" xfId="0" applyAlignment="1" applyBorder="1" applyFont="1" applyNumberFormat="1">
      <alignment vertical="bottom"/>
    </xf>
    <xf borderId="4" fillId="2" fontId="1" numFmtId="49" xfId="0" applyAlignment="1" applyBorder="1" applyFont="1" applyNumberFormat="1">
      <alignment horizontal="center"/>
    </xf>
    <xf borderId="6" fillId="2" fontId="1" numFmtId="49" xfId="0" applyAlignment="1" applyBorder="1" applyFont="1" applyNumberFormat="1">
      <alignment horizontal="center"/>
    </xf>
    <xf borderId="6" fillId="2" fontId="1" numFmtId="49" xfId="0" applyAlignment="1" applyBorder="1" applyFont="1" applyNumberFormat="1">
      <alignment horizontal="center" readingOrder="0" vertical="bottom"/>
    </xf>
    <xf borderId="0" fillId="2" fontId="2" numFmtId="49" xfId="0" applyAlignment="1" applyFont="1" applyNumberFormat="1">
      <alignment horizontal="left" vertical="bottom"/>
    </xf>
    <xf borderId="0" fillId="2" fontId="2" numFmtId="49" xfId="0" applyAlignment="1" applyFont="1" applyNumberFormat="1">
      <alignment horizontal="left" readingOrder="0" vertical="bottom"/>
    </xf>
    <xf borderId="0" fillId="2" fontId="2" numFmtId="49" xfId="0" applyAlignment="1" applyFont="1" applyNumberFormat="1">
      <alignment horizontal="left" readingOrder="0" shrinkToFit="0" vertical="bottom" wrapText="0"/>
    </xf>
    <xf borderId="6" fillId="2" fontId="2" numFmtId="49" xfId="0" applyAlignment="1" applyBorder="1" applyFont="1" applyNumberFormat="1">
      <alignment horizontal="left" readingOrder="0" vertical="bottom"/>
    </xf>
    <xf borderId="8" fillId="0" fontId="4" numFmtId="49" xfId="0" applyAlignment="1" applyBorder="1" applyFont="1" applyNumberFormat="1">
      <alignment vertical="bottom"/>
    </xf>
    <xf borderId="10" fillId="0" fontId="3" numFmtId="0" xfId="0" applyBorder="1" applyFont="1"/>
    <xf borderId="6" fillId="0" fontId="5" numFmtId="49" xfId="0" applyAlignment="1" applyBorder="1" applyFont="1" applyNumberFormat="1">
      <alignment horizontal="left" vertical="bottom"/>
    </xf>
    <xf borderId="7" fillId="0" fontId="5" numFmtId="49" xfId="0" applyAlignment="1" applyBorder="1" applyFont="1" applyNumberFormat="1">
      <alignment shrinkToFit="0" vertical="bottom" wrapText="0"/>
    </xf>
    <xf borderId="6" fillId="0" fontId="5" numFmtId="49" xfId="0" applyAlignment="1" applyBorder="1" applyFont="1" applyNumberFormat="1">
      <alignment shrinkToFit="0" vertical="bottom" wrapText="0"/>
    </xf>
    <xf borderId="6" fillId="0" fontId="6" numFmtId="49" xfId="0" applyAlignment="1" applyBorder="1" applyFont="1" applyNumberFormat="1">
      <alignment horizontal="left" vertical="bottom"/>
    </xf>
    <xf borderId="6" fillId="0" fontId="6" numFmtId="49" xfId="0" applyAlignment="1" applyBorder="1" applyFont="1" applyNumberFormat="1">
      <alignment horizontal="left" readingOrder="0" vertical="bottom"/>
    </xf>
    <xf borderId="7" fillId="0" fontId="6" numFmtId="49" xfId="0" applyAlignment="1" applyBorder="1" applyFont="1" applyNumberFormat="1">
      <alignment readingOrder="0" shrinkToFit="0" vertical="bottom" wrapText="0"/>
    </xf>
    <xf borderId="6" fillId="0" fontId="6" numFmtId="49" xfId="0" applyAlignment="1" applyBorder="1" applyFont="1" applyNumberFormat="1">
      <alignment readingOrder="0" shrinkToFit="0" vertical="bottom" wrapText="0"/>
    </xf>
    <xf borderId="6" fillId="3" fontId="6" numFmtId="0" xfId="0" applyAlignment="1" applyBorder="1" applyFont="1">
      <alignment vertical="bottom"/>
    </xf>
    <xf borderId="6" fillId="0" fontId="18" numFmtId="49" xfId="0" applyAlignment="1" applyBorder="1" applyFont="1" applyNumberFormat="1">
      <alignment vertical="bottom"/>
    </xf>
    <xf borderId="6" fillId="5" fontId="19" numFmtId="49" xfId="0" applyAlignment="1" applyBorder="1" applyFont="1" applyNumberFormat="1">
      <alignment readingOrder="0"/>
    </xf>
    <xf borderId="6" fillId="6" fontId="19" numFmtId="49" xfId="0" applyAlignment="1" applyBorder="1" applyFont="1" applyNumberFormat="1">
      <alignment readingOrder="0"/>
    </xf>
    <xf borderId="6" fillId="0" fontId="10" numFmtId="49" xfId="0" applyAlignment="1" applyBorder="1" applyFont="1" applyNumberFormat="1">
      <alignment horizontal="left" vertical="bottom"/>
    </xf>
    <xf borderId="6" fillId="0" fontId="10" numFmtId="49" xfId="0" applyAlignment="1" applyBorder="1" applyFont="1" applyNumberFormat="1">
      <alignment horizontal="left" readingOrder="0" vertical="bottom"/>
    </xf>
    <xf borderId="3" fillId="0" fontId="10" numFmtId="49" xfId="0" applyAlignment="1" applyBorder="1" applyFont="1" applyNumberFormat="1">
      <alignment readingOrder="0" vertical="bottom"/>
    </xf>
    <xf borderId="7" fillId="0" fontId="10" numFmtId="49" xfId="0" applyAlignment="1" applyBorder="1" applyFont="1" applyNumberFormat="1">
      <alignment readingOrder="0" shrinkToFit="0" vertical="bottom" wrapText="0"/>
    </xf>
    <xf borderId="6" fillId="0" fontId="10" numFmtId="49" xfId="0" applyAlignment="1" applyBorder="1" applyFont="1" applyNumberFormat="1">
      <alignment readingOrder="0" shrinkToFit="0" vertical="bottom" wrapText="0"/>
    </xf>
    <xf borderId="6" fillId="0" fontId="20" numFmtId="49" xfId="0" applyAlignment="1" applyBorder="1" applyFont="1" applyNumberFormat="1">
      <alignment vertical="bottom"/>
    </xf>
    <xf borderId="6" fillId="0" fontId="17" numFmtId="49" xfId="0" applyAlignment="1" applyBorder="1" applyFont="1" applyNumberFormat="1">
      <alignment vertical="bottom"/>
    </xf>
    <xf borderId="8" fillId="0" fontId="6" numFmtId="49" xfId="0" applyAlignment="1" applyBorder="1" applyFont="1" applyNumberFormat="1">
      <alignment readingOrder="0" shrinkToFit="0" vertical="bottom" wrapText="0"/>
    </xf>
    <xf borderId="11" fillId="4" fontId="6" numFmtId="49" xfId="0" applyAlignment="1" applyBorder="1" applyFont="1" applyNumberFormat="1">
      <alignment vertical="bottom"/>
    </xf>
    <xf borderId="12" fillId="0" fontId="6" numFmtId="49" xfId="0" applyAlignment="1" applyBorder="1" applyFont="1" applyNumberFormat="1">
      <alignment readingOrder="0" shrinkToFit="0" vertical="bottom" wrapText="0"/>
    </xf>
    <xf borderId="6" fillId="5" fontId="21" numFmtId="49" xfId="0" applyAlignment="1" applyBorder="1" applyFont="1" applyNumberFormat="1">
      <alignment horizontal="left" vertical="bottom"/>
    </xf>
    <xf borderId="6" fillId="5" fontId="21" numFmtId="49" xfId="0" applyAlignment="1" applyBorder="1" applyFont="1" applyNumberFormat="1">
      <alignment horizontal="left" readingOrder="0" vertical="bottom"/>
    </xf>
    <xf borderId="7" fillId="4" fontId="21" numFmtId="49" xfId="0" applyAlignment="1" applyBorder="1" applyFont="1" applyNumberFormat="1">
      <alignment vertical="bottom"/>
    </xf>
    <xf borderId="7" fillId="0" fontId="21" numFmtId="49" xfId="0" applyAlignment="1" applyBorder="1" applyFont="1" applyNumberFormat="1">
      <alignment readingOrder="0" shrinkToFit="0" vertical="bottom" wrapText="0"/>
    </xf>
    <xf borderId="0" fillId="6" fontId="19" numFmtId="49" xfId="0" applyAlignment="1" applyFont="1" applyNumberFormat="1">
      <alignment readingOrder="0"/>
    </xf>
    <xf borderId="0" fillId="5" fontId="21" numFmtId="49" xfId="0" applyAlignment="1" applyFont="1" applyNumberFormat="1">
      <alignment vertical="bottom"/>
    </xf>
    <xf borderId="0" fillId="0" fontId="21" numFmtId="49" xfId="0" applyAlignment="1" applyFont="1" applyNumberFormat="1">
      <alignment readingOrder="0" shrinkToFit="0" vertical="bottom" wrapText="0"/>
    </xf>
    <xf borderId="6" fillId="0" fontId="21" numFmtId="49" xfId="0" applyAlignment="1" applyBorder="1" applyFont="1" applyNumberFormat="1">
      <alignment readingOrder="0" shrinkToFit="0" vertical="bottom" wrapText="0"/>
    </xf>
    <xf borderId="6" fillId="4" fontId="22" numFmtId="49" xfId="0" applyAlignment="1" applyBorder="1" applyFont="1" applyNumberFormat="1">
      <alignment vertical="bottom"/>
    </xf>
    <xf borderId="11" fillId="0" fontId="6" numFmtId="49" xfId="0" applyAlignment="1" applyBorder="1" applyFont="1" applyNumberFormat="1">
      <alignment vertical="bottom"/>
    </xf>
    <xf borderId="6" fillId="5" fontId="22" numFmtId="49" xfId="0" applyAlignment="1" applyBorder="1" applyFont="1" applyNumberFormat="1">
      <alignment readingOrder="0"/>
    </xf>
    <xf borderId="7" fillId="0" fontId="6" numFmtId="49" xfId="0" applyAlignment="1" applyBorder="1" applyFont="1" applyNumberFormat="1">
      <alignment shrinkToFit="0" vertical="bottom" wrapText="0"/>
    </xf>
    <xf borderId="6" fillId="0" fontId="6" numFmtId="49" xfId="0" applyAlignment="1" applyBorder="1" applyFont="1" applyNumberFormat="1">
      <alignment shrinkToFit="0" vertical="bottom" wrapText="0"/>
    </xf>
    <xf borderId="6" fillId="8" fontId="6" numFmtId="49" xfId="0" applyAlignment="1" applyBorder="1" applyFont="1" applyNumberFormat="1">
      <alignment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left"/>
    </xf>
    <xf borderId="1" fillId="2" fontId="1" numFmtId="49" xfId="0" applyAlignment="1" applyBorder="1" applyFont="1" applyNumberFormat="1">
      <alignment horizontal="center" vertical="center"/>
    </xf>
    <xf borderId="2" fillId="2" fontId="1" numFmtId="49" xfId="0" applyAlignment="1" applyBorder="1" applyFont="1" applyNumberFormat="1">
      <alignment horizontal="center" vertical="center"/>
    </xf>
    <xf borderId="2" fillId="2" fontId="1" numFmtId="49" xfId="0" applyAlignment="1" applyBorder="1" applyFont="1" applyNumberForma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6" fillId="0" fontId="5" numFmtId="0" xfId="0" applyAlignment="1" applyBorder="1" applyFont="1">
      <alignment horizontal="left" vertical="bottom"/>
    </xf>
    <xf borderId="6" fillId="0" fontId="6" numFmtId="0" xfId="0" applyAlignment="1" applyBorder="1" applyFont="1">
      <alignment horizontal="left" vertical="bottom"/>
    </xf>
    <xf borderId="6" fillId="0" fontId="6" numFmtId="0" xfId="0" applyAlignment="1" applyBorder="1" applyFont="1">
      <alignment horizontal="left" readingOrder="0" vertical="bottom"/>
    </xf>
    <xf borderId="0" fillId="6" fontId="23" numFmtId="49" xfId="0" applyAlignment="1" applyFont="1" applyNumberFormat="1">
      <alignment readingOrder="0"/>
    </xf>
    <xf borderId="13" fillId="0" fontId="6" numFmtId="49" xfId="0" applyAlignment="1" applyBorder="1" applyFont="1" applyNumberFormat="1">
      <alignment horizontal="left" readingOrder="0"/>
    </xf>
    <xf borderId="6" fillId="0" fontId="6" numFmtId="49" xfId="0" applyAlignment="1" applyBorder="1" applyFont="1" applyNumberFormat="1">
      <alignment horizontal="left" readingOrder="0"/>
    </xf>
    <xf borderId="13" fillId="4" fontId="6" numFmtId="49" xfId="0" applyAlignment="1" applyBorder="1" applyFont="1" applyNumberFormat="1">
      <alignment vertical="bottom"/>
    </xf>
    <xf borderId="7" fillId="4" fontId="24" numFmtId="49" xfId="0" applyAlignment="1" applyBorder="1" applyFont="1" applyNumberFormat="1">
      <alignment vertical="bottom"/>
    </xf>
    <xf borderId="0" fillId="4" fontId="6" numFmtId="49" xfId="0" applyAlignment="1" applyFont="1" applyNumberFormat="1">
      <alignment horizontal="left" vertical="bottom"/>
    </xf>
    <xf borderId="14" fillId="4" fontId="24" numFmtId="49" xfId="0" applyAlignment="1" applyBorder="1" applyFont="1" applyNumberFormat="1">
      <alignment vertical="bottom"/>
    </xf>
    <xf borderId="6" fillId="4" fontId="6" numFmtId="49" xfId="0" applyAlignment="1" applyBorder="1" applyFont="1" applyNumberFormat="1">
      <alignment horizontal="left" vertical="bottom"/>
    </xf>
    <xf borderId="6" fillId="0" fontId="21" numFmtId="49" xfId="0" applyAlignment="1" applyBorder="1" applyFont="1" applyNumberFormat="1">
      <alignment horizontal="left" readingOrder="0" vertical="bottom"/>
    </xf>
    <xf borderId="6" fillId="4" fontId="21" numFmtId="49" xfId="0" applyAlignment="1" applyBorder="1" applyFont="1" applyNumberFormat="1">
      <alignment horizontal="left" vertical="bottom"/>
    </xf>
    <xf borderId="0" fillId="5" fontId="21" numFmtId="49" xfId="0" applyAlignment="1" applyFont="1" applyNumberFormat="1">
      <alignment horizontal="left" readingOrder="0"/>
    </xf>
    <xf borderId="3" fillId="4" fontId="24" numFmtId="49" xfId="0" applyAlignment="1" applyBorder="1" applyFont="1" applyNumberFormat="1">
      <alignment vertical="bottom"/>
    </xf>
    <xf borderId="6" fillId="0" fontId="6" numFmtId="0" xfId="0" applyAlignment="1" applyBorder="1" applyFont="1">
      <alignment vertical="bottom"/>
    </xf>
    <xf borderId="0" fillId="0" fontId="6" numFmtId="49" xfId="0" applyAlignment="1" applyFont="1" applyNumberFormat="1">
      <alignment horizontal="left" vertical="bottom"/>
    </xf>
    <xf borderId="6" fillId="6" fontId="23" numFmtId="49" xfId="0" applyAlignment="1" applyBorder="1" applyFont="1" applyNumberFormat="1">
      <alignment readingOrder="0"/>
    </xf>
    <xf borderId="3" fillId="4" fontId="25" numFmtId="49" xfId="0" applyAlignment="1" applyBorder="1" applyFont="1" applyNumberFormat="1">
      <alignment vertical="bottom"/>
    </xf>
    <xf borderId="6" fillId="0" fontId="5" numFmtId="0" xfId="0" applyAlignment="1" applyBorder="1" applyFont="1">
      <alignment horizontal="left" readingOrder="0" vertical="bottom"/>
    </xf>
    <xf borderId="6" fillId="0" fontId="3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 readingOrder="0" vertical="center"/>
    </xf>
    <xf borderId="1" fillId="2" fontId="6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left" vertical="bottom"/>
    </xf>
    <xf borderId="11" fillId="3" fontId="6" numFmtId="49" xfId="0" applyAlignment="1" applyBorder="1" applyFont="1" applyNumberFormat="1">
      <alignment vertical="bottom"/>
    </xf>
    <xf borderId="15" fillId="3" fontId="6" numFmtId="49" xfId="0" applyAlignment="1" applyBorder="1" applyFont="1" applyNumberFormat="1">
      <alignment vertical="bottom"/>
    </xf>
    <xf borderId="15" fillId="0" fontId="6" numFmtId="49" xfId="0" applyAlignment="1" applyBorder="1" applyFont="1" applyNumberFormat="1">
      <alignment vertical="bottom"/>
    </xf>
    <xf borderId="13" fillId="0" fontId="6" numFmtId="0" xfId="0" applyAlignment="1" applyBorder="1" applyFont="1">
      <alignment horizontal="left" vertical="bottom"/>
    </xf>
    <xf borderId="6" fillId="0" fontId="26" numFmtId="0" xfId="0" applyAlignment="1" applyBorder="1" applyFont="1">
      <alignment horizontal="left" vertical="bottom"/>
    </xf>
    <xf borderId="6" fillId="0" fontId="6" numFmtId="0" xfId="0" applyAlignment="1" applyBorder="1" applyFont="1">
      <alignment horizontal="left" vertical="bottom"/>
    </xf>
    <xf borderId="16" fillId="3" fontId="6" numFmtId="49" xfId="0" applyAlignment="1" applyBorder="1" applyFont="1" applyNumberFormat="1">
      <alignment vertical="bottom"/>
    </xf>
    <xf borderId="17" fillId="3" fontId="6" numFmtId="49" xfId="0" applyAlignment="1" applyBorder="1" applyFont="1" applyNumberFormat="1">
      <alignment vertical="bottom"/>
    </xf>
    <xf borderId="17" fillId="0" fontId="6" numFmtId="49" xfId="0" applyAlignment="1" applyBorder="1" applyFont="1" applyNumberFormat="1">
      <alignment vertical="bottom"/>
    </xf>
    <xf borderId="16" fillId="0" fontId="6" numFmtId="0" xfId="0" applyAlignment="1" applyBorder="1" applyFont="1">
      <alignment horizontal="left" readingOrder="0" vertical="bottom"/>
    </xf>
    <xf quotePrefix="1" borderId="6" fillId="0" fontId="6" numFmtId="0" xfId="0" applyAlignment="1" applyBorder="1" applyFont="1">
      <alignment horizontal="left" vertical="bottom"/>
    </xf>
    <xf borderId="16" fillId="0" fontId="27" numFmtId="0" xfId="0" applyAlignment="1" applyBorder="1" applyFont="1">
      <alignment shrinkToFit="0" vertical="center" wrapText="0"/>
    </xf>
    <xf borderId="16" fillId="0" fontId="6" numFmtId="0" xfId="0" applyAlignment="1" applyBorder="1" applyFont="1">
      <alignment horizontal="left" vertical="bottom"/>
    </xf>
    <xf borderId="6" fillId="0" fontId="21" numFmtId="0" xfId="0" applyAlignment="1" applyBorder="1" applyFont="1">
      <alignment horizontal="left" vertical="bottom"/>
    </xf>
    <xf borderId="6" fillId="0" fontId="21" numFmtId="0" xfId="0" applyAlignment="1" applyBorder="1" applyFont="1">
      <alignment horizontal="left" readingOrder="0" vertical="bottom"/>
    </xf>
    <xf borderId="6" fillId="4" fontId="21" numFmtId="0" xfId="0" applyAlignment="1" applyBorder="1" applyFont="1">
      <alignment horizontal="left" vertical="bottom"/>
    </xf>
    <xf borderId="16" fillId="6" fontId="6" numFmtId="0" xfId="0" applyAlignment="1" applyBorder="1" applyFont="1">
      <alignment horizontal="left" vertical="bottom"/>
    </xf>
    <xf borderId="6" fillId="6" fontId="6" numFmtId="0" xfId="0" applyAlignment="1" applyBorder="1" applyFont="1">
      <alignment horizontal="left" vertical="bottom"/>
    </xf>
    <xf quotePrefix="1" borderId="16" fillId="6" fontId="6" numFmtId="0" xfId="0" applyAlignment="1" applyBorder="1" applyFont="1">
      <alignment horizontal="left" vertical="bottom"/>
    </xf>
    <xf quotePrefix="1" borderId="6" fillId="0" fontId="26" numFmtId="0" xfId="0" applyAlignment="1" applyBorder="1" applyFont="1">
      <alignment horizontal="left" vertical="bottom"/>
    </xf>
    <xf quotePrefix="1" borderId="6" fillId="0" fontId="6" numFmtId="0" xfId="0" applyAlignment="1" applyBorder="1" applyFont="1">
      <alignment horizontal="left" vertical="bottom"/>
    </xf>
    <xf borderId="16" fillId="3" fontId="6" numFmtId="49" xfId="0" applyAlignment="1" applyBorder="1" applyFont="1" applyNumberFormat="1">
      <alignment readingOrder="0" vertical="bottom"/>
    </xf>
    <xf borderId="6" fillId="4" fontId="6" numFmtId="0" xfId="0" applyAlignment="1" applyBorder="1" applyFont="1">
      <alignment horizontal="left" vertical="bottom"/>
    </xf>
    <xf borderId="6" fillId="0" fontId="26" numFmtId="0" xfId="0" applyAlignment="1" applyBorder="1" applyFont="1">
      <alignment horizontal="left" readingOrder="0" vertical="bottom"/>
    </xf>
    <xf borderId="15" fillId="0" fontId="6" numFmtId="49" xfId="0" applyAlignment="1" applyBorder="1" applyFont="1" applyNumberFormat="1">
      <alignment readingOrder="0" vertical="bottom"/>
    </xf>
    <xf borderId="0" fillId="4" fontId="21" numFmtId="0" xfId="0" applyAlignment="1" applyFont="1">
      <alignment horizontal="left" vertical="bottom"/>
    </xf>
    <xf quotePrefix="1" borderId="16" fillId="0" fontId="6" numFmtId="0" xfId="0" applyAlignment="1" applyBorder="1" applyFont="1">
      <alignment horizontal="left" vertical="bottom"/>
    </xf>
    <xf borderId="6" fillId="0" fontId="26" numFmtId="49" xfId="0" applyAlignment="1" applyBorder="1" applyFont="1" applyNumberFormat="1">
      <alignment horizontal="left" readingOrder="0" vertical="bottom"/>
    </xf>
    <xf borderId="6" fillId="0" fontId="21" numFmtId="49" xfId="0" applyAlignment="1" applyBorder="1" applyFont="1" applyNumberFormat="1">
      <alignment horizontal="left" vertical="bottom"/>
    </xf>
    <xf borderId="6" fillId="0" fontId="21" numFmtId="0" xfId="0" applyAlignment="1" applyBorder="1" applyFont="1">
      <alignment horizontal="left" vertical="bottom"/>
    </xf>
    <xf borderId="6" fillId="0" fontId="21" numFmtId="0" xfId="0" applyAlignment="1" applyBorder="1" applyFont="1">
      <alignment horizontal="left" readingOrder="0" vertical="bottom"/>
    </xf>
    <xf borderId="6" fillId="4" fontId="28" numFmtId="0" xfId="0" applyAlignment="1" applyBorder="1" applyFont="1">
      <alignment horizontal="left" vertical="bottom"/>
    </xf>
    <xf borderId="6" fillId="0" fontId="28" numFmtId="0" xfId="0" applyAlignment="1" applyBorder="1" applyFont="1">
      <alignment horizontal="left" vertical="bottom"/>
    </xf>
    <xf borderId="17" fillId="0" fontId="29" numFmtId="49" xfId="0" applyAlignment="1" applyBorder="1" applyFont="1" applyNumberFormat="1">
      <alignment vertical="bottom"/>
    </xf>
    <xf borderId="0" fillId="0" fontId="21" numFmtId="0" xfId="0" applyAlignment="1" applyFont="1">
      <alignment horizontal="left" vertical="bottom"/>
    </xf>
    <xf borderId="6" fillId="0" fontId="21" numFmtId="0" xfId="0" applyAlignment="1" applyBorder="1" applyFont="1">
      <alignment horizontal="left" vertical="bottom"/>
    </xf>
    <xf borderId="16" fillId="7" fontId="6" numFmtId="49" xfId="0" applyAlignment="1" applyBorder="1" applyFont="1" applyNumberFormat="1">
      <alignment vertical="bottom"/>
    </xf>
    <xf borderId="17" fillId="7" fontId="6" numFmtId="49" xfId="0" applyAlignment="1" applyBorder="1" applyFont="1" applyNumberFormat="1">
      <alignment vertical="bottom"/>
    </xf>
    <xf borderId="16" fillId="0" fontId="30" numFmtId="49" xfId="0" applyAlignment="1" applyBorder="1" applyFont="1" applyNumberFormat="1">
      <alignment vertical="bottom"/>
    </xf>
    <xf borderId="11" fillId="7" fontId="6" numFmtId="49" xfId="0" applyAlignment="1" applyBorder="1" applyFont="1" applyNumberFormat="1">
      <alignment vertical="bottom"/>
    </xf>
    <xf borderId="15" fillId="7" fontId="6" numFmtId="49" xfId="0" applyAlignment="1" applyBorder="1" applyFont="1" applyNumberFormat="1">
      <alignment vertical="bottom"/>
    </xf>
    <xf borderId="11" fillId="0" fontId="31" numFmtId="49" xfId="0" applyAlignment="1" applyBorder="1" applyFont="1" applyNumberFormat="1">
      <alignment vertical="bottom"/>
    </xf>
    <xf borderId="16" fillId="0" fontId="32" numFmtId="0" xfId="0" applyAlignment="1" applyBorder="1" applyFont="1">
      <alignment readingOrder="0" shrinkToFit="0" vertical="center" wrapText="0"/>
    </xf>
    <xf borderId="18" fillId="0" fontId="6" numFmtId="0" xfId="0" applyAlignment="1" applyBorder="1" applyFont="1">
      <alignment horizontal="left" readingOrder="0"/>
    </xf>
    <xf borderId="17" fillId="6" fontId="6" numFmtId="0" xfId="0" applyAlignment="1" applyBorder="1" applyFont="1">
      <alignment horizontal="left" readingOrder="0"/>
    </xf>
    <xf borderId="6" fillId="6" fontId="6" numFmtId="0" xfId="0" applyAlignment="1" applyBorder="1" applyFont="1">
      <alignment horizontal="left" readingOrder="0"/>
    </xf>
    <xf borderId="4" fillId="0" fontId="10" numFmtId="0" xfId="0" applyAlignment="1" applyBorder="1" applyFont="1">
      <alignment horizontal="left" vertical="bottom"/>
    </xf>
    <xf borderId="0" fillId="0" fontId="10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13" fillId="0" fontId="33" numFmtId="0" xfId="0" applyAlignment="1" applyBorder="1" applyFont="1">
      <alignment shrinkToFit="0" vertical="center" wrapText="0"/>
    </xf>
    <xf borderId="16" fillId="0" fontId="34" numFmtId="0" xfId="0" applyAlignment="1" applyBorder="1" applyFont="1">
      <alignment readingOrder="0" shrinkToFit="0" vertical="center" wrapText="0"/>
    </xf>
    <xf borderId="16" fillId="0" fontId="35" numFmtId="0" xfId="0" applyAlignment="1" applyBorder="1" applyFont="1">
      <alignment readingOrder="0" shrinkToFit="0" vertical="center" wrapText="0"/>
    </xf>
    <xf borderId="16" fillId="0" fontId="36" numFmtId="0" xfId="0" applyAlignment="1" applyBorder="1" applyFont="1">
      <alignment horizontal="left" vertical="bottom"/>
    </xf>
    <xf borderId="6" fillId="0" fontId="37" numFmtId="0" xfId="0" applyAlignment="1" applyBorder="1" applyFont="1">
      <alignment horizontal="left" vertical="bottom"/>
    </xf>
    <xf borderId="0" fillId="0" fontId="28" numFmtId="0" xfId="0" applyAlignment="1" applyFont="1">
      <alignment horizontal="left" vertical="bottom"/>
    </xf>
    <xf borderId="0" fillId="4" fontId="28" numFmtId="0" xfId="0" applyAlignment="1" applyFont="1">
      <alignment horizontal="left" vertical="bottom"/>
    </xf>
    <xf borderId="11" fillId="3" fontId="6" numFmtId="49" xfId="0" applyAlignment="1" applyBorder="1" applyFont="1" applyNumberFormat="1">
      <alignment readingOrder="0" vertical="bottom"/>
    </xf>
    <xf borderId="15" fillId="3" fontId="6" numFmtId="49" xfId="0" applyAlignment="1" applyBorder="1" applyFont="1" applyNumberFormat="1">
      <alignment readingOrder="0" vertical="bottom"/>
    </xf>
    <xf borderId="6" fillId="4" fontId="21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readingOrder="0" vertical="bottom"/>
    </xf>
    <xf borderId="0" fillId="4" fontId="10" numFmtId="0" xfId="0" applyAlignment="1" applyFont="1">
      <alignment horizontal="left" vertical="bottom"/>
    </xf>
    <xf borderId="6" fillId="4" fontId="10" numFmtId="0" xfId="0" applyAlignment="1" applyBorder="1" applyFont="1">
      <alignment horizontal="left" vertical="bottom"/>
    </xf>
    <xf borderId="16" fillId="0" fontId="38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11" fillId="0" fontId="6" numFmtId="0" xfId="0" applyAlignment="1" applyBorder="1" applyFont="1">
      <alignment vertical="bottom"/>
    </xf>
    <xf borderId="15" fillId="0" fontId="6" numFmtId="0" xfId="0" applyAlignment="1" applyBorder="1" applyFont="1">
      <alignment vertical="bottom"/>
    </xf>
    <xf borderId="16" fillId="0" fontId="6" numFmtId="0" xfId="0" applyAlignment="1" applyBorder="1" applyFont="1">
      <alignment horizontal="left" readingOrder="0"/>
    </xf>
    <xf borderId="18" fillId="0" fontId="6" numFmtId="0" xfId="0" applyAlignment="1" applyBorder="1" applyFont="1">
      <alignment horizontal="left" readingOrder="0" vertical="bottom"/>
    </xf>
    <xf borderId="7" fillId="0" fontId="4" numFmtId="49" xfId="0" applyAlignment="1" applyBorder="1" applyFont="1" applyNumberFormat="1">
      <alignment readingOrder="0"/>
    </xf>
    <xf borderId="4" fillId="0" fontId="4" numFmtId="49" xfId="0" applyAlignment="1" applyBorder="1" applyFont="1" applyNumberFormat="1">
      <alignment vertical="bottom"/>
    </xf>
    <xf borderId="0" fillId="0" fontId="10" numFmtId="0" xfId="0" applyAlignment="1" applyFont="1">
      <alignment horizontal="left" vertical="bottom"/>
    </xf>
    <xf borderId="13" fillId="8" fontId="6" numFmtId="49" xfId="0" applyAlignment="1" applyBorder="1" applyFont="1" applyNumberFormat="1">
      <alignment vertical="bottom"/>
    </xf>
    <xf borderId="19" fillId="8" fontId="6" numFmtId="49" xfId="0" applyAlignment="1" applyBorder="1" applyFont="1" applyNumberFormat="1">
      <alignment vertical="bottom"/>
    </xf>
    <xf borderId="19" fillId="0" fontId="39" numFmtId="49" xfId="0" applyAlignment="1" applyBorder="1" applyFont="1" applyNumberFormat="1">
      <alignment vertical="bottom"/>
    </xf>
    <xf borderId="13" fillId="0" fontId="6" numFmtId="0" xfId="0" applyAlignment="1" applyBorder="1" applyFont="1">
      <alignment horizontal="left" vertical="bottom"/>
    </xf>
    <xf borderId="16" fillId="8" fontId="6" numFmtId="49" xfId="0" applyAlignment="1" applyBorder="1" applyFont="1" applyNumberFormat="1">
      <alignment vertical="bottom"/>
    </xf>
    <xf borderId="17" fillId="8" fontId="6" numFmtId="49" xfId="0" applyAlignment="1" applyBorder="1" applyFont="1" applyNumberFormat="1">
      <alignment vertical="bottom"/>
    </xf>
    <xf borderId="17" fillId="0" fontId="40" numFmtId="49" xfId="0" applyAlignment="1" applyBorder="1" applyFont="1" applyNumberFormat="1">
      <alignment readingOrder="0" vertical="bottom"/>
    </xf>
    <xf borderId="16" fillId="0" fontId="6" numFmtId="0" xfId="0" applyAlignment="1" applyBorder="1" applyFont="1">
      <alignment horizontal="left" vertical="bottom"/>
    </xf>
    <xf borderId="11" fillId="8" fontId="6" numFmtId="49" xfId="0" applyAlignment="1" applyBorder="1" applyFont="1" applyNumberFormat="1">
      <alignment vertical="bottom"/>
    </xf>
    <xf borderId="15" fillId="8" fontId="6" numFmtId="49" xfId="0" applyAlignment="1" applyBorder="1" applyFont="1" applyNumberFormat="1">
      <alignment vertical="bottom"/>
    </xf>
    <xf borderId="15" fillId="0" fontId="41" numFmtId="49" xfId="0" applyAlignment="1" applyBorder="1" applyFont="1" applyNumberFormat="1">
      <alignment vertical="bottom"/>
    </xf>
    <xf borderId="11" fillId="8" fontId="6" numFmtId="49" xfId="0" applyAlignment="1" applyBorder="1" applyFont="1" applyNumberFormat="1">
      <alignment readingOrder="0" vertical="bottom"/>
    </xf>
    <xf borderId="15" fillId="8" fontId="6" numFmtId="49" xfId="0" applyAlignment="1" applyBorder="1" applyFont="1" applyNumberFormat="1">
      <alignment readingOrder="0" vertical="bottom"/>
    </xf>
    <xf borderId="15" fillId="0" fontId="42" numFmtId="49" xfId="0" applyAlignment="1" applyBorder="1" applyFont="1" applyNumberFormat="1">
      <alignment readingOrder="0" vertical="bottom"/>
    </xf>
    <xf borderId="17" fillId="0" fontId="6" numFmtId="49" xfId="0" applyAlignment="1" applyBorder="1" applyFont="1" applyNumberFormat="1">
      <alignment vertical="bottom"/>
    </xf>
    <xf borderId="0" fillId="0" fontId="43" numFmtId="49" xfId="0" applyFont="1" applyNumberFormat="1"/>
    <xf borderId="3" fillId="8" fontId="6" numFmtId="49" xfId="0" applyAlignment="1" applyBorder="1" applyFont="1" applyNumberFormat="1">
      <alignment readingOrder="0" vertical="bottom"/>
    </xf>
    <xf borderId="4" fillId="8" fontId="6" numFmtId="49" xfId="0" applyAlignment="1" applyBorder="1" applyFont="1" applyNumberFormat="1">
      <alignment readingOrder="0" vertical="bottom"/>
    </xf>
    <xf borderId="5" fillId="0" fontId="44" numFmtId="49" xfId="0" applyAlignment="1" applyBorder="1" applyFont="1" applyNumberFormat="1">
      <alignment readingOrder="0"/>
    </xf>
    <xf borderId="18" fillId="0" fontId="6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center" readingOrder="0" vertical="center"/>
    </xf>
    <xf borderId="20" fillId="0" fontId="3" numFmtId="0" xfId="0" applyBorder="1" applyFont="1"/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left" vertical="bottom"/>
    </xf>
    <xf borderId="0" fillId="0" fontId="5" numFmtId="0" xfId="0" applyAlignment="1" applyFont="1">
      <alignment horizontal="left" vertical="bottom"/>
    </xf>
    <xf borderId="13" fillId="0" fontId="6" numFmtId="0" xfId="0" applyAlignment="1" applyBorder="1" applyFont="1">
      <alignment vertical="bottom"/>
    </xf>
    <xf borderId="13" fillId="0" fontId="6" numFmtId="0" xfId="0" applyAlignment="1" applyBorder="1" applyFont="1">
      <alignment horizontal="left" readingOrder="0" vertical="bottom"/>
    </xf>
    <xf quotePrefix="1" borderId="11" fillId="0" fontId="6" numFmtId="0" xfId="0" applyAlignment="1" applyBorder="1" applyFont="1">
      <alignment vertical="bottom"/>
    </xf>
    <xf quotePrefix="1" borderId="16" fillId="0" fontId="6" numFmtId="0" xfId="0" applyAlignment="1" applyBorder="1" applyFont="1">
      <alignment vertical="bottom"/>
    </xf>
    <xf borderId="16" fillId="0" fontId="6" numFmtId="0" xfId="0" applyAlignment="1" applyBorder="1" applyFont="1">
      <alignment readingOrder="0" vertical="bottom"/>
    </xf>
    <xf borderId="11" fillId="0" fontId="6" numFmtId="0" xfId="0" applyAlignment="1" applyBorder="1" applyFont="1">
      <alignment vertical="bottom"/>
    </xf>
    <xf borderId="16" fillId="0" fontId="6" numFmtId="0" xfId="0" applyAlignment="1" applyBorder="1" applyFont="1">
      <alignment vertical="bottom"/>
    </xf>
    <xf borderId="6" fillId="4" fontId="2" numFmtId="0" xfId="0" applyAlignment="1" applyBorder="1" applyFont="1">
      <alignment vertical="bottom"/>
    </xf>
    <xf borderId="6" fillId="4" fontId="2" numFmtId="0" xfId="0" applyAlignment="1" applyBorder="1" applyFont="1">
      <alignment horizontal="left" vertical="bottom"/>
    </xf>
    <xf borderId="20" fillId="6" fontId="26" numFmtId="0" xfId="0" applyAlignment="1" applyBorder="1" applyFont="1">
      <alignment vertical="bottom"/>
    </xf>
    <xf borderId="11" fillId="6" fontId="26" numFmtId="0" xfId="0" applyAlignment="1" applyBorder="1" applyFont="1">
      <alignment vertical="bottom"/>
    </xf>
    <xf borderId="16" fillId="0" fontId="26" numFmtId="0" xfId="0" applyAlignment="1" applyBorder="1" applyFont="1">
      <alignment vertical="bottom"/>
    </xf>
    <xf borderId="16" fillId="0" fontId="26" numFmtId="0" xfId="0" applyAlignment="1" applyBorder="1" applyFont="1">
      <alignment horizontal="left" readingOrder="0" vertical="bottom"/>
    </xf>
    <xf borderId="6" fillId="6" fontId="26" numFmtId="0" xfId="0" applyAlignment="1" applyBorder="1" applyFont="1">
      <alignment vertical="bottom"/>
    </xf>
    <xf borderId="6" fillId="6" fontId="26" numFmtId="0" xfId="0" applyAlignment="1" applyBorder="1" applyFont="1">
      <alignment horizontal="left" vertical="bottom"/>
    </xf>
    <xf quotePrefix="1" borderId="16" fillId="0" fontId="26" numFmtId="0" xfId="0" applyAlignment="1" applyBorder="1" applyFont="1">
      <alignment vertical="bottom"/>
    </xf>
    <xf borderId="6" fillId="6" fontId="22" numFmtId="0" xfId="0" applyAlignment="1" applyBorder="1" applyFont="1">
      <alignment horizontal="left" vertical="bottom"/>
    </xf>
    <xf borderId="16" fillId="0" fontId="6" numFmtId="0" xfId="0" applyAlignment="1" applyBorder="1" applyFont="1">
      <alignment vertical="bottom"/>
    </xf>
    <xf quotePrefix="1" borderId="11" fillId="0" fontId="6" numFmtId="0" xfId="0" applyAlignment="1" applyBorder="1" applyFont="1">
      <alignment vertical="bottom"/>
    </xf>
    <xf quotePrefix="1" borderId="16" fillId="0" fontId="6" numFmtId="0" xfId="0" applyAlignment="1" applyBorder="1" applyFont="1">
      <alignment horizontal="left" readingOrder="0" vertical="bottom"/>
    </xf>
    <xf quotePrefix="1" borderId="16" fillId="0" fontId="6" numFmtId="0" xfId="0" applyAlignment="1" applyBorder="1" applyFont="1">
      <alignment vertical="bottom"/>
    </xf>
    <xf borderId="15" fillId="0" fontId="6" numFmtId="0" xfId="0" applyAlignment="1" applyBorder="1" applyFont="1">
      <alignment vertical="bottom"/>
    </xf>
    <xf borderId="17" fillId="0" fontId="45" numFmtId="0" xfId="0" applyAlignment="1" applyBorder="1" applyFont="1">
      <alignment readingOrder="0" vertical="bottom"/>
    </xf>
    <xf borderId="11" fillId="6" fontId="6" numFmtId="0" xfId="0" applyAlignment="1" applyBorder="1" applyFont="1">
      <alignment vertical="bottom"/>
    </xf>
    <xf borderId="6" fillId="6" fontId="6" numFmtId="0" xfId="0" applyAlignment="1" applyBorder="1" applyFont="1">
      <alignment vertical="bottom"/>
    </xf>
    <xf borderId="6" fillId="4" fontId="46" numFmtId="0" xfId="0" applyAlignment="1" applyBorder="1" applyFont="1">
      <alignment vertical="bottom"/>
    </xf>
    <xf borderId="6" fillId="4" fontId="46" numFmtId="0" xfId="0" applyAlignment="1" applyBorder="1" applyFont="1">
      <alignment horizontal="left" vertical="bottom"/>
    </xf>
    <xf borderId="16" fillId="0" fontId="45" numFmtId="0" xfId="0" applyAlignment="1" applyBorder="1" applyFont="1">
      <alignment readingOrder="0" vertical="bottom"/>
    </xf>
    <xf borderId="0" fillId="0" fontId="6" numFmtId="0" xfId="0" applyAlignment="1" applyFont="1">
      <alignment horizontal="left" vertical="bottom"/>
    </xf>
    <xf borderId="13" fillId="0" fontId="6" numFmtId="0" xfId="0" applyAlignment="1" applyBorder="1" applyFont="1">
      <alignment readingOrder="0" vertical="bottom"/>
    </xf>
    <xf borderId="6" fillId="4" fontId="2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16" fillId="0" fontId="26" numFmtId="0" xfId="0" applyAlignment="1" applyBorder="1" applyFont="1">
      <alignment readingOrder="0" vertical="bottom"/>
    </xf>
    <xf borderId="6" fillId="6" fontId="26" numFmtId="0" xfId="0" applyAlignment="1" applyBorder="1" applyFont="1">
      <alignment horizontal="left" readingOrder="0" vertical="bottom"/>
    </xf>
    <xf borderId="6" fillId="6" fontId="26" numFmtId="0" xfId="0" applyAlignment="1" applyBorder="1" applyFont="1">
      <alignment vertical="bottom"/>
    </xf>
    <xf borderId="12" fillId="6" fontId="9" numFmtId="0" xfId="0" applyAlignment="1" applyBorder="1" applyFont="1">
      <alignment vertical="bottom"/>
    </xf>
    <xf borderId="11" fillId="6" fontId="9" numFmtId="0" xfId="0" applyAlignment="1" applyBorder="1" applyFont="1">
      <alignment vertical="bottom"/>
    </xf>
    <xf borderId="6" fillId="6" fontId="6" numFmtId="0" xfId="0" applyAlignment="1" applyBorder="1" applyFont="1">
      <alignment horizontal="left" readingOrder="0" vertical="bottom"/>
    </xf>
    <xf borderId="6" fillId="6" fontId="6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16" fillId="0" fontId="36" numFmtId="0" xfId="0" applyAlignment="1" applyBorder="1" applyFont="1">
      <alignment vertical="bottom"/>
    </xf>
    <xf borderId="16" fillId="0" fontId="36" numFmtId="0" xfId="0" applyAlignment="1" applyBorder="1" applyFont="1">
      <alignment readingOrder="0" vertical="bottom"/>
    </xf>
    <xf borderId="6" fillId="0" fontId="36" numFmtId="0" xfId="0" applyAlignment="1" applyBorder="1" applyFont="1">
      <alignment vertical="bottom"/>
    </xf>
    <xf borderId="6" fillId="0" fontId="36" numFmtId="0" xfId="0" applyAlignment="1" applyBorder="1" applyFont="1">
      <alignment horizontal="left" readingOrder="0" vertical="bottom"/>
    </xf>
    <xf borderId="6" fillId="4" fontId="47" numFmtId="0" xfId="0" applyAlignment="1" applyBorder="1" applyFont="1">
      <alignment vertical="bottom"/>
    </xf>
    <xf borderId="6" fillId="0" fontId="36" numFmtId="0" xfId="0" applyAlignment="1" applyBorder="1" applyFont="1">
      <alignment vertical="bottom"/>
    </xf>
    <xf quotePrefix="1" borderId="16" fillId="0" fontId="6" numFmtId="0" xfId="0" applyAlignment="1" applyBorder="1" applyFont="1">
      <alignment horizontal="left" vertical="bottom"/>
    </xf>
    <xf borderId="0" fillId="0" fontId="3" numFmtId="0" xfId="0" applyAlignment="1" applyFont="1">
      <alignment readingOrder="0"/>
    </xf>
    <xf borderId="16" fillId="0" fontId="45" numFmtId="0" xfId="0" applyAlignment="1" applyBorder="1" applyFont="1">
      <alignment readingOrder="0"/>
    </xf>
    <xf borderId="3" fillId="0" fontId="6" numFmtId="0" xfId="0" applyAlignment="1" applyBorder="1" applyFont="1">
      <alignment readingOrder="0" vertical="bottom"/>
    </xf>
    <xf borderId="18" fillId="0" fontId="6" numFmtId="0" xfId="0" applyAlignment="1" applyBorder="1" applyFont="1">
      <alignment readingOrder="0" vertical="bottom"/>
    </xf>
    <xf borderId="6" fillId="4" fontId="46" numFmtId="0" xfId="0" applyAlignment="1" applyBorder="1" applyFont="1">
      <alignment vertical="bottom"/>
    </xf>
    <xf borderId="6" fillId="4" fontId="2" numFmtId="0" xfId="0" applyAlignment="1" applyBorder="1" applyFont="1">
      <alignment horizontal="left" readingOrder="0" vertical="bottom"/>
    </xf>
    <xf quotePrefix="1" borderId="6" fillId="0" fontId="6" numFmtId="0" xfId="0" applyAlignment="1" applyBorder="1" applyFont="1">
      <alignment vertical="bottom"/>
    </xf>
    <xf borderId="0" fillId="0" fontId="48" numFmtId="49" xfId="0" applyAlignment="1" applyFont="1" applyNumberFormat="1">
      <alignment readingOrder="0"/>
    </xf>
    <xf borderId="4" fillId="0" fontId="49" numFmtId="49" xfId="0" applyAlignment="1" applyBorder="1" applyFont="1" applyNumberFormat="1">
      <alignment vertical="bottom"/>
    </xf>
    <xf borderId="3" fillId="0" fontId="6" numFmtId="0" xfId="0" applyAlignment="1" applyBorder="1" applyFont="1">
      <alignment vertical="bottom"/>
    </xf>
    <xf borderId="18" fillId="0" fontId="6" numFmtId="0" xfId="0" applyAlignment="1" applyBorder="1" applyFont="1">
      <alignment vertical="bottom"/>
    </xf>
    <xf borderId="0" fillId="0" fontId="3" numFmtId="0" xfId="0" applyAlignment="1" applyFont="1">
      <alignment horizontal="left"/>
    </xf>
    <xf borderId="16" fillId="0" fontId="2" numFmtId="0" xfId="0" applyAlignment="1" applyBorder="1" applyFont="1">
      <alignment vertical="bottom"/>
    </xf>
    <xf quotePrefix="1" borderId="11" fillId="0" fontId="6" numFmtId="0" xfId="0" applyAlignment="1" applyBorder="1" applyFont="1">
      <alignment readingOrder="0" vertical="bottom"/>
    </xf>
    <xf borderId="11" fillId="0" fontId="6" numFmtId="0" xfId="0" applyAlignment="1" applyBorder="1" applyFont="1">
      <alignment readingOrder="0" vertical="bottom"/>
    </xf>
    <xf borderId="11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6" fillId="6" fontId="6" numFmtId="0" xfId="0" applyAlignment="1" applyBorder="1" applyFont="1">
      <alignment vertical="bottom"/>
    </xf>
    <xf borderId="11" fillId="6" fontId="2" numFmtId="0" xfId="0" applyAlignment="1" applyBorder="1" applyFont="1">
      <alignment vertical="bottom"/>
    </xf>
    <xf quotePrefix="1" borderId="11" fillId="6" fontId="6" numFmtId="0" xfId="0" applyAlignment="1" applyBorder="1" applyFont="1">
      <alignment readingOrder="0" vertical="bottom"/>
    </xf>
    <xf borderId="13" fillId="0" fontId="2" numFmtId="0" xfId="0" applyAlignment="1" applyBorder="1" applyFont="1">
      <alignment vertical="bottom"/>
    </xf>
    <xf borderId="11" fillId="0" fontId="6" numFmtId="0" xfId="0" applyAlignment="1" applyBorder="1" applyFont="1">
      <alignment shrinkToFit="0" vertical="bottom" wrapText="0"/>
    </xf>
    <xf borderId="21" fillId="6" fontId="9" numFmtId="0" xfId="0" applyAlignment="1" applyBorder="1" applyFont="1">
      <alignment vertical="bottom"/>
    </xf>
    <xf borderId="11" fillId="0" fontId="50" numFmtId="0" xfId="0" applyAlignment="1" applyBorder="1" applyFont="1">
      <alignment vertical="bottom"/>
    </xf>
    <xf borderId="16" fillId="6" fontId="6" numFmtId="0" xfId="0" applyAlignment="1" applyBorder="1" applyFont="1">
      <alignment horizontal="left" readingOrder="0" vertical="bottom"/>
    </xf>
    <xf borderId="16" fillId="0" fontId="51" numFmtId="0" xfId="0" applyAlignment="1" applyBorder="1" applyFont="1">
      <alignment readingOrder="0" vertical="bottom"/>
    </xf>
    <xf borderId="16" fillId="0" fontId="6" numFmtId="0" xfId="0" applyAlignment="1" applyBorder="1" applyFont="1">
      <alignment readingOrder="0"/>
    </xf>
    <xf borderId="13" fillId="0" fontId="26" numFmtId="0" xfId="0" applyAlignment="1" applyBorder="1" applyFont="1">
      <alignment vertical="bottom"/>
    </xf>
    <xf borderId="11" fillId="0" fontId="26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center"/>
    </xf>
    <xf borderId="15" fillId="0" fontId="5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11" fillId="0" fontId="26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quotePrefix="1" borderId="11" fillId="0" fontId="2" numFmtId="0" xfId="0" applyAlignment="1" applyBorder="1" applyFont="1">
      <alignment vertical="bottom"/>
    </xf>
    <xf borderId="19" fillId="0" fontId="5" numFmtId="0" xfId="0" applyAlignment="1" applyBorder="1" applyFont="1">
      <alignment vertical="bottom"/>
    </xf>
    <xf borderId="19" fillId="0" fontId="6" numFmtId="0" xfId="0" applyAlignment="1" applyBorder="1" applyFont="1">
      <alignment vertical="bottom"/>
    </xf>
    <xf quotePrefix="1" borderId="15" fillId="0" fontId="6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5" fillId="6" fontId="6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2" fontId="2" numFmtId="0" xfId="0" applyAlignment="1" applyBorder="1" applyFont="1">
      <alignment horizontal="center" readingOrder="0" vertical="center"/>
    </xf>
    <xf borderId="15" fillId="0" fontId="5" numFmtId="49" xfId="0" applyAlignment="1" applyBorder="1" applyFont="1" applyNumberFormat="1">
      <alignment vertical="bottom"/>
    </xf>
    <xf borderId="15" fillId="0" fontId="6" numFmtId="49" xfId="0" applyAlignment="1" applyBorder="1" applyFont="1" applyNumberFormat="1">
      <alignment vertical="bottom"/>
    </xf>
    <xf quotePrefix="1" borderId="15" fillId="0" fontId="6" numFmtId="0" xfId="0" applyAlignment="1" applyBorder="1" applyFont="1">
      <alignment readingOrder="0" vertical="bottom"/>
    </xf>
    <xf quotePrefix="1" borderId="11" fillId="0" fontId="26" numFmtId="0" xfId="0" applyAlignment="1" applyBorder="1" applyFont="1">
      <alignment readingOrder="0" vertical="bottom"/>
    </xf>
    <xf quotePrefix="1" borderId="15" fillId="6" fontId="6" numFmtId="0" xfId="0" applyAlignment="1" applyBorder="1" applyFont="1">
      <alignment readingOrder="0" vertical="bottom"/>
    </xf>
    <xf borderId="15" fillId="0" fontId="6" numFmtId="0" xfId="0" applyAlignment="1" applyBorder="1" applyFont="1">
      <alignment shrinkToFit="0" vertical="bottom" wrapText="0"/>
    </xf>
    <xf borderId="16" fillId="0" fontId="6" numFmtId="0" xfId="0" applyAlignment="1" applyBorder="1" applyFont="1">
      <alignment shrinkToFit="0" vertical="bottom" wrapText="0"/>
    </xf>
    <xf borderId="1" fillId="2" fontId="52" numFmtId="0" xfId="0" applyAlignment="1" applyBorder="1" applyFont="1">
      <alignment horizontal="center" readingOrder="0" shrinkToFit="0" vertical="center" wrapText="0"/>
    </xf>
    <xf borderId="1" fillId="2" fontId="52" numFmtId="0" xfId="0" applyAlignment="1" applyBorder="1" applyFont="1">
      <alignment horizontal="center" readingOrder="0" shrinkToFit="0" vertical="center" wrapText="0"/>
    </xf>
    <xf borderId="0" fillId="0" fontId="53" numFmtId="0" xfId="0" applyAlignment="1" applyFont="1">
      <alignment shrinkToFit="0" vertical="bottom" wrapText="0"/>
    </xf>
    <xf borderId="8" fillId="0" fontId="54" numFmtId="0" xfId="0" applyAlignment="1" applyBorder="1" applyFont="1">
      <alignment readingOrder="0" shrinkToFit="0" vertical="center" wrapText="0"/>
    </xf>
    <xf borderId="6" fillId="0" fontId="53" numFmtId="0" xfId="0" applyAlignment="1" applyBorder="1" applyFont="1">
      <alignment shrinkToFit="0" vertical="center" wrapText="0"/>
    </xf>
    <xf borderId="13" fillId="0" fontId="53" numFmtId="0" xfId="0" applyAlignment="1" applyBorder="1" applyFont="1">
      <alignment readingOrder="0" shrinkToFit="0" vertical="center" wrapText="0"/>
    </xf>
    <xf borderId="13" fillId="3" fontId="53" numFmtId="0" xfId="0" applyAlignment="1" applyBorder="1" applyFont="1">
      <alignment readingOrder="0" shrinkToFit="0" vertical="center" wrapText="0"/>
    </xf>
    <xf borderId="13" fillId="0" fontId="55" numFmtId="0" xfId="0" applyAlignment="1" applyBorder="1" applyFont="1">
      <alignment readingOrder="0" shrinkToFit="0" vertical="center" wrapText="0"/>
    </xf>
    <xf borderId="13" fillId="0" fontId="6" numFmtId="0" xfId="0" applyAlignment="1" applyBorder="1" applyFont="1">
      <alignment vertical="bottom"/>
    </xf>
    <xf borderId="16" fillId="0" fontId="53" numFmtId="0" xfId="0" applyAlignment="1" applyBorder="1" applyFont="1">
      <alignment readingOrder="0" shrinkToFit="0" vertical="center" wrapText="0"/>
    </xf>
    <xf borderId="16" fillId="3" fontId="53" numFmtId="0" xfId="0" applyAlignment="1" applyBorder="1" applyFont="1">
      <alignment readingOrder="0" shrinkToFit="0" vertical="center" wrapText="0"/>
    </xf>
    <xf borderId="11" fillId="0" fontId="6" numFmtId="0" xfId="0" applyAlignment="1" applyBorder="1" applyFont="1">
      <alignment horizontal="left" vertical="bottom"/>
    </xf>
    <xf borderId="11" fillId="0" fontId="26" numFmtId="0" xfId="0" applyAlignment="1" applyBorder="1" applyFont="1">
      <alignment horizontal="left" vertical="bottom"/>
    </xf>
    <xf borderId="11" fillId="0" fontId="26" numFmtId="0" xfId="0" applyAlignment="1" applyBorder="1" applyFont="1">
      <alignment vertical="bottom"/>
    </xf>
    <xf borderId="11" fillId="6" fontId="6" numFmtId="0" xfId="0" applyAlignment="1" applyBorder="1" applyFont="1">
      <alignment horizontal="left" vertical="bottom"/>
    </xf>
    <xf borderId="11" fillId="6" fontId="6" numFmtId="0" xfId="0" applyAlignment="1" applyBorder="1" applyFont="1">
      <alignment vertical="bottom"/>
    </xf>
    <xf borderId="11" fillId="6" fontId="2" numFmtId="0" xfId="0" applyAlignment="1" applyBorder="1" applyFont="1">
      <alignment vertical="bottom"/>
    </xf>
    <xf quotePrefix="1" borderId="11" fillId="0" fontId="6" numFmtId="0" xfId="0" applyAlignment="1" applyBorder="1" applyFont="1">
      <alignment horizontal="left" vertical="bottom"/>
    </xf>
    <xf quotePrefix="1" borderId="11" fillId="0" fontId="56" numFmtId="0" xfId="0" applyAlignment="1" applyBorder="1" applyFont="1">
      <alignment readingOrder="0" vertical="bottom"/>
    </xf>
    <xf borderId="16" fillId="0" fontId="53" numFmtId="49" xfId="0" applyAlignment="1" applyBorder="1" applyFont="1" applyNumberFormat="1">
      <alignment shrinkToFit="0" vertical="center" wrapText="0"/>
    </xf>
    <xf borderId="16" fillId="9" fontId="53" numFmtId="49" xfId="0" applyAlignment="1" applyBorder="1" applyFill="1" applyFont="1" applyNumberFormat="1">
      <alignment shrinkToFit="0" vertical="center" wrapText="0"/>
    </xf>
    <xf borderId="11" fillId="6" fontId="6" numFmtId="0" xfId="0" applyAlignment="1" applyBorder="1" applyFont="1">
      <alignment readingOrder="0" vertical="bottom"/>
    </xf>
    <xf borderId="11" fillId="6" fontId="26" numFmtId="0" xfId="0" applyAlignment="1" applyBorder="1" applyFont="1">
      <alignment vertical="bottom"/>
    </xf>
    <xf borderId="16" fillId="9" fontId="53" numFmtId="0" xfId="0" applyAlignment="1" applyBorder="1" applyFont="1">
      <alignment readingOrder="0" shrinkToFit="0" vertical="center" wrapText="0"/>
    </xf>
    <xf borderId="16" fillId="0" fontId="53" numFmtId="0" xfId="0" applyAlignment="1" applyBorder="1" applyFont="1">
      <alignment readingOrder="0" shrinkToFit="0" vertical="center" wrapText="0"/>
    </xf>
    <xf borderId="16" fillId="3" fontId="53" numFmtId="0" xfId="0" applyAlignment="1" applyBorder="1" applyFont="1">
      <alignment readingOrder="0" shrinkToFit="0" vertical="center" wrapText="0"/>
    </xf>
    <xf borderId="18" fillId="0" fontId="53" numFmtId="0" xfId="0" applyAlignment="1" applyBorder="1" applyFont="1">
      <alignment readingOrder="0" shrinkToFit="0" vertical="center" wrapText="0"/>
    </xf>
    <xf borderId="18" fillId="3" fontId="53" numFmtId="0" xfId="0" applyAlignment="1" applyBorder="1" applyFont="1">
      <alignment readingOrder="0" shrinkToFit="0" vertical="center" wrapText="0"/>
    </xf>
    <xf borderId="3" fillId="0" fontId="6" numFmtId="0" xfId="0" applyAlignment="1" applyBorder="1" applyFont="1">
      <alignment horizontal="left" vertical="bottom"/>
    </xf>
    <xf borderId="13" fillId="0" fontId="53" numFmtId="0" xfId="0" applyAlignment="1" applyBorder="1" applyFont="1">
      <alignment shrinkToFit="0" vertical="center" wrapText="0"/>
    </xf>
    <xf borderId="18" fillId="0" fontId="53" numFmtId="0" xfId="0" applyAlignment="1" applyBorder="1" applyFont="1">
      <alignment readingOrder="0" shrinkToFit="0" vertical="center" wrapText="0"/>
    </xf>
    <xf borderId="18" fillId="3" fontId="53" numFmtId="0" xfId="0" applyAlignment="1" applyBorder="1" applyFont="1">
      <alignment readingOrder="0" shrinkToFit="0" vertical="center" wrapText="0"/>
    </xf>
    <xf borderId="18" fillId="0" fontId="53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horizontal="left" shrinkToFit="0" vertical="bottom" wrapText="0"/>
    </xf>
    <xf borderId="11" fillId="0" fontId="6" numFmtId="0" xfId="0" applyAlignment="1" applyBorder="1" applyFont="1">
      <alignment shrinkToFit="0" vertical="bottom" wrapText="0"/>
    </xf>
    <xf borderId="11" fillId="0" fontId="26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11" fillId="0" fontId="56" numFmtId="0" xfId="0" applyAlignment="1" applyBorder="1" applyFont="1">
      <alignment vertical="bottom"/>
    </xf>
    <xf borderId="9" fillId="0" fontId="53" numFmtId="0" xfId="0" applyAlignment="1" applyBorder="1" applyFont="1">
      <alignment shrinkToFit="0" vertical="center" wrapText="0"/>
    </xf>
    <xf borderId="16" fillId="9" fontId="53" numFmtId="0" xfId="0" applyAlignment="1" applyBorder="1" applyFont="1">
      <alignment readingOrder="0" shrinkToFit="0" vertical="center" wrapText="0"/>
    </xf>
    <xf borderId="16" fillId="0" fontId="45" numFmtId="0" xfId="0" applyAlignment="1" applyBorder="1" applyFont="1">
      <alignment readingOrder="0" shrinkToFit="0" vertical="center" wrapText="0"/>
    </xf>
    <xf borderId="16" fillId="9" fontId="53" numFmtId="0" xfId="0" applyAlignment="1" applyBorder="1" applyFont="1">
      <alignment readingOrder="0" shrinkToFit="0" vertical="bottom" wrapText="0"/>
    </xf>
    <xf borderId="16" fillId="0" fontId="57" numFmtId="0" xfId="0" applyAlignment="1" applyBorder="1" applyFont="1">
      <alignment shrinkToFit="0" vertical="bottom" wrapText="0"/>
    </xf>
    <xf borderId="11" fillId="6" fontId="2" numFmtId="0" xfId="0" applyAlignment="1" applyBorder="1" applyFont="1">
      <alignment horizontal="left" vertical="bottom"/>
    </xf>
    <xf borderId="9" fillId="0" fontId="53" numFmtId="0" xfId="0" applyAlignment="1" applyBorder="1" applyFont="1">
      <alignment shrinkToFit="0" vertical="bottom" wrapText="0"/>
    </xf>
    <xf borderId="16" fillId="3" fontId="6" numFmtId="0" xfId="0" applyAlignment="1" applyBorder="1" applyFont="1">
      <alignment vertical="bottom"/>
    </xf>
    <xf borderId="16" fillId="0" fontId="6" numFmtId="0" xfId="0" applyAlignment="1" applyBorder="1" applyFont="1">
      <alignment vertical="bottom"/>
    </xf>
    <xf borderId="18" fillId="0" fontId="6" numFmtId="0" xfId="0" applyAlignment="1" applyBorder="1" applyFont="1">
      <alignment vertical="bottom"/>
    </xf>
    <xf borderId="18" fillId="3" fontId="6" numFmtId="0" xfId="0" applyAlignment="1" applyBorder="1" applyFont="1">
      <alignment vertical="bottom"/>
    </xf>
    <xf borderId="18" fillId="0" fontId="6" numFmtId="0" xfId="0" applyAlignment="1" applyBorder="1" applyFont="1">
      <alignment vertical="bottom"/>
    </xf>
    <xf borderId="22" fillId="0" fontId="58" numFmtId="0" xfId="0" applyAlignment="1" applyBorder="1" applyFont="1">
      <alignment shrinkToFit="0" vertical="bottom" wrapText="0"/>
    </xf>
    <xf borderId="22" fillId="0" fontId="53" numFmtId="0" xfId="0" applyAlignment="1" applyBorder="1" applyFont="1">
      <alignment shrinkToFit="0" vertical="bottom" wrapText="0"/>
    </xf>
    <xf borderId="18" fillId="6" fontId="6" numFmtId="0" xfId="0" applyAlignment="1" applyBorder="1" applyFont="1">
      <alignment horizontal="left" readingOrder="0" vertical="bottom"/>
    </xf>
    <xf borderId="3" fillId="6" fontId="6" numFmtId="0" xfId="0" applyAlignment="1" applyBorder="1" applyFont="1">
      <alignment horizontal="left" vertical="bottom"/>
    </xf>
    <xf borderId="11" fillId="0" fontId="6" numFmtId="0" xfId="0" applyAlignment="1" applyBorder="1" applyFont="1">
      <alignment horizontal="left" readingOrder="0" vertical="bottom"/>
    </xf>
    <xf borderId="1" fillId="2" fontId="1" numFmtId="0" xfId="0" applyAlignment="1" applyBorder="1" applyFont="1">
      <alignment horizontal="center" readingOrder="0" shrinkToFit="0" vertical="center" wrapText="0"/>
    </xf>
    <xf borderId="3" fillId="0" fontId="53" numFmtId="0" xfId="0" applyAlignment="1" applyBorder="1" applyFont="1">
      <alignment shrinkToFit="0" vertical="center" wrapText="0"/>
    </xf>
    <xf borderId="16" fillId="6" fontId="6" numFmtId="0" xfId="0" applyAlignment="1" applyBorder="1" applyFont="1">
      <alignment horizontal="left" vertical="bottom"/>
    </xf>
    <xf borderId="11" fillId="0" fontId="2" numFmtId="0" xfId="0" applyAlignment="1" applyBorder="1" applyFont="1">
      <alignment horizontal="left" readingOrder="0" vertical="bottom"/>
    </xf>
    <xf borderId="16" fillId="0" fontId="6" numFmtId="0" xfId="0" applyAlignment="1" applyBorder="1" applyFont="1">
      <alignment horizontal="left"/>
    </xf>
    <xf borderId="11" fillId="0" fontId="6" numFmtId="0" xfId="0" applyAlignment="1" applyBorder="1" applyFont="1">
      <alignment horizontal="left"/>
    </xf>
    <xf borderId="18" fillId="9" fontId="53" numFmtId="0" xfId="0" applyAlignment="1" applyBorder="1" applyFont="1">
      <alignment readingOrder="0" shrinkToFit="0" vertical="center" wrapText="0"/>
    </xf>
    <xf quotePrefix="1" borderId="18" fillId="6" fontId="6" numFmtId="0" xfId="0" applyAlignment="1" applyBorder="1" applyFont="1">
      <alignment horizontal="left" vertical="bottom"/>
    </xf>
    <xf borderId="18" fillId="6" fontId="6" numFmtId="0" xfId="0" applyAlignment="1" applyBorder="1" applyFont="1">
      <alignment horizontal="left" vertical="bottom"/>
    </xf>
    <xf borderId="6" fillId="0" fontId="45" numFmtId="0" xfId="0" applyAlignment="1" applyBorder="1" applyFont="1">
      <alignment shrinkToFit="0" vertical="center" wrapText="0"/>
    </xf>
    <xf borderId="13" fillId="0" fontId="45" numFmtId="0" xfId="0" applyAlignment="1" applyBorder="1" applyFont="1">
      <alignment shrinkToFit="0" vertical="center" wrapText="0"/>
    </xf>
    <xf borderId="18" fillId="0" fontId="6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horizontal="left" readingOrder="0" vertical="bottom"/>
    </xf>
    <xf borderId="23" fillId="0" fontId="6" numFmtId="0" xfId="0" applyAlignment="1" applyBorder="1" applyFont="1">
      <alignment horizontal="left" vertical="bottom"/>
    </xf>
    <xf borderId="11" fillId="0" fontId="6" numFmtId="0" xfId="0" applyAlignment="1" applyBorder="1" applyFont="1">
      <alignment horizontal="left" vertical="bottom"/>
    </xf>
    <xf borderId="16" fillId="0" fontId="6" numFmtId="0" xfId="0" applyAlignment="1" applyBorder="1" applyFont="1">
      <alignment horizontal="left" readingOrder="0" vertical="bottom"/>
    </xf>
    <xf borderId="16" fillId="0" fontId="4" numFmtId="0" xfId="0" applyAlignment="1" applyBorder="1" applyFont="1">
      <alignment horizontal="left" readingOrder="0" vertical="bottom"/>
    </xf>
    <xf borderId="11" fillId="0" fontId="4" numFmtId="0" xfId="0" applyAlignment="1" applyBorder="1" applyFont="1">
      <alignment horizontal="left" vertical="bottom"/>
    </xf>
    <xf borderId="18" fillId="9" fontId="53" numFmtId="0" xfId="0" applyAlignment="1" applyBorder="1" applyFont="1">
      <alignment readingOrder="0" shrinkToFit="0" vertical="center" wrapText="0"/>
    </xf>
    <xf borderId="18" fillId="0" fontId="59" numFmtId="0" xfId="0" applyAlignment="1" applyBorder="1" applyFont="1">
      <alignment shrinkToFit="0" vertical="center" wrapText="0"/>
    </xf>
    <xf borderId="16" fillId="0" fontId="2" numFmtId="0" xfId="0" applyAlignment="1" applyBorder="1" applyFont="1">
      <alignment readingOrder="0" vertical="bottom"/>
    </xf>
    <xf borderId="11" fillId="0" fontId="2" numFmtId="0" xfId="0" applyAlignment="1" applyBorder="1" applyFont="1">
      <alignment readingOrder="0" vertical="bottom"/>
    </xf>
    <xf borderId="16" fillId="6" fontId="53" numFmtId="0" xfId="0" applyAlignment="1" applyBorder="1" applyFont="1">
      <alignment readingOrder="0" shrinkToFit="0" vertical="bottom" wrapText="0"/>
    </xf>
    <xf borderId="16" fillId="0" fontId="53" numFmtId="0" xfId="0" applyAlignment="1" applyBorder="1" applyFont="1">
      <alignment readingOrder="0" shrinkToFit="0" vertical="bottom" wrapText="0"/>
    </xf>
    <xf quotePrefix="1" borderId="16" fillId="6" fontId="53" numFmtId="0" xfId="0" applyAlignment="1" applyBorder="1" applyFont="1">
      <alignment readingOrder="0" shrinkToFit="0" vertical="bottom" wrapText="0"/>
    </xf>
    <xf quotePrefix="1" borderId="18" fillId="6" fontId="53" numFmtId="0" xfId="0" applyAlignment="1" applyBorder="1" applyFont="1">
      <alignment readingOrder="0" shrinkToFit="0" vertical="bottom" wrapText="0"/>
    </xf>
    <xf quotePrefix="1" borderId="18" fillId="0" fontId="53" numFmtId="0" xfId="0" applyAlignment="1" applyBorder="1" applyFont="1">
      <alignment readingOrder="0" shrinkToFit="0" vertical="bottom" wrapText="0"/>
    </xf>
    <xf quotePrefix="1" borderId="3" fillId="6" fontId="6" numFmtId="0" xfId="0" applyAlignment="1" applyBorder="1" applyFont="1">
      <alignment vertical="bottom"/>
    </xf>
    <xf quotePrefix="1" borderId="3" fillId="6" fontId="6" numFmtId="0" xfId="0" applyAlignment="1" applyBorder="1" applyFont="1">
      <alignment readingOrder="0" vertical="bottom"/>
    </xf>
    <xf quotePrefix="1" borderId="3" fillId="0" fontId="6" numFmtId="0" xfId="0" applyAlignment="1" applyBorder="1" applyFont="1">
      <alignment vertical="bottom"/>
    </xf>
    <xf borderId="13" fillId="9" fontId="53" numFmtId="0" xfId="0" applyAlignment="1" applyBorder="1" applyFont="1">
      <alignment readingOrder="0" shrinkToFit="0" vertical="center" wrapText="0"/>
    </xf>
    <xf borderId="13" fillId="0" fontId="60" numFmtId="0" xfId="0" applyAlignment="1" applyBorder="1" applyFont="1">
      <alignment readingOrder="0" shrinkToFit="0" vertical="center" wrapText="0"/>
    </xf>
    <xf borderId="20" fillId="0" fontId="6" numFmtId="0" xfId="0" applyAlignment="1" applyBorder="1" applyFont="1">
      <alignment horizontal="left" vertical="bottom"/>
    </xf>
    <xf borderId="16" fillId="0" fontId="53" numFmtId="0" xfId="0" applyAlignment="1" applyBorder="1" applyFont="1">
      <alignment shrinkToFit="0" vertical="center" wrapText="0"/>
    </xf>
    <xf borderId="16" fillId="0" fontId="61" numFmtId="0" xfId="0" applyAlignment="1" applyBorder="1" applyFont="1">
      <alignment readingOrder="0" shrinkToFit="0" vertical="center" wrapText="0"/>
    </xf>
    <xf borderId="16" fillId="0" fontId="54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vertical="bottom"/>
    </xf>
    <xf borderId="11" fillId="0" fontId="4" numFmtId="0" xfId="0" applyAlignment="1" applyBorder="1" applyFont="1">
      <alignment readingOrder="0" vertical="bottom"/>
    </xf>
    <xf borderId="11" fillId="0" fontId="4" numFmtId="0" xfId="0" applyAlignment="1" applyBorder="1" applyFont="1">
      <alignment vertical="bottom"/>
    </xf>
    <xf borderId="16" fillId="0" fontId="6" numFmtId="0" xfId="0" applyAlignment="1" applyBorder="1" applyFont="1">
      <alignment readingOrder="0" shrinkToFit="0" vertical="center" wrapText="0"/>
    </xf>
    <xf quotePrefix="1" borderId="16" fillId="0" fontId="53" numFmtId="0" xfId="0" applyAlignment="1" applyBorder="1" applyFont="1">
      <alignment readingOrder="0" shrinkToFit="0" vertical="center" wrapText="0"/>
    </xf>
    <xf quotePrefix="1" borderId="16" fillId="0" fontId="6" numFmtId="0" xfId="0" applyAlignment="1" applyBorder="1" applyFont="1">
      <alignment readingOrder="0" shrinkToFit="0" vertical="center" wrapText="0"/>
    </xf>
    <xf borderId="16" fillId="0" fontId="6" numFmtId="0" xfId="0" applyAlignment="1" applyBorder="1" applyFont="1">
      <alignment readingOrder="0"/>
    </xf>
    <xf borderId="16" fillId="0" fontId="53" numFmtId="0" xfId="0" applyAlignment="1" applyBorder="1" applyFont="1">
      <alignment readingOrder="0" vertical="center"/>
    </xf>
    <xf borderId="16" fillId="0" fontId="6" numFmtId="0" xfId="0" applyAlignment="1" applyBorder="1" applyFont="1">
      <alignment readingOrder="0" vertical="center"/>
    </xf>
    <xf borderId="16" fillId="0" fontId="6" numFmtId="0" xfId="0" applyAlignment="1" applyBorder="1" applyFont="1">
      <alignment readingOrder="0" shrinkToFit="0" vertical="bottom" wrapText="0"/>
    </xf>
    <xf borderId="18" fillId="6" fontId="53" numFmtId="0" xfId="0" applyAlignment="1" applyBorder="1" applyFont="1">
      <alignment readingOrder="0" shrinkToFit="0" vertical="bottom" wrapText="0"/>
    </xf>
    <xf borderId="18" fillId="0" fontId="6" numFmtId="0" xfId="0" applyAlignment="1" applyBorder="1" applyFont="1">
      <alignment readingOrder="0" shrinkToFit="0" vertical="bottom" wrapText="0"/>
    </xf>
    <xf borderId="3" fillId="6" fontId="6" numFmtId="0" xfId="0" applyAlignment="1" applyBorder="1" applyFont="1">
      <alignment vertical="bottom"/>
    </xf>
    <xf borderId="3" fillId="6" fontId="6" numFmtId="0" xfId="0" applyAlignment="1" applyBorder="1" applyFont="1">
      <alignment readingOrder="0" vertical="bottom"/>
    </xf>
    <xf borderId="16" fillId="0" fontId="54" numFmtId="0" xfId="0" applyAlignment="1" applyBorder="1" applyFont="1">
      <alignment readingOrder="0"/>
    </xf>
    <xf borderId="16" fillId="0" fontId="45" numFmtId="0" xfId="0" applyAlignment="1" applyBorder="1" applyFont="1">
      <alignment readingOrder="0" shrinkToFit="0" vertical="center" wrapText="0"/>
    </xf>
    <xf borderId="11" fillId="6" fontId="45" numFmtId="0" xfId="0" applyAlignment="1" applyBorder="1" applyFont="1">
      <alignment readingOrder="0" vertical="bottom"/>
    </xf>
    <xf borderId="16" fillId="0" fontId="45" numFmtId="0" xfId="0" applyAlignment="1" applyBorder="1" applyFont="1">
      <alignment readingOrder="0" shrinkToFit="0" vertical="bottom" wrapText="0"/>
    </xf>
    <xf borderId="11" fillId="0" fontId="45" numFmtId="0" xfId="0" applyAlignment="1" applyBorder="1" applyFont="1">
      <alignment readingOrder="0" vertical="bottom"/>
    </xf>
    <xf quotePrefix="1" borderId="18" fillId="0" fontId="45" numFmtId="0" xfId="0" applyAlignment="1" applyBorder="1" applyFont="1">
      <alignment readingOrder="0" shrinkToFit="0" vertical="bottom" wrapText="0"/>
    </xf>
    <xf borderId="16" fillId="0" fontId="6" numFmtId="0" xfId="0" applyAlignment="1" applyBorder="1" applyFont="1">
      <alignment readingOrder="0" shrinkToFit="0" vertical="center" wrapText="0"/>
    </xf>
    <xf borderId="16" fillId="0" fontId="6" numFmtId="0" xfId="0" applyAlignment="1" applyBorder="1" applyFont="1">
      <alignment shrinkToFit="0" vertical="center" wrapText="0"/>
    </xf>
    <xf borderId="3" fillId="6" fontId="45" numFmtId="0" xfId="0" applyAlignment="1" applyBorder="1" applyFont="1">
      <alignment readingOrder="0" vertical="bottom"/>
    </xf>
    <xf borderId="0" fillId="0" fontId="58" numFmtId="0" xfId="0" applyAlignment="1" applyFont="1">
      <alignment shrinkToFit="0" vertical="bottom" wrapText="0"/>
    </xf>
    <xf borderId="0" fillId="0" fontId="62" numFmtId="0" xfId="0" applyAlignment="1" applyFont="1">
      <alignment horizontal="right" readingOrder="0" shrinkToFit="0" vertical="bottom" wrapText="0"/>
    </xf>
    <xf borderId="0" fillId="0" fontId="62" numFmtId="0" xfId="0" applyAlignment="1" applyFont="1">
      <alignment horizontal="right" vertical="bottom"/>
    </xf>
    <xf borderId="0" fillId="0" fontId="62" numFmtId="0" xfId="0" applyAlignment="1" applyFont="1">
      <alignment horizontal="right" readingOrder="0" vertical="bottom"/>
    </xf>
    <xf borderId="0" fillId="0" fontId="62" numFmtId="0" xfId="0" applyAlignment="1" applyFont="1">
      <alignment readingOrder="0" shrinkToFit="0" vertical="bottom" wrapText="0"/>
    </xf>
    <xf borderId="0" fillId="0" fontId="62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6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shrinkToFit="0" vertical="bottom" wrapText="0"/>
    </xf>
    <xf borderId="0" fillId="0" fontId="6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shrinkToFit="0" vertical="bottom" wrapText="0"/>
    </xf>
    <xf borderId="0" fillId="0" fontId="64" numFmtId="0" xfId="0" applyAlignment="1" applyFont="1">
      <alignment horizontal="right" readingOrder="0" vertical="bottom"/>
    </xf>
    <xf borderId="0" fillId="0" fontId="64" numFmtId="0" xfId="0" applyAlignment="1" applyFont="1">
      <alignment horizontal="right" vertical="bottom"/>
    </xf>
    <xf borderId="0" fillId="0" fontId="6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64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62" numFmtId="164" xfId="0" applyAlignment="1" applyFont="1" applyNumberFormat="1">
      <alignment horizontal="right" readingOrder="0" vertical="bottom"/>
    </xf>
    <xf borderId="0" fillId="0" fontId="63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m.google.android.a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om.google.android.a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om.google.android.a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com.google.android.a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com.google.android.a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com.google.android.a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com.google.android.gm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com.google.android.gm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://com.google.android.gm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com.google.android.gm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com.google.android.gm" TargetMode="External"/><Relationship Id="rId3" Type="http://schemas.openxmlformats.org/officeDocument/2006/relationships/drawing" Target="../drawings/drawing21.xml"/><Relationship Id="rId4" Type="http://schemas.openxmlformats.org/officeDocument/2006/relationships/vmlDrawing" Target="../drawings/vmlDrawing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://com.google.android.gm" TargetMode="External"/><Relationship Id="rId2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8.25"/>
    <col customWidth="1" min="3" max="3" width="40.75"/>
    <col customWidth="1" min="4" max="4" width="30.0"/>
    <col customWidth="1" min="5" max="5" width="29.88"/>
    <col customWidth="1" min="6" max="6" width="30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/>
      <c r="B2" s="5"/>
      <c r="C2" s="5"/>
      <c r="D2" s="4"/>
      <c r="E2" s="4"/>
      <c r="F2" s="4"/>
    </row>
    <row r="3">
      <c r="A3" s="6" t="s">
        <v>6</v>
      </c>
      <c r="C3" s="7"/>
      <c r="D3" s="8"/>
      <c r="E3" s="8"/>
      <c r="F3" s="8"/>
    </row>
    <row r="4">
      <c r="A4" s="9" t="s">
        <v>7</v>
      </c>
      <c r="B4" s="10" t="s">
        <v>7</v>
      </c>
      <c r="C4" s="11" t="s">
        <v>8</v>
      </c>
      <c r="D4" s="12" t="s">
        <v>9</v>
      </c>
      <c r="E4" s="13" t="s">
        <v>10</v>
      </c>
      <c r="F4" s="13" t="s">
        <v>11</v>
      </c>
    </row>
    <row r="5">
      <c r="A5" s="9" t="s">
        <v>12</v>
      </c>
      <c r="B5" s="14" t="s">
        <v>13</v>
      </c>
      <c r="C5" s="11" t="s">
        <v>14</v>
      </c>
      <c r="D5" s="12" t="s">
        <v>15</v>
      </c>
      <c r="E5" s="13" t="s">
        <v>16</v>
      </c>
      <c r="F5" s="12" t="s">
        <v>16</v>
      </c>
    </row>
    <row r="6">
      <c r="A6" s="9" t="s">
        <v>17</v>
      </c>
      <c r="B6" s="10" t="s">
        <v>18</v>
      </c>
      <c r="C6" s="15" t="str">
        <f>HYPERLINK("https://android-cret.corp.google.com/#fusion:id=com.google.android.gms","com.google.android.gms")</f>
        <v>com.google.android.gms</v>
      </c>
      <c r="D6" s="16" t="s">
        <v>19</v>
      </c>
      <c r="E6" s="17" t="s">
        <v>20</v>
      </c>
      <c r="F6" s="16" t="s">
        <v>20</v>
      </c>
    </row>
    <row r="7">
      <c r="A7" s="18" t="s">
        <v>21</v>
      </c>
      <c r="B7" s="18" t="s">
        <v>22</v>
      </c>
      <c r="C7" s="12" t="s">
        <v>23</v>
      </c>
      <c r="D7" s="19" t="s">
        <v>9</v>
      </c>
      <c r="E7" s="20" t="s">
        <v>24</v>
      </c>
      <c r="F7" s="13" t="s">
        <v>25</v>
      </c>
    </row>
    <row r="8">
      <c r="A8" s="9" t="s">
        <v>26</v>
      </c>
      <c r="B8" s="10" t="s">
        <v>27</v>
      </c>
      <c r="C8" s="11" t="s">
        <v>28</v>
      </c>
      <c r="D8" s="12" t="s">
        <v>29</v>
      </c>
      <c r="E8" s="13" t="s">
        <v>30</v>
      </c>
      <c r="F8" s="12" t="s">
        <v>30</v>
      </c>
    </row>
    <row r="9">
      <c r="A9" s="9" t="s">
        <v>31</v>
      </c>
      <c r="B9" s="10" t="s">
        <v>32</v>
      </c>
      <c r="C9" s="11" t="s">
        <v>33</v>
      </c>
      <c r="D9" s="16" t="s">
        <v>34</v>
      </c>
      <c r="E9" s="17" t="s">
        <v>35</v>
      </c>
      <c r="F9" s="16" t="s">
        <v>35</v>
      </c>
    </row>
    <row r="10">
      <c r="A10" s="9" t="s">
        <v>36</v>
      </c>
      <c r="B10" s="10" t="s">
        <v>37</v>
      </c>
      <c r="C10" s="11" t="s">
        <v>38</v>
      </c>
      <c r="D10" s="12" t="s">
        <v>9</v>
      </c>
      <c r="E10" s="13" t="s">
        <v>24</v>
      </c>
      <c r="F10" s="13" t="s">
        <v>25</v>
      </c>
    </row>
    <row r="11">
      <c r="A11" s="9" t="s">
        <v>39</v>
      </c>
      <c r="B11" s="10" t="s">
        <v>40</v>
      </c>
      <c r="C11" s="11" t="s">
        <v>41</v>
      </c>
      <c r="D11" s="12" t="s">
        <v>42</v>
      </c>
      <c r="E11" s="12" t="s">
        <v>42</v>
      </c>
      <c r="F11" s="12" t="s">
        <v>42</v>
      </c>
    </row>
    <row r="12">
      <c r="A12" s="9" t="s">
        <v>43</v>
      </c>
      <c r="B12" s="10" t="s">
        <v>44</v>
      </c>
      <c r="C12" s="11" t="s">
        <v>45</v>
      </c>
      <c r="D12" s="12" t="s">
        <v>46</v>
      </c>
      <c r="E12" s="13" t="s">
        <v>47</v>
      </c>
      <c r="F12" s="12" t="s">
        <v>47</v>
      </c>
    </row>
    <row r="13">
      <c r="A13" s="9" t="s">
        <v>48</v>
      </c>
      <c r="B13" s="10" t="s">
        <v>49</v>
      </c>
      <c r="C13" s="11" t="s">
        <v>50</v>
      </c>
      <c r="D13" s="16" t="s">
        <v>51</v>
      </c>
      <c r="E13" s="17" t="s">
        <v>52</v>
      </c>
      <c r="F13" s="16" t="s">
        <v>52</v>
      </c>
    </row>
    <row r="14">
      <c r="A14" s="9" t="s">
        <v>53</v>
      </c>
      <c r="B14" s="10" t="s">
        <v>54</v>
      </c>
      <c r="C14" s="11" t="s">
        <v>55</v>
      </c>
      <c r="D14" s="16" t="s">
        <v>56</v>
      </c>
      <c r="E14" s="17" t="s">
        <v>57</v>
      </c>
      <c r="F14" s="16" t="s">
        <v>57</v>
      </c>
    </row>
    <row r="15">
      <c r="A15" s="9" t="s">
        <v>58</v>
      </c>
      <c r="B15" s="10" t="s">
        <v>59</v>
      </c>
      <c r="C15" s="11" t="s">
        <v>60</v>
      </c>
      <c r="D15" s="12" t="s">
        <v>61</v>
      </c>
      <c r="E15" s="12" t="s">
        <v>61</v>
      </c>
      <c r="F15" s="12" t="s">
        <v>61</v>
      </c>
    </row>
    <row r="16">
      <c r="A16" s="9" t="s">
        <v>62</v>
      </c>
      <c r="B16" s="10" t="s">
        <v>63</v>
      </c>
      <c r="C16" s="15" t="str">
        <f>HYPERLINK("https://android-cret.corp.google.com/#fusion:id=com.google.android.googlequicksearchbox","com.google.android.googlequicksearchbox")</f>
        <v>com.google.android.googlequicksearchbox</v>
      </c>
      <c r="D16" s="16" t="s">
        <v>64</v>
      </c>
      <c r="E16" s="17" t="s">
        <v>65</v>
      </c>
      <c r="F16" s="16" t="s">
        <v>65</v>
      </c>
    </row>
    <row r="17">
      <c r="A17" s="9" t="s">
        <v>66</v>
      </c>
      <c r="B17" s="10" t="s">
        <v>67</v>
      </c>
      <c r="C17" s="11" t="s">
        <v>68</v>
      </c>
      <c r="D17" s="21" t="s">
        <v>69</v>
      </c>
      <c r="E17" s="22" t="s">
        <v>70</v>
      </c>
      <c r="F17" s="22" t="s">
        <v>71</v>
      </c>
    </row>
    <row r="18">
      <c r="A18" s="9" t="s">
        <v>72</v>
      </c>
      <c r="B18" s="10" t="s">
        <v>73</v>
      </c>
      <c r="C18" s="15" t="s">
        <v>74</v>
      </c>
      <c r="D18" s="16" t="s">
        <v>75</v>
      </c>
      <c r="E18" s="17" t="s">
        <v>76</v>
      </c>
      <c r="F18" s="16" t="s">
        <v>76</v>
      </c>
    </row>
    <row r="19">
      <c r="A19" s="9" t="s">
        <v>77</v>
      </c>
      <c r="B19" s="10" t="s">
        <v>78</v>
      </c>
      <c r="C19" s="23" t="s">
        <v>79</v>
      </c>
      <c r="D19" s="16" t="s">
        <v>80</v>
      </c>
      <c r="E19" s="17" t="s">
        <v>81</v>
      </c>
      <c r="F19" s="16" t="s">
        <v>81</v>
      </c>
    </row>
    <row r="20">
      <c r="A20" s="9" t="s">
        <v>82</v>
      </c>
      <c r="B20" s="10" t="s">
        <v>83</v>
      </c>
      <c r="C20" s="24" t="s">
        <v>84</v>
      </c>
      <c r="D20" s="16" t="s">
        <v>85</v>
      </c>
      <c r="E20" s="17" t="s">
        <v>86</v>
      </c>
      <c r="F20" s="16" t="s">
        <v>86</v>
      </c>
    </row>
    <row r="21">
      <c r="A21" s="9" t="s">
        <v>87</v>
      </c>
      <c r="B21" s="10" t="s">
        <v>88</v>
      </c>
      <c r="C21" s="11" t="s">
        <v>89</v>
      </c>
      <c r="D21" s="12" t="s">
        <v>90</v>
      </c>
      <c r="E21" s="13" t="s">
        <v>91</v>
      </c>
      <c r="F21" s="12" t="s">
        <v>91</v>
      </c>
    </row>
    <row r="22">
      <c r="A22" s="25" t="s">
        <v>92</v>
      </c>
      <c r="B22" s="25" t="s">
        <v>93</v>
      </c>
      <c r="C22" s="26" t="s">
        <v>94</v>
      </c>
      <c r="D22" s="12" t="s">
        <v>95</v>
      </c>
      <c r="E22" s="13" t="s">
        <v>96</v>
      </c>
      <c r="F22" s="12" t="s">
        <v>96</v>
      </c>
    </row>
    <row r="23">
      <c r="A23" s="27" t="s">
        <v>97</v>
      </c>
      <c r="B23" s="28" t="s">
        <v>98</v>
      </c>
      <c r="C23" s="15" t="str">
        <f>HYPERLINK("https://android-cret.corp.google.com/#fusion:id=com.google.android.dialer","com.google.android.dialer")</f>
        <v>com.google.android.dialer</v>
      </c>
      <c r="D23" s="16" t="s">
        <v>99</v>
      </c>
      <c r="E23" s="17" t="s">
        <v>100</v>
      </c>
      <c r="F23" s="16" t="s">
        <v>100</v>
      </c>
    </row>
    <row r="24">
      <c r="A24" s="27" t="s">
        <v>101</v>
      </c>
      <c r="B24" s="28" t="s">
        <v>102</v>
      </c>
      <c r="C24" s="15" t="str">
        <f>HYPERLINK("https://android-cret.corp.google.com/#fusion:id=com.google.android.apps.turbo","com.google.android.apps.turbo")</f>
        <v>com.google.android.apps.turbo</v>
      </c>
      <c r="D24" s="16" t="s">
        <v>103</v>
      </c>
      <c r="E24" s="17" t="s">
        <v>104</v>
      </c>
      <c r="F24" s="16" t="s">
        <v>104</v>
      </c>
    </row>
    <row r="25">
      <c r="A25" s="27" t="s">
        <v>105</v>
      </c>
      <c r="B25" s="28" t="s">
        <v>106</v>
      </c>
      <c r="C25" s="15" t="s">
        <v>107</v>
      </c>
      <c r="D25" s="16" t="s">
        <v>108</v>
      </c>
      <c r="E25" s="17" t="s">
        <v>109</v>
      </c>
      <c r="F25" s="16" t="s">
        <v>109</v>
      </c>
    </row>
    <row r="26">
      <c r="A26" s="29" t="s">
        <v>110</v>
      </c>
      <c r="B26" s="11" t="s">
        <v>111</v>
      </c>
      <c r="C26" s="11" t="s">
        <v>112</v>
      </c>
      <c r="D26" s="12" t="s">
        <v>9</v>
      </c>
      <c r="E26" s="13" t="s">
        <v>24</v>
      </c>
      <c r="F26" s="13" t="s">
        <v>25</v>
      </c>
    </row>
    <row r="27">
      <c r="A27" s="6" t="s">
        <v>113</v>
      </c>
      <c r="C27" s="30"/>
      <c r="D27" s="8"/>
      <c r="E27" s="8"/>
      <c r="F27" s="8"/>
    </row>
    <row r="28">
      <c r="A28" s="9" t="s">
        <v>114</v>
      </c>
      <c r="B28" s="10" t="s">
        <v>114</v>
      </c>
      <c r="C28" s="15" t="str">
        <f>HYPERLINK("https://android-cret.corp.google.com/#fusion:id=com.android.chrome","com.android.chrome")</f>
        <v>com.android.chrome</v>
      </c>
      <c r="D28" s="16" t="s">
        <v>115</v>
      </c>
      <c r="E28" s="17" t="s">
        <v>116</v>
      </c>
      <c r="F28" s="16" t="s">
        <v>116</v>
      </c>
    </row>
    <row r="29">
      <c r="A29" s="9" t="s">
        <v>117</v>
      </c>
      <c r="B29" s="10" t="s">
        <v>117</v>
      </c>
      <c r="C29" s="15" t="str">
        <f>HYPERLINK("https://android-cret.corp.google.com/#fusion:id=com.google.android.apps.docs","com.google.android.apps.docs")</f>
        <v>com.google.android.apps.docs</v>
      </c>
      <c r="D29" s="16" t="s">
        <v>118</v>
      </c>
      <c r="E29" s="17" t="s">
        <v>119</v>
      </c>
      <c r="F29" s="16" t="s">
        <v>119</v>
      </c>
    </row>
    <row r="30">
      <c r="A30" s="9" t="s">
        <v>120</v>
      </c>
      <c r="B30" s="10" t="s">
        <v>120</v>
      </c>
      <c r="C30" s="15" t="str">
        <f>HYPERLINK("https://android-cret.corp.google.com/#fusion:id=com.google.android.apps.tachyon","com.google.android.apps.tachyon")</f>
        <v>com.google.android.apps.tachyon</v>
      </c>
      <c r="D30" s="16" t="s">
        <v>121</v>
      </c>
      <c r="E30" s="31" t="s">
        <v>122</v>
      </c>
      <c r="F30" s="16" t="s">
        <v>122</v>
      </c>
    </row>
    <row r="31">
      <c r="A31" s="9" t="s">
        <v>123</v>
      </c>
      <c r="B31" s="10" t="s">
        <v>124</v>
      </c>
      <c r="C31" s="15" t="str">
        <f>HYPERLINK("https://android-cret.corp.google.com/#fusion:id=com.google.android.gm","com.google.android.gm")</f>
        <v>com.google.android.gm</v>
      </c>
      <c r="D31" s="16" t="s">
        <v>125</v>
      </c>
      <c r="E31" s="17" t="s">
        <v>126</v>
      </c>
      <c r="F31" s="16" t="s">
        <v>126</v>
      </c>
    </row>
    <row r="32">
      <c r="A32" s="9" t="s">
        <v>127</v>
      </c>
      <c r="B32" s="10" t="s">
        <v>128</v>
      </c>
      <c r="C32" s="11" t="s">
        <v>129</v>
      </c>
      <c r="D32" s="12" t="s">
        <v>130</v>
      </c>
      <c r="E32" s="12" t="s">
        <v>130</v>
      </c>
      <c r="F32" s="12" t="s">
        <v>130</v>
      </c>
    </row>
    <row r="33">
      <c r="A33" s="9" t="s">
        <v>131</v>
      </c>
      <c r="B33" s="10" t="s">
        <v>131</v>
      </c>
      <c r="C33" s="15" t="str">
        <f>HYPERLINK("https://android-cret.corp.google.com/#fusion:id=com.google.android.apps.maps","com.google.android.apps.maps")</f>
        <v>com.google.android.apps.maps</v>
      </c>
      <c r="D33" s="16" t="s">
        <v>132</v>
      </c>
      <c r="E33" s="17" t="s">
        <v>133</v>
      </c>
      <c r="F33" s="16" t="s">
        <v>133</v>
      </c>
    </row>
    <row r="34">
      <c r="A34" s="9" t="s">
        <v>134</v>
      </c>
      <c r="B34" s="10" t="s">
        <v>135</v>
      </c>
      <c r="C34" s="15" t="str">
        <f>HYPERLINK("https://android-cret.corp.google.com/#fusion:id=com.google.android.apps.photos","com.google.android.apps.photos")</f>
        <v>com.google.android.apps.photos</v>
      </c>
      <c r="D34" s="16" t="s">
        <v>136</v>
      </c>
      <c r="E34" s="17" t="s">
        <v>137</v>
      </c>
      <c r="F34" s="16" t="s">
        <v>137</v>
      </c>
    </row>
    <row r="35">
      <c r="A35" s="9" t="s">
        <v>138</v>
      </c>
      <c r="B35" s="10" t="s">
        <v>139</v>
      </c>
      <c r="C35" s="15" t="str">
        <f>HYPERLINK("https://android-cret.corp.google.com/#fusion:id=com.google.android.videos","com.google.android.videos")</f>
        <v>com.google.android.videos</v>
      </c>
      <c r="D35" s="16" t="s">
        <v>140</v>
      </c>
      <c r="E35" s="17" t="s">
        <v>141</v>
      </c>
      <c r="F35" s="16" t="s">
        <v>141</v>
      </c>
    </row>
    <row r="36">
      <c r="A36" s="9" t="s">
        <v>142</v>
      </c>
      <c r="B36" s="10" t="s">
        <v>143</v>
      </c>
      <c r="C36" s="15" t="str">
        <f>HYPERLINK("https://android-cret.corp.google.com/#fusion:id=com.google.android.webview","com.google.android.webview")</f>
        <v>com.google.android.webview</v>
      </c>
      <c r="D36" s="16" t="s">
        <v>115</v>
      </c>
      <c r="E36" s="17" t="s">
        <v>116</v>
      </c>
      <c r="F36" s="17" t="s">
        <v>144</v>
      </c>
    </row>
    <row r="37">
      <c r="A37" s="9" t="s">
        <v>145</v>
      </c>
      <c r="B37" s="10" t="s">
        <v>145</v>
      </c>
      <c r="C37" s="15" t="str">
        <f>HYPERLINK("https://android-cret.corp.google.com/#fusion:id=com.google.android.youtube","com.google.android.youtube")</f>
        <v>com.google.android.youtube</v>
      </c>
      <c r="D37" s="16" t="s">
        <v>146</v>
      </c>
      <c r="E37" s="17" t="s">
        <v>147</v>
      </c>
      <c r="F37" s="16" t="s">
        <v>147</v>
      </c>
    </row>
    <row r="38">
      <c r="A38" s="9" t="s">
        <v>148</v>
      </c>
      <c r="B38" s="10" t="s">
        <v>149</v>
      </c>
      <c r="C38" s="11" t="s">
        <v>150</v>
      </c>
      <c r="D38" s="16" t="s">
        <v>151</v>
      </c>
      <c r="E38" s="17" t="s">
        <v>152</v>
      </c>
      <c r="F38" s="16" t="s">
        <v>152</v>
      </c>
    </row>
    <row r="39">
      <c r="A39" s="9" t="s">
        <v>153</v>
      </c>
      <c r="B39" s="10" t="s">
        <v>154</v>
      </c>
      <c r="C39" s="15" t="str">
        <f>HYPERLINK("https://android-cret.corp.google.com/#fusion:id=com.google.android.tts","com.google.android.tts")</f>
        <v>com.google.android.tts</v>
      </c>
      <c r="D39" s="12" t="s">
        <v>155</v>
      </c>
      <c r="E39" s="13" t="s">
        <v>156</v>
      </c>
      <c r="F39" s="12" t="s">
        <v>156</v>
      </c>
    </row>
    <row r="40">
      <c r="A40" s="27" t="s">
        <v>157</v>
      </c>
      <c r="B40" s="28" t="s">
        <v>158</v>
      </c>
      <c r="C40" s="11" t="s">
        <v>159</v>
      </c>
      <c r="D40" s="16" t="s">
        <v>160</v>
      </c>
      <c r="E40" s="17" t="s">
        <v>161</v>
      </c>
      <c r="F40" s="16" t="s">
        <v>161</v>
      </c>
    </row>
    <row r="41">
      <c r="A41" s="27" t="s">
        <v>162</v>
      </c>
      <c r="B41" s="28" t="s">
        <v>163</v>
      </c>
      <c r="C41" s="15" t="str">
        <f>HYPERLINK("https://android-cret.corp.google.com/#fusion:id=com.google.android.calendar","com.google.android.calendar")</f>
        <v>com.google.android.calendar</v>
      </c>
      <c r="D41" s="16" t="s">
        <v>164</v>
      </c>
      <c r="E41" s="17" t="s">
        <v>165</v>
      </c>
      <c r="F41" s="16" t="s">
        <v>165</v>
      </c>
    </row>
    <row r="42">
      <c r="A42" s="27" t="s">
        <v>166</v>
      </c>
      <c r="B42" s="28" t="s">
        <v>167</v>
      </c>
      <c r="C42" s="32" t="s">
        <v>168</v>
      </c>
      <c r="D42" s="16" t="s">
        <v>169</v>
      </c>
      <c r="E42" s="17" t="s">
        <v>170</v>
      </c>
      <c r="F42" s="16" t="s">
        <v>170</v>
      </c>
    </row>
    <row r="43">
      <c r="A43" s="33" t="s">
        <v>171</v>
      </c>
      <c r="B43" s="33" t="s">
        <v>171</v>
      </c>
      <c r="C43" s="34" t="s">
        <v>172</v>
      </c>
      <c r="D43" s="16" t="s">
        <v>173</v>
      </c>
      <c r="E43" s="17" t="s">
        <v>174</v>
      </c>
      <c r="F43" s="16" t="s">
        <v>174</v>
      </c>
    </row>
    <row r="44">
      <c r="A44" s="33" t="s">
        <v>175</v>
      </c>
      <c r="B44" s="33" t="s">
        <v>175</v>
      </c>
      <c r="C44" s="32" t="s">
        <v>176</v>
      </c>
      <c r="D44" s="16" t="s">
        <v>177</v>
      </c>
      <c r="E44" s="17" t="s">
        <v>178</v>
      </c>
      <c r="F44" s="16" t="s">
        <v>178</v>
      </c>
    </row>
    <row r="45">
      <c r="A45" s="33" t="s">
        <v>179</v>
      </c>
      <c r="B45" s="33" t="s">
        <v>180</v>
      </c>
      <c r="C45" s="15" t="str">
        <f>HYPERLINK("https://android-cret.corp.google.com/#fusion:id=com.google.android.deskclock","com.google.android.deskclock")</f>
        <v>com.google.android.deskclock</v>
      </c>
      <c r="D45" s="16" t="s">
        <v>181</v>
      </c>
      <c r="E45" s="17" t="s">
        <v>182</v>
      </c>
      <c r="F45" s="16" t="s">
        <v>182</v>
      </c>
    </row>
    <row r="46">
      <c r="A46" s="33" t="s">
        <v>183</v>
      </c>
      <c r="B46" s="33" t="s">
        <v>184</v>
      </c>
      <c r="C46" s="35" t="s">
        <v>185</v>
      </c>
      <c r="D46" s="16" t="s">
        <v>186</v>
      </c>
      <c r="E46" s="16" t="s">
        <v>186</v>
      </c>
      <c r="F46" s="16" t="s">
        <v>186</v>
      </c>
    </row>
    <row r="47">
      <c r="A47" s="33" t="s">
        <v>187</v>
      </c>
      <c r="B47" s="33" t="s">
        <v>188</v>
      </c>
      <c r="C47" s="15" t="str">
        <f>HYPERLINK("https://android-cret.corp.google.com/#fusion:id=com.google.android.contacts","com.google.android.contacts")</f>
        <v>com.google.android.contacts</v>
      </c>
      <c r="D47" s="16" t="s">
        <v>189</v>
      </c>
      <c r="E47" s="17" t="s">
        <v>190</v>
      </c>
      <c r="F47" s="16" t="s">
        <v>190</v>
      </c>
    </row>
    <row r="48">
      <c r="A48" s="27" t="s">
        <v>191</v>
      </c>
      <c r="B48" s="28" t="s">
        <v>191</v>
      </c>
      <c r="C48" s="15" t="str">
        <f>HYPERLINK("https://android-cret.corp.google.com/#fusion:id=com.google.android.keep","com.google.android.keep")</f>
        <v>com.google.android.keep</v>
      </c>
      <c r="D48" s="16" t="s">
        <v>192</v>
      </c>
      <c r="E48" s="17" t="s">
        <v>193</v>
      </c>
      <c r="F48" s="16" t="s">
        <v>193</v>
      </c>
    </row>
    <row r="49">
      <c r="A49" s="27" t="s">
        <v>194</v>
      </c>
      <c r="B49" s="28" t="s">
        <v>195</v>
      </c>
      <c r="C49" s="15" t="str">
        <f>HYPERLINK("https://android-cret.corp.google.com/#fusion:id=com.google.android.inputmethod.latin","com.google.android.inputmethod.latin")</f>
        <v>com.google.android.inputmethod.latin</v>
      </c>
      <c r="D49" s="16" t="s">
        <v>196</v>
      </c>
      <c r="E49" s="17" t="s">
        <v>197</v>
      </c>
      <c r="F49" s="16" t="s">
        <v>197</v>
      </c>
    </row>
    <row r="50">
      <c r="A50" s="27" t="s">
        <v>198</v>
      </c>
      <c r="B50" s="28" t="s">
        <v>199</v>
      </c>
      <c r="C50" s="15" t="str">
        <f>HYPERLINK("https://android-cret.corp.google.com/#fusion:id=com.google.android.marvin.talkback","com.google.android.marvin.talkback")</f>
        <v>com.google.android.marvin.talkback</v>
      </c>
      <c r="D50" s="16" t="s">
        <v>200</v>
      </c>
      <c r="E50" s="17" t="s">
        <v>201</v>
      </c>
      <c r="F50" s="16" t="s">
        <v>201</v>
      </c>
    </row>
    <row r="51">
      <c r="A51" s="27" t="s">
        <v>202</v>
      </c>
      <c r="B51" s="28" t="s">
        <v>202</v>
      </c>
      <c r="C51" s="15" t="str">
        <f>HYPERLINK("https://android-cret.corp.google.com/#fusion:id=com.google.android.apps.messaging","com.google.android.apps.messaging")</f>
        <v>com.google.android.apps.messaging</v>
      </c>
      <c r="D51" s="12" t="s">
        <v>203</v>
      </c>
      <c r="E51" s="13" t="s">
        <v>204</v>
      </c>
      <c r="F51" s="12" t="s">
        <v>204</v>
      </c>
    </row>
    <row r="52">
      <c r="A52" s="36" t="s">
        <v>205</v>
      </c>
      <c r="B52" s="37" t="s">
        <v>206</v>
      </c>
      <c r="C52" s="37" t="s">
        <v>207</v>
      </c>
      <c r="D52" s="12" t="s">
        <v>169</v>
      </c>
      <c r="E52" s="12" t="s">
        <v>169</v>
      </c>
      <c r="F52" s="12" t="s">
        <v>169</v>
      </c>
    </row>
    <row r="53">
      <c r="A53" s="36" t="s">
        <v>208</v>
      </c>
      <c r="B53" s="37" t="s">
        <v>209</v>
      </c>
      <c r="C53" s="37" t="s">
        <v>210</v>
      </c>
      <c r="D53" s="12" t="s">
        <v>211</v>
      </c>
      <c r="E53" s="12" t="s">
        <v>211</v>
      </c>
      <c r="F53" s="12" t="s">
        <v>211</v>
      </c>
    </row>
    <row r="54">
      <c r="A54" s="38"/>
      <c r="B54" s="39"/>
      <c r="C54" s="39"/>
      <c r="D54" s="12"/>
      <c r="E54" s="12"/>
      <c r="F54" s="12" t="s">
        <v>212</v>
      </c>
    </row>
    <row r="55">
      <c r="A55" s="6" t="s">
        <v>213</v>
      </c>
      <c r="B55" s="39"/>
      <c r="C55" s="30"/>
      <c r="D55" s="8"/>
      <c r="E55" s="8"/>
      <c r="F55" s="8"/>
    </row>
    <row r="56">
      <c r="A56" s="40" t="s">
        <v>214</v>
      </c>
      <c r="B56" s="41" t="s">
        <v>215</v>
      </c>
      <c r="C56" s="15" t="str">
        <f>HYPERLINK("https://android-cret.corp.google.com/#fusion:id=com.google.android.apps.assistant","com.google.android.apps.assistant")</f>
        <v>com.google.android.apps.assistant</v>
      </c>
      <c r="D56" s="16" t="s">
        <v>46</v>
      </c>
      <c r="E56" s="17" t="s">
        <v>216</v>
      </c>
      <c r="F56" s="16" t="s">
        <v>216</v>
      </c>
    </row>
    <row r="57">
      <c r="A57" s="40" t="s">
        <v>217</v>
      </c>
      <c r="B57" s="41" t="s">
        <v>218</v>
      </c>
      <c r="C57" s="15" t="str">
        <f>HYPERLINK("https://android-cret.corp.google.com/#fusion:id=com.google.android.apps.tachyon","com.google.android.apps.tachyon")</f>
        <v>com.google.android.apps.tachyon</v>
      </c>
      <c r="D57" s="16" t="s">
        <v>121</v>
      </c>
      <c r="E57" s="31" t="s">
        <v>122</v>
      </c>
      <c r="F57" s="16" t="s">
        <v>122</v>
      </c>
    </row>
    <row r="58">
      <c r="A58" s="40" t="s">
        <v>219</v>
      </c>
      <c r="B58" s="41" t="s">
        <v>220</v>
      </c>
      <c r="C58" s="15" t="str">
        <f>HYPERLINK("https://android-cret.corp.google.com/#fusion:id=com.google.android.apps.nbu.files","com.google.android.apps.nbu.files")</f>
        <v>com.google.android.apps.nbu.files</v>
      </c>
      <c r="D58" s="12" t="s">
        <v>221</v>
      </c>
      <c r="E58" s="13" t="s">
        <v>222</v>
      </c>
      <c r="F58" s="12" t="s">
        <v>222</v>
      </c>
    </row>
    <row r="59">
      <c r="A59" s="40" t="s">
        <v>223</v>
      </c>
      <c r="B59" s="41" t="s">
        <v>224</v>
      </c>
      <c r="C59" s="15" t="str">
        <f>HYPERLINK("https://android-cret.corp.google.com/#fusion:id=com.google.android.apps.photosgo","com.google.android.apps.photosgo")</f>
        <v>com.google.android.apps.photosgo</v>
      </c>
      <c r="D59" s="12" t="s">
        <v>225</v>
      </c>
      <c r="E59" s="12" t="s">
        <v>225</v>
      </c>
      <c r="F59" s="12" t="s">
        <v>225</v>
      </c>
    </row>
    <row r="60">
      <c r="A60" s="40" t="s">
        <v>226</v>
      </c>
      <c r="B60" s="41" t="s">
        <v>227</v>
      </c>
      <c r="C60" s="15" t="str">
        <f>HYPERLINK("https://android-cret.corp.google.com/#fusion:id=com.google.android.gms","com.google.android.gms")</f>
        <v>com.google.android.gms</v>
      </c>
      <c r="D60" s="16" t="s">
        <v>228</v>
      </c>
      <c r="E60" s="17" t="s">
        <v>20</v>
      </c>
      <c r="F60" s="16" t="s">
        <v>20</v>
      </c>
    </row>
    <row r="61">
      <c r="A61" s="40" t="s">
        <v>229</v>
      </c>
      <c r="B61" s="41" t="s">
        <v>230</v>
      </c>
      <c r="C61" s="15" t="str">
        <f>HYPERLINK("https://android-cret.corp.google.com/#fusion:id=com.google.android.apps.searchlite","com.google.android.apps.searchlite")</f>
        <v>com.google.android.apps.searchlite</v>
      </c>
      <c r="D61" s="16" t="s">
        <v>231</v>
      </c>
      <c r="E61" s="17" t="s">
        <v>232</v>
      </c>
      <c r="F61" s="16" t="s">
        <v>232</v>
      </c>
    </row>
    <row r="62">
      <c r="A62" s="40" t="s">
        <v>233</v>
      </c>
      <c r="B62" s="41" t="s">
        <v>234</v>
      </c>
      <c r="C62" s="15" t="str">
        <f>HYPERLINK("https://android-cret.corp.google.com/#fusion:id=com.google.android.inputmethod.latin","com.google.android.inputmethod.latin")</f>
        <v>com.google.android.inputmethod.latin</v>
      </c>
      <c r="D62" s="16" t="s">
        <v>196</v>
      </c>
      <c r="E62" s="17" t="s">
        <v>197</v>
      </c>
      <c r="F62" s="16" t="s">
        <v>197</v>
      </c>
    </row>
    <row r="63">
      <c r="A63" s="40" t="s">
        <v>235</v>
      </c>
      <c r="B63" s="41" t="s">
        <v>236</v>
      </c>
      <c r="C63" s="15" t="str">
        <f>HYPERLINK("https://android-cret.corp.google.com/#fusion:id=com.google.android.apps.messaging","com.google.android.apps.messaging")</f>
        <v>com.google.android.apps.messaging</v>
      </c>
      <c r="D63" s="16" t="s">
        <v>203</v>
      </c>
      <c r="E63" s="17" t="s">
        <v>204</v>
      </c>
      <c r="F63" s="16" t="s">
        <v>204</v>
      </c>
    </row>
    <row r="64">
      <c r="A64" s="42"/>
      <c r="B64" s="42"/>
      <c r="C64" s="42"/>
      <c r="D64" s="43"/>
      <c r="E64" s="43"/>
      <c r="F64" s="43"/>
    </row>
    <row r="65">
      <c r="A65" s="42"/>
      <c r="B65" s="42"/>
      <c r="C65" s="42"/>
      <c r="D65" s="42"/>
      <c r="E65" s="42"/>
      <c r="F65" s="42"/>
    </row>
    <row r="66">
      <c r="A66" s="42"/>
      <c r="B66" s="42"/>
      <c r="C66" s="42"/>
      <c r="D66" s="43"/>
      <c r="E66" s="43"/>
      <c r="F66" s="43"/>
    </row>
    <row r="67">
      <c r="A67" s="42"/>
      <c r="B67" s="42"/>
      <c r="C67" s="42"/>
      <c r="D67" s="43"/>
      <c r="E67" s="43"/>
      <c r="F67" s="43"/>
    </row>
    <row r="68">
      <c r="A68" s="42"/>
      <c r="B68" s="42"/>
      <c r="C68" s="42"/>
      <c r="D68" s="43"/>
      <c r="E68" s="43"/>
      <c r="F68" s="43"/>
    </row>
    <row r="69">
      <c r="A69" s="42"/>
      <c r="B69" s="42"/>
      <c r="C69" s="42"/>
      <c r="D69" s="43"/>
      <c r="E69" s="43"/>
      <c r="F69" s="43"/>
    </row>
    <row r="70">
      <c r="A70" s="42"/>
      <c r="B70" s="42"/>
      <c r="C70" s="42"/>
      <c r="D70" s="43"/>
      <c r="E70" s="43"/>
      <c r="F70" s="43"/>
    </row>
    <row r="71">
      <c r="A71" s="42"/>
      <c r="B71" s="42"/>
      <c r="C71" s="42"/>
      <c r="D71" s="43"/>
      <c r="E71" s="43"/>
      <c r="F71" s="43"/>
    </row>
    <row r="72">
      <c r="A72" s="42"/>
      <c r="B72" s="42"/>
      <c r="C72" s="42"/>
      <c r="D72" s="43"/>
      <c r="E72" s="43"/>
      <c r="F72" s="43"/>
    </row>
    <row r="73">
      <c r="A73" s="42"/>
      <c r="B73" s="42"/>
      <c r="C73" s="42"/>
      <c r="D73" s="43"/>
      <c r="E73" s="43"/>
      <c r="F73" s="43"/>
    </row>
    <row r="74">
      <c r="A74" s="42"/>
      <c r="B74" s="42"/>
      <c r="C74" s="42"/>
      <c r="D74" s="43"/>
      <c r="E74" s="43"/>
      <c r="F74" s="43"/>
    </row>
    <row r="75">
      <c r="A75" s="42"/>
      <c r="B75" s="42"/>
      <c r="C75" s="42"/>
      <c r="D75" s="43"/>
      <c r="E75" s="43"/>
      <c r="F75" s="43"/>
    </row>
    <row r="76">
      <c r="A76" s="42"/>
      <c r="B76" s="42"/>
      <c r="C76" s="42"/>
      <c r="D76" s="43"/>
      <c r="E76" s="43"/>
      <c r="F76" s="43"/>
    </row>
    <row r="77">
      <c r="A77" s="42"/>
      <c r="B77" s="42"/>
      <c r="C77" s="42"/>
      <c r="D77" s="43"/>
      <c r="E77" s="43"/>
      <c r="F77" s="43"/>
    </row>
    <row r="78">
      <c r="A78" s="42"/>
      <c r="B78" s="42"/>
      <c r="C78" s="42"/>
      <c r="D78" s="43"/>
      <c r="E78" s="43"/>
      <c r="F78" s="43"/>
    </row>
    <row r="79">
      <c r="A79" s="42"/>
      <c r="B79" s="42"/>
      <c r="C79" s="42"/>
      <c r="D79" s="43"/>
      <c r="E79" s="43"/>
      <c r="F79" s="43"/>
    </row>
    <row r="80">
      <c r="A80" s="42"/>
      <c r="B80" s="42"/>
      <c r="C80" s="42"/>
      <c r="D80" s="43"/>
      <c r="E80" s="43"/>
      <c r="F80" s="43"/>
    </row>
    <row r="81">
      <c r="A81" s="42"/>
      <c r="B81" s="42"/>
      <c r="C81" s="42"/>
      <c r="D81" s="43"/>
      <c r="E81" s="43"/>
      <c r="F81" s="43"/>
    </row>
    <row r="82">
      <c r="A82" s="42"/>
      <c r="B82" s="42"/>
      <c r="C82" s="42"/>
      <c r="D82" s="43"/>
      <c r="E82" s="43"/>
      <c r="F82" s="43"/>
    </row>
    <row r="83">
      <c r="A83" s="42"/>
      <c r="B83" s="42"/>
      <c r="C83" s="42"/>
      <c r="D83" s="43"/>
      <c r="E83" s="43"/>
      <c r="F83" s="43"/>
    </row>
    <row r="84">
      <c r="A84" s="42"/>
      <c r="B84" s="42"/>
      <c r="C84" s="42"/>
      <c r="D84" s="43"/>
      <c r="E84" s="43"/>
      <c r="F84" s="43"/>
    </row>
    <row r="85">
      <c r="A85" s="42"/>
      <c r="B85" s="42"/>
      <c r="C85" s="42"/>
      <c r="D85" s="43"/>
      <c r="E85" s="43"/>
      <c r="F85" s="43"/>
    </row>
    <row r="86">
      <c r="A86" s="42"/>
      <c r="B86" s="42"/>
      <c r="C86" s="42"/>
      <c r="D86" s="43"/>
      <c r="E86" s="43"/>
      <c r="F86" s="43"/>
    </row>
    <row r="87">
      <c r="A87" s="42"/>
      <c r="B87" s="42"/>
      <c r="C87" s="42"/>
      <c r="D87" s="43"/>
      <c r="E87" s="43"/>
      <c r="F87" s="43"/>
    </row>
    <row r="88">
      <c r="A88" s="42"/>
      <c r="B88" s="42"/>
      <c r="C88" s="42"/>
      <c r="D88" s="43"/>
      <c r="E88" s="43"/>
      <c r="F88" s="43"/>
    </row>
    <row r="89">
      <c r="A89" s="42"/>
      <c r="B89" s="42"/>
      <c r="C89" s="42"/>
      <c r="D89" s="43"/>
      <c r="E89" s="43"/>
      <c r="F89" s="43"/>
    </row>
    <row r="90">
      <c r="A90" s="42"/>
      <c r="B90" s="42"/>
      <c r="C90" s="42"/>
      <c r="D90" s="43"/>
      <c r="E90" s="43"/>
      <c r="F90" s="43"/>
    </row>
    <row r="91">
      <c r="A91" s="42"/>
      <c r="B91" s="42"/>
      <c r="C91" s="42"/>
      <c r="D91" s="43"/>
      <c r="E91" s="43"/>
      <c r="F91" s="43"/>
    </row>
    <row r="92">
      <c r="A92" s="42"/>
      <c r="B92" s="42"/>
      <c r="C92" s="42"/>
      <c r="D92" s="43"/>
      <c r="E92" s="43"/>
      <c r="F92" s="43"/>
    </row>
    <row r="93">
      <c r="A93" s="42"/>
      <c r="B93" s="42"/>
      <c r="C93" s="42"/>
      <c r="D93" s="43"/>
      <c r="E93" s="43"/>
      <c r="F93" s="43"/>
    </row>
    <row r="94">
      <c r="A94" s="42"/>
      <c r="B94" s="42"/>
      <c r="C94" s="42"/>
      <c r="D94" s="43"/>
      <c r="E94" s="43"/>
      <c r="F94" s="43"/>
    </row>
    <row r="95">
      <c r="A95" s="42"/>
      <c r="B95" s="42"/>
      <c r="C95" s="42"/>
      <c r="D95" s="43"/>
      <c r="E95" s="43"/>
      <c r="F95" s="43"/>
    </row>
    <row r="96">
      <c r="A96" s="42"/>
      <c r="B96" s="42"/>
      <c r="C96" s="42"/>
      <c r="D96" s="43"/>
      <c r="E96" s="43"/>
      <c r="F96" s="43"/>
    </row>
    <row r="97">
      <c r="A97" s="42"/>
      <c r="B97" s="42"/>
      <c r="C97" s="42"/>
      <c r="D97" s="43"/>
      <c r="E97" s="43"/>
      <c r="F97" s="43"/>
    </row>
    <row r="98">
      <c r="A98" s="42"/>
      <c r="B98" s="42"/>
      <c r="C98" s="42"/>
      <c r="D98" s="43"/>
      <c r="E98" s="43"/>
      <c r="F98" s="43"/>
    </row>
    <row r="99">
      <c r="A99" s="42"/>
      <c r="B99" s="42"/>
      <c r="C99" s="42"/>
      <c r="D99" s="43"/>
      <c r="E99" s="43"/>
      <c r="F99" s="43"/>
    </row>
    <row r="100">
      <c r="A100" s="42"/>
      <c r="B100" s="42"/>
      <c r="C100" s="42"/>
      <c r="D100" s="43"/>
      <c r="E100" s="43"/>
      <c r="F100" s="43"/>
    </row>
    <row r="101">
      <c r="A101" s="42"/>
      <c r="B101" s="42"/>
      <c r="C101" s="42"/>
      <c r="D101" s="43"/>
      <c r="E101" s="43"/>
      <c r="F101" s="43"/>
    </row>
    <row r="102">
      <c r="A102" s="42"/>
      <c r="B102" s="42"/>
      <c r="C102" s="42"/>
      <c r="D102" s="43"/>
      <c r="E102" s="43"/>
      <c r="F102" s="43"/>
    </row>
    <row r="103">
      <c r="A103" s="42"/>
      <c r="B103" s="42"/>
      <c r="C103" s="42"/>
      <c r="D103" s="43"/>
      <c r="E103" s="43"/>
      <c r="F103" s="43"/>
    </row>
    <row r="104">
      <c r="A104" s="42"/>
      <c r="B104" s="42"/>
      <c r="C104" s="42"/>
      <c r="D104" s="43"/>
      <c r="E104" s="43"/>
      <c r="F104" s="43"/>
    </row>
    <row r="105">
      <c r="A105" s="42"/>
      <c r="B105" s="42"/>
      <c r="C105" s="42"/>
      <c r="D105" s="43"/>
      <c r="E105" s="43"/>
      <c r="F105" s="43"/>
    </row>
    <row r="106">
      <c r="A106" s="42"/>
      <c r="B106" s="42"/>
      <c r="C106" s="42"/>
      <c r="D106" s="43"/>
      <c r="E106" s="43"/>
      <c r="F106" s="43"/>
    </row>
    <row r="107">
      <c r="A107" s="42"/>
      <c r="B107" s="42"/>
      <c r="C107" s="42"/>
      <c r="D107" s="43"/>
      <c r="E107" s="43"/>
      <c r="F107" s="43"/>
    </row>
    <row r="108">
      <c r="A108" s="42"/>
      <c r="B108" s="42"/>
      <c r="C108" s="42"/>
      <c r="D108" s="43"/>
      <c r="E108" s="43"/>
      <c r="F108" s="43"/>
    </row>
    <row r="109">
      <c r="A109" s="42"/>
      <c r="B109" s="42"/>
      <c r="C109" s="42"/>
      <c r="D109" s="43"/>
      <c r="E109" s="43"/>
      <c r="F109" s="43"/>
    </row>
    <row r="110">
      <c r="A110" s="42"/>
      <c r="B110" s="42"/>
      <c r="C110" s="42"/>
      <c r="D110" s="43"/>
      <c r="E110" s="43"/>
      <c r="F110" s="43"/>
    </row>
    <row r="111">
      <c r="A111" s="42"/>
      <c r="B111" s="42"/>
      <c r="C111" s="42"/>
      <c r="D111" s="43"/>
      <c r="E111" s="43"/>
      <c r="F111" s="43"/>
    </row>
    <row r="112">
      <c r="A112" s="42"/>
      <c r="B112" s="42"/>
      <c r="C112" s="42"/>
      <c r="D112" s="43"/>
      <c r="E112" s="43"/>
      <c r="F112" s="43"/>
    </row>
    <row r="113">
      <c r="A113" s="42"/>
      <c r="B113" s="42"/>
      <c r="C113" s="42"/>
      <c r="D113" s="43"/>
      <c r="E113" s="43"/>
      <c r="F113" s="43"/>
    </row>
    <row r="114">
      <c r="A114" s="42"/>
      <c r="B114" s="42"/>
      <c r="C114" s="42"/>
      <c r="D114" s="43"/>
      <c r="E114" s="43"/>
      <c r="F114" s="43"/>
    </row>
    <row r="115">
      <c r="A115" s="42"/>
      <c r="B115" s="42"/>
      <c r="C115" s="42"/>
      <c r="D115" s="43"/>
      <c r="E115" s="43"/>
      <c r="F115" s="43"/>
    </row>
    <row r="116">
      <c r="A116" s="42"/>
      <c r="B116" s="42"/>
      <c r="C116" s="42"/>
      <c r="D116" s="43"/>
      <c r="E116" s="43"/>
      <c r="F116" s="43"/>
    </row>
    <row r="117">
      <c r="A117" s="42"/>
      <c r="B117" s="42"/>
      <c r="C117" s="42"/>
      <c r="D117" s="43"/>
      <c r="E117" s="43"/>
      <c r="F117" s="43"/>
    </row>
    <row r="118">
      <c r="A118" s="42"/>
      <c r="B118" s="42"/>
      <c r="C118" s="42"/>
      <c r="D118" s="43"/>
      <c r="E118" s="43"/>
      <c r="F118" s="43"/>
    </row>
    <row r="119">
      <c r="A119" s="42"/>
      <c r="B119" s="42"/>
      <c r="C119" s="42"/>
      <c r="D119" s="43"/>
      <c r="E119" s="43"/>
      <c r="F119" s="43"/>
    </row>
    <row r="120">
      <c r="A120" s="42"/>
      <c r="B120" s="42"/>
      <c r="C120" s="42"/>
      <c r="D120" s="43"/>
      <c r="E120" s="43"/>
      <c r="F120" s="43"/>
    </row>
    <row r="121">
      <c r="A121" s="42"/>
      <c r="B121" s="42"/>
      <c r="C121" s="42"/>
      <c r="D121" s="43"/>
      <c r="E121" s="43"/>
      <c r="F121" s="43"/>
    </row>
    <row r="122">
      <c r="A122" s="42"/>
      <c r="B122" s="42"/>
      <c r="C122" s="42"/>
      <c r="D122" s="43"/>
      <c r="E122" s="43"/>
      <c r="F122" s="43"/>
    </row>
    <row r="123">
      <c r="A123" s="42"/>
      <c r="B123" s="42"/>
      <c r="C123" s="42"/>
      <c r="D123" s="43"/>
      <c r="E123" s="43"/>
      <c r="F123" s="43"/>
    </row>
    <row r="124">
      <c r="A124" s="42"/>
      <c r="B124" s="42"/>
      <c r="C124" s="42"/>
      <c r="D124" s="43"/>
      <c r="E124" s="43"/>
      <c r="F124" s="43"/>
    </row>
    <row r="125">
      <c r="A125" s="42"/>
      <c r="B125" s="42"/>
      <c r="C125" s="42"/>
      <c r="D125" s="43"/>
      <c r="E125" s="43"/>
      <c r="F125" s="43"/>
    </row>
    <row r="126">
      <c r="A126" s="42"/>
      <c r="B126" s="42"/>
      <c r="C126" s="42"/>
      <c r="D126" s="43"/>
      <c r="E126" s="43"/>
      <c r="F126" s="43"/>
    </row>
    <row r="127">
      <c r="A127" s="42"/>
      <c r="B127" s="42"/>
      <c r="C127" s="42"/>
      <c r="D127" s="43"/>
      <c r="E127" s="43"/>
      <c r="F127" s="43"/>
    </row>
    <row r="128">
      <c r="A128" s="42"/>
      <c r="B128" s="42"/>
      <c r="C128" s="42"/>
      <c r="D128" s="43"/>
      <c r="E128" s="43"/>
      <c r="F128" s="43"/>
    </row>
    <row r="129">
      <c r="A129" s="42"/>
      <c r="B129" s="42"/>
      <c r="C129" s="42"/>
      <c r="D129" s="43"/>
      <c r="E129" s="43"/>
      <c r="F129" s="43"/>
    </row>
    <row r="130">
      <c r="A130" s="42"/>
      <c r="B130" s="42"/>
      <c r="C130" s="42"/>
      <c r="D130" s="43"/>
      <c r="E130" s="43"/>
      <c r="F130" s="43"/>
    </row>
    <row r="131">
      <c r="A131" s="42"/>
      <c r="B131" s="42"/>
      <c r="C131" s="42"/>
      <c r="D131" s="43"/>
      <c r="E131" s="43"/>
      <c r="F131" s="43"/>
    </row>
    <row r="132">
      <c r="A132" s="42"/>
      <c r="B132" s="42"/>
      <c r="C132" s="42"/>
      <c r="D132" s="43"/>
      <c r="E132" s="43"/>
      <c r="F132" s="43"/>
    </row>
    <row r="133">
      <c r="A133" s="42"/>
      <c r="B133" s="42"/>
      <c r="C133" s="42"/>
      <c r="D133" s="43"/>
      <c r="E133" s="43"/>
      <c r="F133" s="43"/>
    </row>
    <row r="134">
      <c r="A134" s="42"/>
      <c r="B134" s="42"/>
      <c r="C134" s="42"/>
      <c r="D134" s="43"/>
      <c r="E134" s="43"/>
      <c r="F134" s="43"/>
    </row>
    <row r="135">
      <c r="A135" s="42"/>
      <c r="B135" s="42"/>
      <c r="C135" s="42"/>
      <c r="D135" s="43"/>
      <c r="E135" s="43"/>
      <c r="F135" s="43"/>
    </row>
    <row r="136">
      <c r="A136" s="42"/>
      <c r="B136" s="42"/>
      <c r="C136" s="42"/>
      <c r="D136" s="43"/>
      <c r="E136" s="43"/>
      <c r="F136" s="43"/>
    </row>
    <row r="137">
      <c r="A137" s="42"/>
      <c r="B137" s="42"/>
      <c r="C137" s="42"/>
      <c r="D137" s="43"/>
      <c r="E137" s="43"/>
      <c r="F137" s="43"/>
    </row>
    <row r="138">
      <c r="A138" s="42"/>
      <c r="B138" s="42"/>
      <c r="C138" s="42"/>
      <c r="D138" s="43"/>
      <c r="E138" s="43"/>
      <c r="F138" s="43"/>
    </row>
    <row r="139">
      <c r="A139" s="42"/>
      <c r="B139" s="42"/>
      <c r="C139" s="42"/>
      <c r="D139" s="43"/>
      <c r="E139" s="43"/>
      <c r="F139" s="43"/>
    </row>
    <row r="140">
      <c r="A140" s="42"/>
      <c r="B140" s="42"/>
      <c r="C140" s="42"/>
      <c r="D140" s="43"/>
      <c r="E140" s="43"/>
      <c r="F140" s="43"/>
    </row>
    <row r="141">
      <c r="A141" s="42"/>
      <c r="B141" s="42"/>
      <c r="C141" s="42"/>
      <c r="D141" s="43"/>
      <c r="E141" s="43"/>
      <c r="F141" s="43"/>
    </row>
    <row r="142">
      <c r="A142" s="42"/>
      <c r="B142" s="42"/>
      <c r="C142" s="42"/>
      <c r="D142" s="43"/>
      <c r="E142" s="43"/>
      <c r="F142" s="43"/>
    </row>
    <row r="143">
      <c r="A143" s="42"/>
      <c r="B143" s="42"/>
      <c r="C143" s="42"/>
      <c r="D143" s="43"/>
      <c r="E143" s="43"/>
      <c r="F143" s="43"/>
    </row>
    <row r="144">
      <c r="A144" s="42"/>
      <c r="B144" s="42"/>
      <c r="C144" s="42"/>
      <c r="D144" s="43"/>
      <c r="E144" s="43"/>
      <c r="F144" s="43"/>
    </row>
    <row r="145">
      <c r="A145" s="42"/>
      <c r="B145" s="42"/>
      <c r="C145" s="42"/>
      <c r="D145" s="43"/>
      <c r="E145" s="43"/>
      <c r="F145" s="43"/>
    </row>
    <row r="146">
      <c r="A146" s="42"/>
      <c r="B146" s="42"/>
      <c r="C146" s="42"/>
      <c r="D146" s="43"/>
      <c r="E146" s="43"/>
      <c r="F146" s="43"/>
    </row>
    <row r="147">
      <c r="A147" s="42"/>
      <c r="B147" s="42"/>
      <c r="C147" s="42"/>
      <c r="D147" s="43"/>
      <c r="E147" s="43"/>
      <c r="F147" s="43"/>
    </row>
    <row r="148">
      <c r="A148" s="42"/>
      <c r="B148" s="42"/>
      <c r="C148" s="42"/>
      <c r="D148" s="43"/>
      <c r="E148" s="43"/>
      <c r="F148" s="43"/>
    </row>
    <row r="149">
      <c r="A149" s="42"/>
      <c r="B149" s="42"/>
      <c r="C149" s="42"/>
      <c r="D149" s="43"/>
      <c r="E149" s="43"/>
      <c r="F149" s="43"/>
    </row>
    <row r="150">
      <c r="A150" s="42"/>
      <c r="B150" s="42"/>
      <c r="C150" s="42"/>
      <c r="D150" s="43"/>
      <c r="E150" s="43"/>
      <c r="F150" s="43"/>
    </row>
    <row r="151">
      <c r="A151" s="42"/>
      <c r="B151" s="42"/>
      <c r="C151" s="42"/>
      <c r="D151" s="43"/>
      <c r="E151" s="43"/>
      <c r="F151" s="43"/>
    </row>
    <row r="152">
      <c r="A152" s="42"/>
      <c r="B152" s="42"/>
      <c r="C152" s="42"/>
      <c r="D152" s="43"/>
      <c r="E152" s="43"/>
      <c r="F152" s="43"/>
    </row>
    <row r="153">
      <c r="A153" s="42"/>
      <c r="B153" s="42"/>
      <c r="C153" s="42"/>
      <c r="D153" s="43"/>
      <c r="E153" s="43"/>
      <c r="F153" s="43"/>
    </row>
    <row r="154">
      <c r="A154" s="42"/>
      <c r="B154" s="42"/>
      <c r="C154" s="42"/>
      <c r="D154" s="43"/>
      <c r="E154" s="43"/>
      <c r="F154" s="43"/>
    </row>
    <row r="155">
      <c r="A155" s="42"/>
      <c r="B155" s="42"/>
      <c r="C155" s="42"/>
      <c r="D155" s="43"/>
      <c r="E155" s="43"/>
      <c r="F155" s="43"/>
    </row>
    <row r="156">
      <c r="A156" s="42"/>
      <c r="B156" s="42"/>
      <c r="C156" s="42"/>
      <c r="D156" s="43"/>
      <c r="E156" s="43"/>
      <c r="F156" s="43"/>
    </row>
    <row r="157">
      <c r="A157" s="42"/>
      <c r="B157" s="42"/>
      <c r="C157" s="42"/>
      <c r="D157" s="43"/>
      <c r="E157" s="43"/>
      <c r="F157" s="43"/>
    </row>
    <row r="158">
      <c r="A158" s="42"/>
      <c r="B158" s="42"/>
      <c r="C158" s="42"/>
      <c r="D158" s="43"/>
      <c r="E158" s="43"/>
      <c r="F158" s="43"/>
    </row>
    <row r="159">
      <c r="A159" s="42"/>
      <c r="B159" s="42"/>
      <c r="C159" s="42"/>
      <c r="D159" s="43"/>
      <c r="E159" s="43"/>
      <c r="F159" s="43"/>
    </row>
    <row r="160">
      <c r="A160" s="42"/>
      <c r="B160" s="42"/>
      <c r="C160" s="42"/>
      <c r="D160" s="43"/>
      <c r="E160" s="43"/>
      <c r="F160" s="43"/>
    </row>
    <row r="161">
      <c r="A161" s="42"/>
      <c r="B161" s="42"/>
      <c r="C161" s="42"/>
      <c r="D161" s="43"/>
      <c r="E161" s="43"/>
      <c r="F161" s="43"/>
    </row>
    <row r="162">
      <c r="A162" s="42"/>
      <c r="B162" s="42"/>
      <c r="C162" s="42"/>
      <c r="D162" s="43"/>
      <c r="E162" s="43"/>
      <c r="F162" s="43"/>
    </row>
    <row r="163">
      <c r="A163" s="42"/>
      <c r="B163" s="42"/>
      <c r="C163" s="42"/>
      <c r="D163" s="43"/>
      <c r="E163" s="43"/>
      <c r="F163" s="43"/>
    </row>
    <row r="164">
      <c r="A164" s="42"/>
      <c r="B164" s="42"/>
      <c r="C164" s="42"/>
      <c r="D164" s="43"/>
      <c r="E164" s="43"/>
      <c r="F164" s="43"/>
    </row>
    <row r="165">
      <c r="A165" s="42"/>
      <c r="B165" s="42"/>
      <c r="C165" s="42"/>
      <c r="D165" s="43"/>
      <c r="E165" s="43"/>
      <c r="F165" s="43"/>
    </row>
    <row r="166">
      <c r="A166" s="42"/>
      <c r="B166" s="42"/>
      <c r="C166" s="42"/>
      <c r="D166" s="43"/>
      <c r="E166" s="43"/>
      <c r="F166" s="43"/>
    </row>
    <row r="167">
      <c r="A167" s="42"/>
      <c r="B167" s="42"/>
      <c r="C167" s="42"/>
      <c r="D167" s="43"/>
      <c r="E167" s="43"/>
      <c r="F167" s="43"/>
    </row>
    <row r="168">
      <c r="A168" s="42"/>
      <c r="B168" s="42"/>
      <c r="C168" s="42"/>
      <c r="D168" s="43"/>
      <c r="E168" s="43"/>
      <c r="F168" s="43"/>
    </row>
    <row r="169">
      <c r="A169" s="42"/>
      <c r="B169" s="42"/>
      <c r="C169" s="42"/>
      <c r="D169" s="43"/>
      <c r="E169" s="43"/>
      <c r="F169" s="43"/>
    </row>
    <row r="170">
      <c r="A170" s="42"/>
      <c r="B170" s="42"/>
      <c r="C170" s="42"/>
      <c r="D170" s="43"/>
      <c r="E170" s="43"/>
      <c r="F170" s="43"/>
    </row>
    <row r="171">
      <c r="A171" s="42"/>
      <c r="B171" s="42"/>
      <c r="C171" s="42"/>
      <c r="D171" s="43"/>
      <c r="E171" s="43"/>
      <c r="F171" s="43"/>
    </row>
    <row r="172">
      <c r="A172" s="42"/>
      <c r="B172" s="42"/>
      <c r="C172" s="42"/>
      <c r="D172" s="43"/>
      <c r="E172" s="43"/>
      <c r="F172" s="43"/>
    </row>
    <row r="173">
      <c r="A173" s="42"/>
      <c r="B173" s="42"/>
      <c r="C173" s="42"/>
      <c r="D173" s="43"/>
      <c r="E173" s="43"/>
      <c r="F173" s="43"/>
    </row>
    <row r="174">
      <c r="A174" s="42"/>
      <c r="B174" s="42"/>
      <c r="C174" s="42"/>
      <c r="D174" s="43"/>
      <c r="E174" s="43"/>
      <c r="F174" s="43"/>
    </row>
    <row r="175">
      <c r="A175" s="42"/>
      <c r="B175" s="42"/>
      <c r="C175" s="42"/>
      <c r="D175" s="43"/>
      <c r="E175" s="43"/>
      <c r="F175" s="43"/>
    </row>
    <row r="176">
      <c r="A176" s="42"/>
      <c r="B176" s="42"/>
      <c r="C176" s="42"/>
      <c r="D176" s="43"/>
      <c r="E176" s="43"/>
      <c r="F176" s="43"/>
    </row>
    <row r="177">
      <c r="A177" s="42"/>
      <c r="B177" s="42"/>
      <c r="C177" s="42"/>
      <c r="D177" s="43"/>
      <c r="E177" s="43"/>
      <c r="F177" s="43"/>
    </row>
    <row r="178">
      <c r="A178" s="42"/>
      <c r="B178" s="42"/>
      <c r="C178" s="42"/>
      <c r="D178" s="43"/>
      <c r="E178" s="43"/>
      <c r="F178" s="43"/>
    </row>
    <row r="179">
      <c r="A179" s="42"/>
      <c r="B179" s="42"/>
      <c r="C179" s="42"/>
      <c r="D179" s="43"/>
      <c r="E179" s="43"/>
      <c r="F179" s="43"/>
    </row>
    <row r="180">
      <c r="A180" s="42"/>
      <c r="B180" s="42"/>
      <c r="C180" s="42"/>
      <c r="D180" s="43"/>
      <c r="E180" s="43"/>
      <c r="F180" s="43"/>
    </row>
    <row r="181">
      <c r="A181" s="42"/>
      <c r="B181" s="42"/>
      <c r="C181" s="42"/>
      <c r="D181" s="43"/>
      <c r="E181" s="43"/>
      <c r="F181" s="43"/>
    </row>
    <row r="182">
      <c r="A182" s="42"/>
      <c r="B182" s="42"/>
      <c r="C182" s="42"/>
      <c r="D182" s="43"/>
      <c r="E182" s="43"/>
      <c r="F182" s="43"/>
    </row>
    <row r="183">
      <c r="A183" s="42"/>
      <c r="B183" s="42"/>
      <c r="C183" s="42"/>
      <c r="D183" s="43"/>
      <c r="E183" s="43"/>
      <c r="F183" s="43"/>
    </row>
    <row r="184">
      <c r="A184" s="42"/>
      <c r="B184" s="42"/>
      <c r="C184" s="42"/>
      <c r="D184" s="43"/>
      <c r="E184" s="43"/>
      <c r="F184" s="43"/>
    </row>
    <row r="185">
      <c r="A185" s="42"/>
      <c r="B185" s="42"/>
      <c r="C185" s="42"/>
      <c r="D185" s="43"/>
      <c r="E185" s="43"/>
      <c r="F185" s="43"/>
    </row>
    <row r="186">
      <c r="A186" s="42"/>
      <c r="B186" s="42"/>
      <c r="C186" s="42"/>
      <c r="D186" s="43"/>
      <c r="E186" s="43"/>
      <c r="F186" s="43"/>
    </row>
    <row r="187">
      <c r="A187" s="42"/>
      <c r="B187" s="42"/>
      <c r="C187" s="42"/>
      <c r="D187" s="43"/>
      <c r="E187" s="43"/>
      <c r="F187" s="43"/>
    </row>
    <row r="188">
      <c r="A188" s="42"/>
      <c r="B188" s="42"/>
      <c r="C188" s="42"/>
      <c r="D188" s="43"/>
      <c r="E188" s="43"/>
      <c r="F188" s="43"/>
    </row>
    <row r="189">
      <c r="A189" s="42"/>
      <c r="B189" s="42"/>
      <c r="C189" s="42"/>
      <c r="D189" s="43"/>
      <c r="E189" s="43"/>
      <c r="F189" s="43"/>
    </row>
    <row r="190">
      <c r="A190" s="42"/>
      <c r="B190" s="42"/>
      <c r="C190" s="42"/>
      <c r="D190" s="43"/>
      <c r="E190" s="43"/>
      <c r="F190" s="43"/>
    </row>
    <row r="191">
      <c r="A191" s="42"/>
      <c r="B191" s="42"/>
      <c r="C191" s="42"/>
      <c r="D191" s="43"/>
      <c r="E191" s="43"/>
      <c r="F191" s="43"/>
    </row>
    <row r="192">
      <c r="A192" s="42"/>
      <c r="B192" s="42"/>
      <c r="C192" s="42"/>
      <c r="D192" s="43"/>
      <c r="E192" s="43"/>
      <c r="F192" s="43"/>
    </row>
    <row r="193">
      <c r="A193" s="42"/>
      <c r="B193" s="42"/>
      <c r="C193" s="42"/>
      <c r="D193" s="43"/>
      <c r="E193" s="43"/>
      <c r="F193" s="43"/>
    </row>
    <row r="194">
      <c r="A194" s="42"/>
      <c r="B194" s="42"/>
      <c r="C194" s="42"/>
      <c r="D194" s="43"/>
      <c r="E194" s="43"/>
      <c r="F194" s="43"/>
    </row>
    <row r="195">
      <c r="A195" s="42"/>
      <c r="B195" s="42"/>
      <c r="C195" s="42"/>
      <c r="D195" s="43"/>
      <c r="E195" s="43"/>
      <c r="F195" s="43"/>
    </row>
    <row r="196">
      <c r="A196" s="42"/>
      <c r="B196" s="42"/>
      <c r="C196" s="42"/>
      <c r="D196" s="43"/>
      <c r="E196" s="43"/>
      <c r="F196" s="43"/>
    </row>
    <row r="197">
      <c r="A197" s="42"/>
      <c r="B197" s="42"/>
      <c r="C197" s="42"/>
      <c r="D197" s="43"/>
      <c r="E197" s="43"/>
      <c r="F197" s="43"/>
    </row>
    <row r="198">
      <c r="A198" s="42"/>
      <c r="B198" s="42"/>
      <c r="C198" s="42"/>
      <c r="D198" s="43"/>
      <c r="E198" s="43"/>
      <c r="F198" s="43"/>
    </row>
    <row r="199">
      <c r="A199" s="42"/>
      <c r="B199" s="42"/>
      <c r="C199" s="42"/>
      <c r="D199" s="43"/>
      <c r="E199" s="43"/>
      <c r="F199" s="43"/>
    </row>
    <row r="200">
      <c r="A200" s="42"/>
      <c r="B200" s="42"/>
      <c r="C200" s="42"/>
      <c r="D200" s="43"/>
      <c r="E200" s="43"/>
      <c r="F200" s="43"/>
    </row>
    <row r="201">
      <c r="A201" s="42"/>
      <c r="B201" s="42"/>
      <c r="C201" s="42"/>
      <c r="D201" s="43"/>
      <c r="E201" s="43"/>
      <c r="F201" s="43"/>
    </row>
    <row r="202">
      <c r="A202" s="42"/>
      <c r="B202" s="42"/>
      <c r="C202" s="42"/>
      <c r="D202" s="43"/>
      <c r="E202" s="43"/>
      <c r="F202" s="43"/>
    </row>
    <row r="203">
      <c r="A203" s="42"/>
      <c r="B203" s="42"/>
      <c r="C203" s="42"/>
      <c r="D203" s="43"/>
      <c r="E203" s="43"/>
      <c r="F203" s="43"/>
    </row>
    <row r="204">
      <c r="A204" s="42"/>
      <c r="B204" s="42"/>
      <c r="C204" s="42"/>
      <c r="D204" s="43"/>
      <c r="E204" s="43"/>
      <c r="F204" s="43"/>
    </row>
    <row r="205">
      <c r="A205" s="42"/>
      <c r="B205" s="42"/>
      <c r="C205" s="42"/>
      <c r="D205" s="43"/>
      <c r="E205" s="43"/>
      <c r="F205" s="43"/>
    </row>
    <row r="206">
      <c r="A206" s="42"/>
      <c r="B206" s="42"/>
      <c r="C206" s="42"/>
      <c r="D206" s="43"/>
      <c r="E206" s="43"/>
      <c r="F206" s="43"/>
    </row>
    <row r="207">
      <c r="A207" s="42"/>
      <c r="B207" s="42"/>
      <c r="C207" s="42"/>
      <c r="D207" s="43"/>
      <c r="E207" s="43"/>
      <c r="F207" s="43"/>
    </row>
    <row r="208">
      <c r="A208" s="42"/>
      <c r="B208" s="42"/>
      <c r="C208" s="42"/>
      <c r="D208" s="43"/>
      <c r="E208" s="43"/>
      <c r="F208" s="43"/>
    </row>
    <row r="209">
      <c r="A209" s="42"/>
      <c r="B209" s="42"/>
      <c r="C209" s="42"/>
      <c r="D209" s="43"/>
      <c r="E209" s="43"/>
      <c r="F209" s="43"/>
    </row>
    <row r="210">
      <c r="A210" s="42"/>
      <c r="B210" s="42"/>
      <c r="C210" s="42"/>
      <c r="D210" s="43"/>
      <c r="E210" s="43"/>
      <c r="F210" s="43"/>
    </row>
    <row r="211">
      <c r="A211" s="42"/>
      <c r="B211" s="42"/>
      <c r="C211" s="42"/>
      <c r="D211" s="43"/>
      <c r="E211" s="43"/>
      <c r="F211" s="43"/>
    </row>
    <row r="212">
      <c r="A212" s="42"/>
      <c r="B212" s="42"/>
      <c r="C212" s="42"/>
      <c r="D212" s="43"/>
      <c r="E212" s="43"/>
      <c r="F212" s="43"/>
    </row>
    <row r="213">
      <c r="A213" s="42"/>
      <c r="B213" s="42"/>
      <c r="C213" s="42"/>
      <c r="D213" s="43"/>
      <c r="E213" s="43"/>
      <c r="F213" s="43"/>
    </row>
    <row r="214">
      <c r="A214" s="42"/>
      <c r="B214" s="42"/>
      <c r="C214" s="42"/>
      <c r="D214" s="43"/>
      <c r="E214" s="43"/>
      <c r="F214" s="43"/>
    </row>
    <row r="215">
      <c r="A215" s="42"/>
      <c r="B215" s="42"/>
      <c r="C215" s="42"/>
      <c r="D215" s="43"/>
      <c r="E215" s="43"/>
      <c r="F215" s="43"/>
    </row>
    <row r="216">
      <c r="A216" s="42"/>
      <c r="B216" s="42"/>
      <c r="C216" s="42"/>
      <c r="D216" s="43"/>
      <c r="E216" s="43"/>
      <c r="F216" s="43"/>
    </row>
    <row r="217">
      <c r="A217" s="42"/>
      <c r="B217" s="42"/>
      <c r="C217" s="42"/>
      <c r="D217" s="43"/>
      <c r="E217" s="43"/>
      <c r="F217" s="43"/>
    </row>
    <row r="218">
      <c r="A218" s="42"/>
      <c r="B218" s="42"/>
      <c r="C218" s="42"/>
      <c r="D218" s="43"/>
      <c r="E218" s="43"/>
      <c r="F218" s="43"/>
    </row>
    <row r="219">
      <c r="A219" s="42"/>
      <c r="B219" s="42"/>
      <c r="C219" s="42"/>
      <c r="D219" s="43"/>
      <c r="E219" s="43"/>
      <c r="F219" s="43"/>
    </row>
    <row r="220">
      <c r="A220" s="42"/>
      <c r="B220" s="42"/>
      <c r="C220" s="42"/>
      <c r="D220" s="43"/>
      <c r="E220" s="43"/>
      <c r="F220" s="43"/>
    </row>
    <row r="221">
      <c r="A221" s="42"/>
      <c r="B221" s="42"/>
      <c r="C221" s="42"/>
      <c r="D221" s="43"/>
      <c r="E221" s="43"/>
      <c r="F221" s="43"/>
    </row>
    <row r="222">
      <c r="A222" s="42"/>
      <c r="B222" s="42"/>
      <c r="C222" s="42"/>
      <c r="D222" s="43"/>
      <c r="E222" s="43"/>
      <c r="F222" s="43"/>
    </row>
    <row r="223">
      <c r="A223" s="42"/>
      <c r="B223" s="42"/>
      <c r="C223" s="42"/>
      <c r="D223" s="43"/>
      <c r="E223" s="43"/>
      <c r="F223" s="43"/>
    </row>
    <row r="224">
      <c r="A224" s="42"/>
      <c r="B224" s="42"/>
      <c r="C224" s="42"/>
      <c r="D224" s="43"/>
      <c r="E224" s="43"/>
      <c r="F224" s="43"/>
    </row>
    <row r="225">
      <c r="A225" s="42"/>
      <c r="B225" s="42"/>
      <c r="C225" s="42"/>
      <c r="D225" s="43"/>
      <c r="E225" s="43"/>
      <c r="F225" s="43"/>
    </row>
    <row r="226">
      <c r="A226" s="42"/>
      <c r="B226" s="42"/>
      <c r="C226" s="42"/>
      <c r="D226" s="43"/>
      <c r="E226" s="43"/>
      <c r="F226" s="43"/>
    </row>
    <row r="227">
      <c r="A227" s="42"/>
      <c r="B227" s="42"/>
      <c r="C227" s="42"/>
      <c r="D227" s="43"/>
      <c r="E227" s="43"/>
      <c r="F227" s="43"/>
    </row>
    <row r="228">
      <c r="A228" s="42"/>
      <c r="B228" s="42"/>
      <c r="C228" s="42"/>
      <c r="D228" s="43"/>
      <c r="E228" s="43"/>
      <c r="F228" s="43"/>
    </row>
    <row r="229">
      <c r="A229" s="42"/>
      <c r="B229" s="42"/>
      <c r="C229" s="42"/>
      <c r="D229" s="43"/>
      <c r="E229" s="43"/>
      <c r="F229" s="43"/>
    </row>
    <row r="230">
      <c r="A230" s="42"/>
      <c r="B230" s="42"/>
      <c r="C230" s="42"/>
      <c r="D230" s="43"/>
      <c r="E230" s="43"/>
      <c r="F230" s="43"/>
    </row>
    <row r="231">
      <c r="A231" s="42"/>
      <c r="B231" s="42"/>
      <c r="C231" s="42"/>
      <c r="D231" s="43"/>
      <c r="E231" s="43"/>
      <c r="F231" s="43"/>
    </row>
    <row r="232">
      <c r="A232" s="42"/>
      <c r="B232" s="42"/>
      <c r="C232" s="42"/>
      <c r="D232" s="43"/>
      <c r="E232" s="43"/>
      <c r="F232" s="43"/>
    </row>
    <row r="233">
      <c r="A233" s="42"/>
      <c r="B233" s="42"/>
      <c r="C233" s="42"/>
      <c r="D233" s="43"/>
      <c r="E233" s="43"/>
      <c r="F233" s="43"/>
    </row>
    <row r="234">
      <c r="A234" s="42"/>
      <c r="B234" s="42"/>
      <c r="C234" s="42"/>
      <c r="D234" s="43"/>
      <c r="E234" s="43"/>
      <c r="F234" s="43"/>
    </row>
    <row r="235">
      <c r="A235" s="42"/>
      <c r="B235" s="42"/>
      <c r="C235" s="42"/>
      <c r="D235" s="43"/>
      <c r="E235" s="43"/>
      <c r="F235" s="43"/>
    </row>
    <row r="236">
      <c r="A236" s="42"/>
      <c r="B236" s="42"/>
      <c r="C236" s="42"/>
      <c r="D236" s="43"/>
      <c r="E236" s="43"/>
      <c r="F236" s="43"/>
    </row>
    <row r="237">
      <c r="A237" s="42"/>
      <c r="B237" s="42"/>
      <c r="C237" s="42"/>
      <c r="D237" s="43"/>
      <c r="E237" s="43"/>
      <c r="F237" s="43"/>
    </row>
    <row r="238">
      <c r="A238" s="42"/>
      <c r="B238" s="42"/>
      <c r="C238" s="42"/>
      <c r="D238" s="43"/>
      <c r="E238" s="43"/>
      <c r="F238" s="43"/>
    </row>
    <row r="239">
      <c r="A239" s="42"/>
      <c r="B239" s="42"/>
      <c r="C239" s="42"/>
      <c r="D239" s="43"/>
      <c r="E239" s="43"/>
      <c r="F239" s="43"/>
    </row>
    <row r="240">
      <c r="A240" s="42"/>
      <c r="B240" s="42"/>
      <c r="C240" s="42"/>
      <c r="D240" s="43"/>
      <c r="E240" s="43"/>
      <c r="F240" s="43"/>
    </row>
    <row r="241">
      <c r="A241" s="42"/>
      <c r="B241" s="42"/>
      <c r="C241" s="42"/>
      <c r="D241" s="43"/>
      <c r="E241" s="43"/>
      <c r="F241" s="43"/>
    </row>
    <row r="242">
      <c r="A242" s="42"/>
      <c r="B242" s="42"/>
      <c r="C242" s="42"/>
      <c r="D242" s="43"/>
      <c r="E242" s="43"/>
      <c r="F242" s="43"/>
    </row>
    <row r="243">
      <c r="A243" s="42"/>
      <c r="B243" s="42"/>
      <c r="C243" s="42"/>
      <c r="D243" s="43"/>
      <c r="E243" s="43"/>
      <c r="F243" s="43"/>
    </row>
    <row r="244">
      <c r="A244" s="42"/>
      <c r="B244" s="42"/>
      <c r="C244" s="42"/>
      <c r="D244" s="43"/>
      <c r="E244" s="43"/>
      <c r="F244" s="43"/>
    </row>
    <row r="245">
      <c r="A245" s="42"/>
      <c r="B245" s="42"/>
      <c r="C245" s="42"/>
      <c r="D245" s="43"/>
      <c r="E245" s="43"/>
      <c r="F245" s="43"/>
    </row>
    <row r="246">
      <c r="A246" s="42"/>
      <c r="B246" s="42"/>
      <c r="C246" s="42"/>
      <c r="D246" s="43"/>
      <c r="E246" s="43"/>
      <c r="F246" s="43"/>
    </row>
    <row r="247">
      <c r="A247" s="42"/>
      <c r="B247" s="42"/>
      <c r="C247" s="42"/>
      <c r="D247" s="43"/>
      <c r="E247" s="43"/>
      <c r="F247" s="43"/>
    </row>
    <row r="248">
      <c r="A248" s="42"/>
      <c r="B248" s="42"/>
      <c r="C248" s="42"/>
      <c r="D248" s="43"/>
      <c r="E248" s="43"/>
      <c r="F248" s="43"/>
    </row>
    <row r="249">
      <c r="A249" s="42"/>
      <c r="B249" s="42"/>
      <c r="C249" s="42"/>
      <c r="D249" s="43"/>
      <c r="E249" s="43"/>
      <c r="F249" s="43"/>
    </row>
    <row r="250">
      <c r="A250" s="42"/>
      <c r="B250" s="42"/>
      <c r="C250" s="42"/>
      <c r="D250" s="43"/>
      <c r="E250" s="43"/>
      <c r="F250" s="43"/>
    </row>
    <row r="251">
      <c r="A251" s="42"/>
      <c r="B251" s="42"/>
      <c r="C251" s="42"/>
      <c r="D251" s="43"/>
      <c r="E251" s="43"/>
      <c r="F251" s="43"/>
    </row>
    <row r="252">
      <c r="A252" s="42"/>
      <c r="B252" s="42"/>
      <c r="C252" s="42"/>
      <c r="D252" s="43"/>
      <c r="E252" s="43"/>
      <c r="F252" s="43"/>
    </row>
    <row r="253">
      <c r="A253" s="42"/>
      <c r="B253" s="42"/>
      <c r="C253" s="42"/>
      <c r="D253" s="43"/>
      <c r="E253" s="43"/>
      <c r="F253" s="43"/>
    </row>
    <row r="254">
      <c r="A254" s="42"/>
      <c r="B254" s="42"/>
      <c r="C254" s="42"/>
      <c r="D254" s="43"/>
      <c r="E254" s="43"/>
      <c r="F254" s="43"/>
    </row>
    <row r="255">
      <c r="A255" s="42"/>
      <c r="B255" s="42"/>
      <c r="C255" s="42"/>
      <c r="D255" s="43"/>
      <c r="E255" s="43"/>
      <c r="F255" s="43"/>
    </row>
    <row r="256">
      <c r="A256" s="42"/>
      <c r="B256" s="42"/>
      <c r="C256" s="42"/>
      <c r="D256" s="43"/>
      <c r="E256" s="43"/>
      <c r="F256" s="43"/>
    </row>
    <row r="257">
      <c r="A257" s="42"/>
      <c r="B257" s="42"/>
      <c r="C257" s="42"/>
      <c r="D257" s="43"/>
      <c r="E257" s="43"/>
      <c r="F257" s="43"/>
    </row>
    <row r="258">
      <c r="A258" s="42"/>
      <c r="B258" s="42"/>
      <c r="C258" s="42"/>
      <c r="D258" s="43"/>
      <c r="E258" s="43"/>
      <c r="F258" s="43"/>
    </row>
    <row r="259">
      <c r="A259" s="42"/>
      <c r="B259" s="42"/>
      <c r="C259" s="42"/>
      <c r="D259" s="43"/>
      <c r="E259" s="43"/>
      <c r="F259" s="43"/>
    </row>
    <row r="260">
      <c r="A260" s="42"/>
      <c r="B260" s="42"/>
      <c r="C260" s="42"/>
      <c r="D260" s="43"/>
      <c r="E260" s="43"/>
      <c r="F260" s="43"/>
    </row>
    <row r="261">
      <c r="A261" s="42"/>
      <c r="B261" s="42"/>
      <c r="C261" s="42"/>
      <c r="D261" s="43"/>
      <c r="E261" s="43"/>
      <c r="F261" s="43"/>
    </row>
    <row r="262">
      <c r="A262" s="42"/>
      <c r="B262" s="42"/>
      <c r="C262" s="42"/>
      <c r="D262" s="43"/>
      <c r="E262" s="43"/>
      <c r="F262" s="43"/>
    </row>
    <row r="263">
      <c r="A263" s="42"/>
      <c r="B263" s="42"/>
      <c r="C263" s="42"/>
      <c r="D263" s="43"/>
      <c r="E263" s="43"/>
      <c r="F263" s="43"/>
    </row>
    <row r="264">
      <c r="A264" s="42"/>
      <c r="B264" s="42"/>
      <c r="C264" s="42"/>
      <c r="D264" s="43"/>
      <c r="E264" s="43"/>
      <c r="F264" s="43"/>
    </row>
    <row r="265">
      <c r="A265" s="42"/>
      <c r="B265" s="42"/>
      <c r="C265" s="42"/>
      <c r="D265" s="43"/>
      <c r="E265" s="43"/>
      <c r="F265" s="43"/>
    </row>
    <row r="266">
      <c r="A266" s="42"/>
      <c r="B266" s="42"/>
      <c r="C266" s="42"/>
      <c r="D266" s="43"/>
      <c r="E266" s="43"/>
      <c r="F266" s="43"/>
    </row>
    <row r="267">
      <c r="A267" s="42"/>
      <c r="B267" s="42"/>
      <c r="C267" s="42"/>
      <c r="D267" s="43"/>
      <c r="E267" s="43"/>
      <c r="F267" s="43"/>
    </row>
    <row r="268">
      <c r="A268" s="42"/>
      <c r="B268" s="42"/>
      <c r="C268" s="42"/>
      <c r="D268" s="43"/>
      <c r="E268" s="43"/>
      <c r="F268" s="43"/>
    </row>
    <row r="269">
      <c r="A269" s="42"/>
      <c r="B269" s="42"/>
      <c r="C269" s="42"/>
      <c r="D269" s="43"/>
      <c r="E269" s="43"/>
      <c r="F269" s="43"/>
    </row>
    <row r="270">
      <c r="A270" s="42"/>
      <c r="B270" s="42"/>
      <c r="C270" s="42"/>
      <c r="D270" s="43"/>
      <c r="E270" s="43"/>
      <c r="F270" s="43"/>
    </row>
    <row r="271">
      <c r="A271" s="42"/>
      <c r="B271" s="42"/>
      <c r="C271" s="42"/>
      <c r="D271" s="43"/>
      <c r="E271" s="43"/>
      <c r="F271" s="43"/>
    </row>
    <row r="272">
      <c r="A272" s="42"/>
      <c r="B272" s="42"/>
      <c r="C272" s="42"/>
      <c r="D272" s="43"/>
      <c r="E272" s="43"/>
      <c r="F272" s="43"/>
    </row>
    <row r="273">
      <c r="A273" s="42"/>
      <c r="B273" s="42"/>
      <c r="C273" s="42"/>
      <c r="D273" s="43"/>
      <c r="E273" s="43"/>
      <c r="F273" s="43"/>
    </row>
    <row r="274">
      <c r="A274" s="42"/>
      <c r="B274" s="42"/>
      <c r="C274" s="42"/>
      <c r="D274" s="43"/>
      <c r="E274" s="43"/>
      <c r="F274" s="43"/>
    </row>
    <row r="275">
      <c r="A275" s="42"/>
      <c r="B275" s="42"/>
      <c r="C275" s="42"/>
      <c r="D275" s="43"/>
      <c r="E275" s="43"/>
      <c r="F275" s="43"/>
    </row>
    <row r="276">
      <c r="A276" s="42"/>
      <c r="B276" s="42"/>
      <c r="C276" s="42"/>
      <c r="D276" s="43"/>
      <c r="E276" s="43"/>
      <c r="F276" s="43"/>
    </row>
    <row r="277">
      <c r="A277" s="42"/>
      <c r="B277" s="42"/>
      <c r="C277" s="42"/>
      <c r="D277" s="43"/>
      <c r="E277" s="43"/>
      <c r="F277" s="43"/>
    </row>
    <row r="278">
      <c r="A278" s="42"/>
      <c r="B278" s="42"/>
      <c r="C278" s="42"/>
      <c r="D278" s="43"/>
      <c r="E278" s="43"/>
      <c r="F278" s="43"/>
    </row>
    <row r="279">
      <c r="A279" s="42"/>
      <c r="B279" s="42"/>
      <c r="C279" s="42"/>
      <c r="D279" s="43"/>
      <c r="E279" s="43"/>
      <c r="F279" s="43"/>
    </row>
    <row r="280">
      <c r="A280" s="42"/>
      <c r="B280" s="42"/>
      <c r="C280" s="42"/>
      <c r="D280" s="43"/>
      <c r="E280" s="43"/>
      <c r="F280" s="43"/>
    </row>
    <row r="281">
      <c r="A281" s="42"/>
      <c r="B281" s="42"/>
      <c r="C281" s="42"/>
      <c r="D281" s="43"/>
      <c r="E281" s="43"/>
      <c r="F281" s="43"/>
    </row>
    <row r="282">
      <c r="A282" s="42"/>
      <c r="B282" s="42"/>
      <c r="C282" s="42"/>
      <c r="D282" s="43"/>
      <c r="E282" s="43"/>
      <c r="F282" s="43"/>
    </row>
    <row r="283">
      <c r="A283" s="42"/>
      <c r="B283" s="42"/>
      <c r="C283" s="42"/>
      <c r="D283" s="43"/>
      <c r="E283" s="43"/>
      <c r="F283" s="43"/>
    </row>
    <row r="284">
      <c r="A284" s="42"/>
      <c r="B284" s="42"/>
      <c r="C284" s="42"/>
      <c r="D284" s="43"/>
      <c r="E284" s="43"/>
      <c r="F284" s="43"/>
    </row>
    <row r="285">
      <c r="A285" s="42"/>
      <c r="B285" s="42"/>
      <c r="C285" s="42"/>
      <c r="D285" s="43"/>
      <c r="E285" s="43"/>
      <c r="F285" s="43"/>
    </row>
    <row r="286">
      <c r="A286" s="42"/>
      <c r="B286" s="42"/>
      <c r="C286" s="42"/>
      <c r="D286" s="43"/>
      <c r="E286" s="43"/>
      <c r="F286" s="43"/>
    </row>
    <row r="287">
      <c r="A287" s="42"/>
      <c r="B287" s="42"/>
      <c r="C287" s="42"/>
      <c r="D287" s="43"/>
      <c r="E287" s="43"/>
      <c r="F287" s="43"/>
    </row>
    <row r="288">
      <c r="A288" s="42"/>
      <c r="B288" s="42"/>
      <c r="C288" s="42"/>
      <c r="D288" s="43"/>
      <c r="E288" s="43"/>
      <c r="F288" s="43"/>
    </row>
    <row r="289">
      <c r="A289" s="42"/>
      <c r="B289" s="42"/>
      <c r="C289" s="42"/>
      <c r="D289" s="43"/>
      <c r="E289" s="43"/>
      <c r="F289" s="43"/>
    </row>
    <row r="290">
      <c r="A290" s="42"/>
      <c r="B290" s="42"/>
      <c r="C290" s="42"/>
      <c r="D290" s="43"/>
      <c r="E290" s="43"/>
      <c r="F290" s="43"/>
    </row>
    <row r="291">
      <c r="A291" s="42"/>
      <c r="B291" s="42"/>
      <c r="C291" s="42"/>
      <c r="D291" s="43"/>
      <c r="E291" s="43"/>
      <c r="F291" s="43"/>
    </row>
    <row r="292">
      <c r="A292" s="42"/>
      <c r="B292" s="42"/>
      <c r="C292" s="42"/>
      <c r="D292" s="43"/>
      <c r="E292" s="43"/>
      <c r="F292" s="43"/>
    </row>
    <row r="293">
      <c r="A293" s="42"/>
      <c r="B293" s="42"/>
      <c r="C293" s="42"/>
      <c r="D293" s="43"/>
      <c r="E293" s="43"/>
      <c r="F293" s="43"/>
    </row>
    <row r="294">
      <c r="A294" s="42"/>
      <c r="B294" s="42"/>
      <c r="C294" s="42"/>
      <c r="D294" s="43"/>
      <c r="E294" s="43"/>
      <c r="F294" s="43"/>
    </row>
    <row r="295">
      <c r="A295" s="42"/>
      <c r="B295" s="42"/>
      <c r="C295" s="42"/>
      <c r="D295" s="43"/>
      <c r="E295" s="43"/>
      <c r="F295" s="43"/>
    </row>
    <row r="296">
      <c r="A296" s="42"/>
      <c r="B296" s="42"/>
      <c r="C296" s="42"/>
      <c r="D296" s="43"/>
      <c r="E296" s="43"/>
      <c r="F296" s="43"/>
    </row>
    <row r="297">
      <c r="A297" s="42"/>
      <c r="B297" s="42"/>
      <c r="C297" s="42"/>
      <c r="D297" s="43"/>
      <c r="E297" s="43"/>
      <c r="F297" s="43"/>
    </row>
    <row r="298">
      <c r="A298" s="42"/>
      <c r="B298" s="42"/>
      <c r="C298" s="42"/>
      <c r="D298" s="43"/>
      <c r="E298" s="43"/>
      <c r="F298" s="43"/>
    </row>
    <row r="299">
      <c r="A299" s="42"/>
      <c r="B299" s="42"/>
      <c r="C299" s="42"/>
      <c r="D299" s="43"/>
      <c r="E299" s="43"/>
      <c r="F299" s="43"/>
    </row>
    <row r="300">
      <c r="A300" s="42"/>
      <c r="B300" s="42"/>
      <c r="C300" s="42"/>
      <c r="D300" s="43"/>
      <c r="E300" s="43"/>
      <c r="F300" s="43"/>
    </row>
    <row r="301">
      <c r="A301" s="42"/>
      <c r="B301" s="42"/>
      <c r="C301" s="42"/>
      <c r="D301" s="43"/>
      <c r="E301" s="43"/>
      <c r="F301" s="43"/>
    </row>
    <row r="302">
      <c r="A302" s="42"/>
      <c r="B302" s="42"/>
      <c r="C302" s="42"/>
      <c r="D302" s="43"/>
      <c r="E302" s="43"/>
      <c r="F302" s="43"/>
    </row>
    <row r="303">
      <c r="A303" s="42"/>
      <c r="B303" s="42"/>
      <c r="C303" s="42"/>
      <c r="D303" s="43"/>
      <c r="E303" s="43"/>
      <c r="F303" s="43"/>
    </row>
    <row r="304">
      <c r="A304" s="42"/>
      <c r="B304" s="42"/>
      <c r="C304" s="42"/>
      <c r="D304" s="43"/>
      <c r="E304" s="43"/>
      <c r="F304" s="43"/>
    </row>
    <row r="305">
      <c r="A305" s="42"/>
      <c r="B305" s="42"/>
      <c r="C305" s="42"/>
      <c r="D305" s="43"/>
      <c r="E305" s="43"/>
      <c r="F305" s="43"/>
    </row>
    <row r="306">
      <c r="A306" s="42"/>
      <c r="B306" s="42"/>
      <c r="C306" s="42"/>
      <c r="D306" s="43"/>
      <c r="E306" s="43"/>
      <c r="F306" s="43"/>
    </row>
    <row r="307">
      <c r="A307" s="42"/>
      <c r="B307" s="42"/>
      <c r="C307" s="42"/>
      <c r="D307" s="43"/>
      <c r="E307" s="43"/>
      <c r="F307" s="43"/>
    </row>
    <row r="308">
      <c r="A308" s="42"/>
      <c r="B308" s="42"/>
      <c r="C308" s="42"/>
      <c r="D308" s="43"/>
      <c r="E308" s="43"/>
      <c r="F308" s="43"/>
    </row>
    <row r="309">
      <c r="A309" s="42"/>
      <c r="B309" s="42"/>
      <c r="C309" s="42"/>
      <c r="D309" s="43"/>
      <c r="E309" s="43"/>
      <c r="F309" s="43"/>
    </row>
    <row r="310">
      <c r="A310" s="42"/>
      <c r="B310" s="42"/>
      <c r="C310" s="42"/>
      <c r="D310" s="43"/>
      <c r="E310" s="43"/>
      <c r="F310" s="43"/>
    </row>
    <row r="311">
      <c r="A311" s="42"/>
      <c r="B311" s="42"/>
      <c r="C311" s="42"/>
      <c r="D311" s="43"/>
      <c r="E311" s="43"/>
      <c r="F311" s="43"/>
    </row>
    <row r="312">
      <c r="A312" s="42"/>
      <c r="B312" s="42"/>
      <c r="C312" s="42"/>
      <c r="D312" s="43"/>
      <c r="E312" s="43"/>
      <c r="F312" s="43"/>
    </row>
    <row r="313">
      <c r="A313" s="42"/>
      <c r="B313" s="42"/>
      <c r="C313" s="42"/>
      <c r="D313" s="43"/>
      <c r="E313" s="43"/>
      <c r="F313" s="43"/>
    </row>
    <row r="314">
      <c r="A314" s="42"/>
      <c r="B314" s="42"/>
      <c r="C314" s="42"/>
      <c r="D314" s="43"/>
      <c r="E314" s="43"/>
      <c r="F314" s="43"/>
    </row>
    <row r="315">
      <c r="A315" s="42"/>
      <c r="B315" s="42"/>
      <c r="C315" s="42"/>
      <c r="D315" s="43"/>
      <c r="E315" s="43"/>
      <c r="F315" s="43"/>
    </row>
    <row r="316">
      <c r="A316" s="42"/>
      <c r="B316" s="42"/>
      <c r="C316" s="42"/>
      <c r="D316" s="43"/>
      <c r="E316" s="43"/>
      <c r="F316" s="43"/>
    </row>
    <row r="317">
      <c r="A317" s="42"/>
      <c r="B317" s="42"/>
      <c r="C317" s="42"/>
      <c r="D317" s="43"/>
      <c r="E317" s="43"/>
      <c r="F317" s="43"/>
    </row>
    <row r="318">
      <c r="A318" s="42"/>
      <c r="B318" s="42"/>
      <c r="C318" s="42"/>
      <c r="D318" s="43"/>
      <c r="E318" s="43"/>
      <c r="F318" s="43"/>
    </row>
    <row r="319">
      <c r="A319" s="42"/>
      <c r="B319" s="42"/>
      <c r="C319" s="42"/>
      <c r="D319" s="43"/>
      <c r="E319" s="43"/>
      <c r="F319" s="43"/>
    </row>
    <row r="320">
      <c r="A320" s="42"/>
      <c r="B320" s="42"/>
      <c r="C320" s="42"/>
      <c r="D320" s="43"/>
      <c r="E320" s="43"/>
      <c r="F320" s="43"/>
    </row>
    <row r="321">
      <c r="A321" s="42"/>
      <c r="B321" s="42"/>
      <c r="C321" s="42"/>
      <c r="D321" s="43"/>
      <c r="E321" s="43"/>
      <c r="F321" s="43"/>
    </row>
    <row r="322">
      <c r="A322" s="42"/>
      <c r="B322" s="42"/>
      <c r="C322" s="42"/>
      <c r="D322" s="43"/>
      <c r="E322" s="43"/>
      <c r="F322" s="43"/>
    </row>
    <row r="323">
      <c r="A323" s="42"/>
      <c r="B323" s="42"/>
      <c r="C323" s="42"/>
      <c r="D323" s="43"/>
      <c r="E323" s="43"/>
      <c r="F323" s="43"/>
    </row>
    <row r="324">
      <c r="A324" s="42"/>
      <c r="B324" s="42"/>
      <c r="C324" s="42"/>
      <c r="D324" s="43"/>
      <c r="E324" s="43"/>
      <c r="F324" s="43"/>
    </row>
    <row r="325">
      <c r="A325" s="42"/>
      <c r="B325" s="42"/>
      <c r="C325" s="42"/>
      <c r="D325" s="43"/>
      <c r="E325" s="43"/>
      <c r="F325" s="43"/>
    </row>
    <row r="326">
      <c r="A326" s="42"/>
      <c r="B326" s="42"/>
      <c r="C326" s="42"/>
      <c r="D326" s="43"/>
      <c r="E326" s="43"/>
      <c r="F326" s="43"/>
    </row>
    <row r="327">
      <c r="A327" s="42"/>
      <c r="B327" s="42"/>
      <c r="C327" s="42"/>
      <c r="D327" s="43"/>
      <c r="E327" s="43"/>
      <c r="F327" s="43"/>
    </row>
    <row r="328">
      <c r="A328" s="42"/>
      <c r="B328" s="42"/>
      <c r="C328" s="42"/>
      <c r="D328" s="43"/>
      <c r="E328" s="43"/>
      <c r="F328" s="43"/>
    </row>
    <row r="329">
      <c r="A329" s="42"/>
      <c r="B329" s="42"/>
      <c r="C329" s="42"/>
      <c r="D329" s="43"/>
      <c r="E329" s="43"/>
      <c r="F329" s="43"/>
    </row>
    <row r="330">
      <c r="A330" s="42"/>
      <c r="B330" s="42"/>
      <c r="C330" s="42"/>
      <c r="D330" s="43"/>
      <c r="E330" s="43"/>
      <c r="F330" s="43"/>
    </row>
    <row r="331">
      <c r="A331" s="42"/>
      <c r="B331" s="42"/>
      <c r="C331" s="42"/>
      <c r="D331" s="43"/>
      <c r="E331" s="43"/>
      <c r="F331" s="43"/>
    </row>
    <row r="332">
      <c r="A332" s="42"/>
      <c r="B332" s="42"/>
      <c r="C332" s="42"/>
      <c r="D332" s="43"/>
      <c r="E332" s="43"/>
      <c r="F332" s="43"/>
    </row>
    <row r="333">
      <c r="A333" s="42"/>
      <c r="B333" s="42"/>
      <c r="C333" s="42"/>
      <c r="D333" s="43"/>
      <c r="E333" s="43"/>
      <c r="F333" s="43"/>
    </row>
    <row r="334">
      <c r="A334" s="42"/>
      <c r="B334" s="42"/>
      <c r="C334" s="42"/>
      <c r="D334" s="43"/>
      <c r="E334" s="43"/>
      <c r="F334" s="43"/>
    </row>
    <row r="335">
      <c r="A335" s="42"/>
      <c r="B335" s="42"/>
      <c r="C335" s="42"/>
      <c r="D335" s="43"/>
      <c r="E335" s="43"/>
      <c r="F335" s="43"/>
    </row>
    <row r="336">
      <c r="A336" s="42"/>
      <c r="B336" s="42"/>
      <c r="C336" s="42"/>
      <c r="D336" s="43"/>
      <c r="E336" s="43"/>
      <c r="F336" s="43"/>
    </row>
    <row r="337">
      <c r="A337" s="42"/>
      <c r="B337" s="42"/>
      <c r="C337" s="42"/>
      <c r="D337" s="43"/>
      <c r="E337" s="43"/>
      <c r="F337" s="43"/>
    </row>
    <row r="338">
      <c r="A338" s="42"/>
      <c r="B338" s="42"/>
      <c r="C338" s="42"/>
      <c r="D338" s="43"/>
      <c r="E338" s="43"/>
      <c r="F338" s="43"/>
    </row>
    <row r="339">
      <c r="A339" s="42"/>
      <c r="B339" s="42"/>
      <c r="C339" s="42"/>
      <c r="D339" s="43"/>
      <c r="E339" s="43"/>
      <c r="F339" s="43"/>
    </row>
    <row r="340">
      <c r="A340" s="42"/>
      <c r="B340" s="42"/>
      <c r="C340" s="42"/>
      <c r="D340" s="43"/>
      <c r="E340" s="43"/>
      <c r="F340" s="43"/>
    </row>
    <row r="341">
      <c r="A341" s="42"/>
      <c r="B341" s="42"/>
      <c r="C341" s="42"/>
      <c r="D341" s="43"/>
      <c r="E341" s="43"/>
      <c r="F341" s="43"/>
    </row>
    <row r="342">
      <c r="A342" s="42"/>
      <c r="B342" s="42"/>
      <c r="C342" s="42"/>
      <c r="D342" s="43"/>
      <c r="E342" s="43"/>
      <c r="F342" s="43"/>
    </row>
    <row r="343">
      <c r="A343" s="42"/>
      <c r="B343" s="42"/>
      <c r="C343" s="42"/>
      <c r="D343" s="43"/>
      <c r="E343" s="43"/>
      <c r="F343" s="43"/>
    </row>
    <row r="344">
      <c r="A344" s="42"/>
      <c r="B344" s="42"/>
      <c r="C344" s="42"/>
      <c r="D344" s="43"/>
      <c r="E344" s="43"/>
      <c r="F344" s="43"/>
    </row>
    <row r="345">
      <c r="A345" s="42"/>
      <c r="B345" s="42"/>
      <c r="C345" s="42"/>
      <c r="D345" s="43"/>
      <c r="E345" s="43"/>
      <c r="F345" s="43"/>
    </row>
    <row r="346">
      <c r="A346" s="42"/>
      <c r="B346" s="42"/>
      <c r="C346" s="42"/>
      <c r="D346" s="43"/>
      <c r="E346" s="43"/>
      <c r="F346" s="43"/>
    </row>
    <row r="347">
      <c r="A347" s="42"/>
      <c r="B347" s="42"/>
      <c r="C347" s="42"/>
      <c r="D347" s="43"/>
      <c r="E347" s="43"/>
      <c r="F347" s="43"/>
    </row>
    <row r="348">
      <c r="A348" s="42"/>
      <c r="B348" s="42"/>
      <c r="C348" s="42"/>
      <c r="D348" s="43"/>
      <c r="E348" s="43"/>
      <c r="F348" s="43"/>
    </row>
    <row r="349">
      <c r="A349" s="42"/>
      <c r="B349" s="42"/>
      <c r="C349" s="42"/>
      <c r="D349" s="43"/>
      <c r="E349" s="43"/>
      <c r="F349" s="43"/>
    </row>
    <row r="350">
      <c r="A350" s="42"/>
      <c r="B350" s="42"/>
      <c r="C350" s="42"/>
      <c r="D350" s="43"/>
      <c r="E350" s="43"/>
      <c r="F350" s="43"/>
    </row>
    <row r="351">
      <c r="A351" s="42"/>
      <c r="B351" s="42"/>
      <c r="C351" s="42"/>
      <c r="D351" s="43"/>
      <c r="E351" s="43"/>
      <c r="F351" s="43"/>
    </row>
    <row r="352">
      <c r="A352" s="42"/>
      <c r="B352" s="42"/>
      <c r="C352" s="42"/>
      <c r="D352" s="43"/>
      <c r="E352" s="43"/>
      <c r="F352" s="43"/>
    </row>
    <row r="353">
      <c r="A353" s="42"/>
      <c r="B353" s="42"/>
      <c r="C353" s="42"/>
      <c r="D353" s="43"/>
      <c r="E353" s="43"/>
      <c r="F353" s="43"/>
    </row>
    <row r="354">
      <c r="A354" s="42"/>
      <c r="B354" s="42"/>
      <c r="C354" s="42"/>
      <c r="D354" s="43"/>
      <c r="E354" s="43"/>
      <c r="F354" s="43"/>
    </row>
    <row r="355">
      <c r="A355" s="42"/>
      <c r="B355" s="42"/>
      <c r="C355" s="42"/>
      <c r="D355" s="43"/>
      <c r="E355" s="43"/>
      <c r="F355" s="43"/>
    </row>
    <row r="356">
      <c r="A356" s="42"/>
      <c r="B356" s="42"/>
      <c r="C356" s="42"/>
      <c r="D356" s="43"/>
      <c r="E356" s="43"/>
      <c r="F356" s="43"/>
    </row>
    <row r="357">
      <c r="A357" s="42"/>
      <c r="B357" s="42"/>
      <c r="C357" s="42"/>
      <c r="D357" s="43"/>
      <c r="E357" s="43"/>
      <c r="F357" s="43"/>
    </row>
    <row r="358">
      <c r="A358" s="42"/>
      <c r="B358" s="42"/>
      <c r="C358" s="42"/>
      <c r="D358" s="43"/>
      <c r="E358" s="43"/>
      <c r="F358" s="43"/>
    </row>
    <row r="359">
      <c r="A359" s="42"/>
      <c r="B359" s="42"/>
      <c r="C359" s="42"/>
      <c r="D359" s="43"/>
      <c r="E359" s="43"/>
      <c r="F359" s="43"/>
    </row>
    <row r="360">
      <c r="A360" s="42"/>
      <c r="B360" s="42"/>
      <c r="C360" s="42"/>
      <c r="D360" s="43"/>
      <c r="E360" s="43"/>
      <c r="F360" s="43"/>
    </row>
    <row r="361">
      <c r="A361" s="42"/>
      <c r="B361" s="42"/>
      <c r="C361" s="42"/>
      <c r="D361" s="43"/>
      <c r="E361" s="43"/>
      <c r="F361" s="43"/>
    </row>
    <row r="362">
      <c r="A362" s="42"/>
      <c r="B362" s="42"/>
      <c r="C362" s="42"/>
      <c r="D362" s="43"/>
      <c r="E362" s="43"/>
      <c r="F362" s="43"/>
    </row>
    <row r="363">
      <c r="A363" s="42"/>
      <c r="B363" s="42"/>
      <c r="C363" s="42"/>
      <c r="D363" s="43"/>
      <c r="E363" s="43"/>
      <c r="F363" s="43"/>
    </row>
    <row r="364">
      <c r="A364" s="42"/>
      <c r="B364" s="42"/>
      <c r="C364" s="42"/>
      <c r="D364" s="43"/>
      <c r="E364" s="43"/>
      <c r="F364" s="43"/>
    </row>
    <row r="365">
      <c r="A365" s="42"/>
      <c r="B365" s="42"/>
      <c r="C365" s="42"/>
      <c r="D365" s="43"/>
      <c r="E365" s="43"/>
      <c r="F365" s="43"/>
    </row>
    <row r="366">
      <c r="A366" s="42"/>
      <c r="B366" s="42"/>
      <c r="C366" s="42"/>
      <c r="D366" s="43"/>
      <c r="E366" s="43"/>
      <c r="F366" s="43"/>
    </row>
    <row r="367">
      <c r="A367" s="42"/>
      <c r="B367" s="42"/>
      <c r="C367" s="42"/>
      <c r="D367" s="43"/>
      <c r="E367" s="43"/>
      <c r="F367" s="43"/>
    </row>
    <row r="368">
      <c r="A368" s="42"/>
      <c r="B368" s="42"/>
      <c r="C368" s="42"/>
      <c r="D368" s="43"/>
      <c r="E368" s="43"/>
      <c r="F368" s="43"/>
    </row>
    <row r="369">
      <c r="A369" s="42"/>
      <c r="B369" s="42"/>
      <c r="C369" s="42"/>
      <c r="D369" s="43"/>
      <c r="E369" s="43"/>
      <c r="F369" s="43"/>
    </row>
    <row r="370">
      <c r="A370" s="42"/>
      <c r="B370" s="42"/>
      <c r="C370" s="42"/>
      <c r="D370" s="43"/>
      <c r="E370" s="43"/>
      <c r="F370" s="43"/>
    </row>
    <row r="371">
      <c r="A371" s="42"/>
      <c r="B371" s="42"/>
      <c r="C371" s="42"/>
      <c r="D371" s="43"/>
      <c r="E371" s="43"/>
      <c r="F371" s="43"/>
    </row>
    <row r="372">
      <c r="A372" s="42"/>
      <c r="B372" s="42"/>
      <c r="C372" s="42"/>
      <c r="D372" s="43"/>
      <c r="E372" s="43"/>
      <c r="F372" s="43"/>
    </row>
    <row r="373">
      <c r="A373" s="42"/>
      <c r="B373" s="42"/>
      <c r="C373" s="42"/>
      <c r="D373" s="43"/>
      <c r="E373" s="43"/>
      <c r="F373" s="43"/>
    </row>
    <row r="374">
      <c r="A374" s="42"/>
      <c r="B374" s="42"/>
      <c r="C374" s="42"/>
      <c r="D374" s="43"/>
      <c r="E374" s="43"/>
      <c r="F374" s="43"/>
    </row>
    <row r="375">
      <c r="A375" s="42"/>
      <c r="B375" s="42"/>
      <c r="C375" s="42"/>
      <c r="D375" s="43"/>
      <c r="E375" s="43"/>
      <c r="F375" s="43"/>
    </row>
    <row r="376">
      <c r="A376" s="42"/>
      <c r="B376" s="42"/>
      <c r="C376" s="42"/>
      <c r="D376" s="43"/>
      <c r="E376" s="43"/>
      <c r="F376" s="43"/>
    </row>
    <row r="377">
      <c r="A377" s="42"/>
      <c r="B377" s="42"/>
      <c r="C377" s="42"/>
      <c r="D377" s="43"/>
      <c r="E377" s="43"/>
      <c r="F377" s="43"/>
    </row>
    <row r="378">
      <c r="A378" s="42"/>
      <c r="B378" s="42"/>
      <c r="C378" s="42"/>
      <c r="D378" s="43"/>
      <c r="E378" s="43"/>
      <c r="F378" s="43"/>
    </row>
    <row r="379">
      <c r="A379" s="42"/>
      <c r="B379" s="42"/>
      <c r="C379" s="42"/>
      <c r="D379" s="43"/>
      <c r="E379" s="43"/>
      <c r="F379" s="43"/>
    </row>
    <row r="380">
      <c r="A380" s="42"/>
      <c r="B380" s="42"/>
      <c r="C380" s="42"/>
      <c r="D380" s="43"/>
      <c r="E380" s="43"/>
      <c r="F380" s="43"/>
    </row>
    <row r="381">
      <c r="A381" s="42"/>
      <c r="B381" s="42"/>
      <c r="C381" s="42"/>
      <c r="D381" s="43"/>
      <c r="E381" s="43"/>
      <c r="F381" s="43"/>
    </row>
    <row r="382">
      <c r="A382" s="42"/>
      <c r="B382" s="42"/>
      <c r="C382" s="42"/>
      <c r="D382" s="43"/>
      <c r="E382" s="43"/>
      <c r="F382" s="43"/>
    </row>
    <row r="383">
      <c r="A383" s="42"/>
      <c r="B383" s="42"/>
      <c r="C383" s="42"/>
      <c r="D383" s="43"/>
      <c r="E383" s="43"/>
      <c r="F383" s="43"/>
    </row>
    <row r="384">
      <c r="A384" s="42"/>
      <c r="B384" s="42"/>
      <c r="C384" s="42"/>
      <c r="D384" s="43"/>
      <c r="E384" s="43"/>
      <c r="F384" s="43"/>
    </row>
    <row r="385">
      <c r="A385" s="42"/>
      <c r="B385" s="42"/>
      <c r="C385" s="42"/>
      <c r="D385" s="43"/>
      <c r="E385" s="43"/>
      <c r="F385" s="43"/>
    </row>
    <row r="386">
      <c r="A386" s="42"/>
      <c r="B386" s="42"/>
      <c r="C386" s="42"/>
      <c r="D386" s="43"/>
      <c r="E386" s="43"/>
      <c r="F386" s="43"/>
    </row>
    <row r="387">
      <c r="A387" s="42"/>
      <c r="B387" s="42"/>
      <c r="C387" s="42"/>
      <c r="D387" s="43"/>
      <c r="E387" s="43"/>
      <c r="F387" s="43"/>
    </row>
    <row r="388">
      <c r="A388" s="42"/>
      <c r="B388" s="42"/>
      <c r="C388" s="42"/>
      <c r="D388" s="43"/>
      <c r="E388" s="43"/>
      <c r="F388" s="43"/>
    </row>
    <row r="389">
      <c r="A389" s="42"/>
      <c r="B389" s="42"/>
      <c r="C389" s="42"/>
      <c r="D389" s="43"/>
      <c r="E389" s="43"/>
      <c r="F389" s="43"/>
    </row>
    <row r="390">
      <c r="A390" s="42"/>
      <c r="B390" s="42"/>
      <c r="C390" s="42"/>
      <c r="D390" s="43"/>
      <c r="E390" s="43"/>
      <c r="F390" s="43"/>
    </row>
    <row r="391">
      <c r="A391" s="42"/>
      <c r="B391" s="42"/>
      <c r="C391" s="42"/>
      <c r="D391" s="43"/>
      <c r="E391" s="43"/>
      <c r="F391" s="43"/>
    </row>
    <row r="392">
      <c r="A392" s="42"/>
      <c r="B392" s="42"/>
      <c r="C392" s="42"/>
      <c r="D392" s="43"/>
      <c r="E392" s="43"/>
      <c r="F392" s="43"/>
    </row>
    <row r="393">
      <c r="A393" s="42"/>
      <c r="B393" s="42"/>
      <c r="C393" s="42"/>
      <c r="D393" s="43"/>
      <c r="E393" s="43"/>
      <c r="F393" s="43"/>
    </row>
    <row r="394">
      <c r="A394" s="42"/>
      <c r="B394" s="42"/>
      <c r="C394" s="42"/>
      <c r="D394" s="43"/>
      <c r="E394" s="43"/>
      <c r="F394" s="43"/>
    </row>
    <row r="395">
      <c r="A395" s="42"/>
      <c r="B395" s="42"/>
      <c r="C395" s="42"/>
      <c r="D395" s="43"/>
      <c r="E395" s="43"/>
      <c r="F395" s="43"/>
    </row>
    <row r="396">
      <c r="A396" s="42"/>
      <c r="B396" s="42"/>
      <c r="C396" s="42"/>
      <c r="D396" s="43"/>
      <c r="E396" s="43"/>
      <c r="F396" s="43"/>
    </row>
    <row r="397">
      <c r="A397" s="42"/>
      <c r="B397" s="42"/>
      <c r="C397" s="42"/>
      <c r="D397" s="43"/>
      <c r="E397" s="43"/>
      <c r="F397" s="43"/>
    </row>
    <row r="398">
      <c r="A398" s="42"/>
      <c r="B398" s="42"/>
      <c r="C398" s="42"/>
      <c r="D398" s="43"/>
      <c r="E398" s="43"/>
      <c r="F398" s="43"/>
    </row>
    <row r="399">
      <c r="A399" s="42"/>
      <c r="B399" s="42"/>
      <c r="C399" s="42"/>
      <c r="D399" s="43"/>
      <c r="E399" s="43"/>
      <c r="F399" s="43"/>
    </row>
    <row r="400">
      <c r="A400" s="42"/>
      <c r="B400" s="42"/>
      <c r="C400" s="42"/>
      <c r="D400" s="43"/>
      <c r="E400" s="43"/>
      <c r="F400" s="43"/>
    </row>
    <row r="401">
      <c r="A401" s="42"/>
      <c r="B401" s="42"/>
      <c r="C401" s="42"/>
      <c r="D401" s="43"/>
      <c r="E401" s="43"/>
      <c r="F401" s="43"/>
    </row>
    <row r="402">
      <c r="A402" s="42"/>
      <c r="B402" s="42"/>
      <c r="C402" s="42"/>
      <c r="D402" s="43"/>
      <c r="E402" s="43"/>
      <c r="F402" s="43"/>
    </row>
    <row r="403">
      <c r="A403" s="42"/>
      <c r="B403" s="42"/>
      <c r="C403" s="42"/>
      <c r="D403" s="43"/>
      <c r="E403" s="43"/>
      <c r="F403" s="43"/>
    </row>
    <row r="404">
      <c r="A404" s="42"/>
      <c r="B404" s="42"/>
      <c r="C404" s="42"/>
      <c r="D404" s="43"/>
      <c r="E404" s="43"/>
      <c r="F404" s="43"/>
    </row>
    <row r="405">
      <c r="A405" s="42"/>
      <c r="B405" s="42"/>
      <c r="C405" s="42"/>
      <c r="D405" s="43"/>
      <c r="E405" s="43"/>
      <c r="F405" s="43"/>
    </row>
    <row r="406">
      <c r="A406" s="42"/>
      <c r="B406" s="42"/>
      <c r="C406" s="42"/>
      <c r="D406" s="43"/>
      <c r="E406" s="43"/>
      <c r="F406" s="43"/>
    </row>
    <row r="407">
      <c r="A407" s="42"/>
      <c r="B407" s="42"/>
      <c r="C407" s="42"/>
      <c r="D407" s="43"/>
      <c r="E407" s="43"/>
      <c r="F407" s="43"/>
    </row>
    <row r="408">
      <c r="A408" s="42"/>
      <c r="B408" s="42"/>
      <c r="C408" s="42"/>
      <c r="D408" s="43"/>
      <c r="E408" s="43"/>
      <c r="F408" s="43"/>
    </row>
    <row r="409">
      <c r="A409" s="42"/>
      <c r="B409" s="42"/>
      <c r="C409" s="42"/>
      <c r="D409" s="43"/>
      <c r="E409" s="43"/>
      <c r="F409" s="43"/>
    </row>
    <row r="410">
      <c r="A410" s="42"/>
      <c r="B410" s="42"/>
      <c r="C410" s="42"/>
      <c r="D410" s="43"/>
      <c r="E410" s="43"/>
      <c r="F410" s="43"/>
    </row>
    <row r="411">
      <c r="A411" s="42"/>
      <c r="B411" s="42"/>
      <c r="C411" s="42"/>
      <c r="D411" s="43"/>
      <c r="E411" s="43"/>
      <c r="F411" s="43"/>
    </row>
    <row r="412">
      <c r="A412" s="42"/>
      <c r="B412" s="42"/>
      <c r="C412" s="42"/>
      <c r="D412" s="43"/>
      <c r="E412" s="43"/>
      <c r="F412" s="43"/>
    </row>
    <row r="413">
      <c r="A413" s="42"/>
      <c r="B413" s="42"/>
      <c r="C413" s="42"/>
      <c r="D413" s="43"/>
      <c r="E413" s="43"/>
      <c r="F413" s="43"/>
    </row>
    <row r="414">
      <c r="A414" s="42"/>
      <c r="B414" s="42"/>
      <c r="C414" s="42"/>
      <c r="D414" s="43"/>
      <c r="E414" s="43"/>
      <c r="F414" s="43"/>
    </row>
    <row r="415">
      <c r="A415" s="42"/>
      <c r="B415" s="42"/>
      <c r="C415" s="42"/>
      <c r="D415" s="43"/>
      <c r="E415" s="43"/>
      <c r="F415" s="43"/>
    </row>
    <row r="416">
      <c r="A416" s="42"/>
      <c r="B416" s="42"/>
      <c r="C416" s="42"/>
      <c r="D416" s="43"/>
      <c r="E416" s="43"/>
      <c r="F416" s="43"/>
    </row>
    <row r="417">
      <c r="A417" s="42"/>
      <c r="B417" s="42"/>
      <c r="C417" s="42"/>
      <c r="D417" s="43"/>
      <c r="E417" s="43"/>
      <c r="F417" s="43"/>
    </row>
    <row r="418">
      <c r="A418" s="42"/>
      <c r="B418" s="42"/>
      <c r="C418" s="42"/>
      <c r="D418" s="43"/>
      <c r="E418" s="43"/>
      <c r="F418" s="43"/>
    </row>
    <row r="419">
      <c r="A419" s="42"/>
      <c r="B419" s="42"/>
      <c r="C419" s="42"/>
      <c r="D419" s="43"/>
      <c r="E419" s="43"/>
      <c r="F419" s="43"/>
    </row>
    <row r="420">
      <c r="A420" s="42"/>
      <c r="B420" s="42"/>
      <c r="C420" s="42"/>
      <c r="D420" s="43"/>
      <c r="E420" s="43"/>
      <c r="F420" s="43"/>
    </row>
    <row r="421">
      <c r="A421" s="42"/>
      <c r="B421" s="42"/>
      <c r="C421" s="42"/>
      <c r="D421" s="43"/>
      <c r="E421" s="43"/>
      <c r="F421" s="43"/>
    </row>
    <row r="422">
      <c r="A422" s="42"/>
      <c r="B422" s="42"/>
      <c r="C422" s="42"/>
      <c r="D422" s="43"/>
      <c r="E422" s="43"/>
      <c r="F422" s="43"/>
    </row>
    <row r="423">
      <c r="A423" s="42"/>
      <c r="B423" s="42"/>
      <c r="C423" s="42"/>
      <c r="D423" s="43"/>
      <c r="E423" s="43"/>
      <c r="F423" s="43"/>
    </row>
    <row r="424">
      <c r="A424" s="42"/>
      <c r="B424" s="42"/>
      <c r="C424" s="42"/>
      <c r="D424" s="43"/>
      <c r="E424" s="43"/>
      <c r="F424" s="43"/>
    </row>
    <row r="425">
      <c r="A425" s="42"/>
      <c r="B425" s="42"/>
      <c r="C425" s="42"/>
      <c r="D425" s="43"/>
      <c r="E425" s="43"/>
      <c r="F425" s="43"/>
    </row>
    <row r="426">
      <c r="A426" s="42"/>
      <c r="B426" s="42"/>
      <c r="C426" s="42"/>
      <c r="D426" s="43"/>
      <c r="E426" s="43"/>
      <c r="F426" s="43"/>
    </row>
    <row r="427">
      <c r="A427" s="42"/>
      <c r="B427" s="42"/>
      <c r="C427" s="42"/>
      <c r="D427" s="43"/>
      <c r="E427" s="43"/>
      <c r="F427" s="43"/>
    </row>
    <row r="428">
      <c r="A428" s="42"/>
      <c r="B428" s="42"/>
      <c r="C428" s="42"/>
      <c r="D428" s="43"/>
      <c r="E428" s="43"/>
      <c r="F428" s="43"/>
    </row>
    <row r="429">
      <c r="A429" s="42"/>
      <c r="B429" s="42"/>
      <c r="C429" s="42"/>
      <c r="D429" s="43"/>
      <c r="E429" s="43"/>
      <c r="F429" s="43"/>
    </row>
    <row r="430">
      <c r="A430" s="42"/>
      <c r="B430" s="42"/>
      <c r="C430" s="42"/>
      <c r="D430" s="43"/>
      <c r="E430" s="43"/>
      <c r="F430" s="43"/>
    </row>
    <row r="431">
      <c r="A431" s="42"/>
      <c r="B431" s="42"/>
      <c r="C431" s="42"/>
      <c r="D431" s="43"/>
      <c r="E431" s="43"/>
      <c r="F431" s="43"/>
    </row>
    <row r="432">
      <c r="A432" s="42"/>
      <c r="B432" s="42"/>
      <c r="C432" s="42"/>
      <c r="D432" s="43"/>
      <c r="E432" s="43"/>
      <c r="F432" s="43"/>
    </row>
    <row r="433">
      <c r="A433" s="42"/>
      <c r="B433" s="42"/>
      <c r="C433" s="42"/>
      <c r="D433" s="43"/>
      <c r="E433" s="43"/>
      <c r="F433" s="43"/>
    </row>
    <row r="434">
      <c r="A434" s="42"/>
      <c r="B434" s="42"/>
      <c r="C434" s="42"/>
      <c r="D434" s="43"/>
      <c r="E434" s="43"/>
      <c r="F434" s="43"/>
    </row>
    <row r="435">
      <c r="A435" s="42"/>
      <c r="B435" s="42"/>
      <c r="C435" s="42"/>
      <c r="D435" s="43"/>
      <c r="E435" s="43"/>
      <c r="F435" s="43"/>
    </row>
    <row r="436">
      <c r="A436" s="42"/>
      <c r="B436" s="42"/>
      <c r="C436" s="42"/>
      <c r="D436" s="43"/>
      <c r="E436" s="43"/>
      <c r="F436" s="43"/>
    </row>
    <row r="437">
      <c r="A437" s="42"/>
      <c r="B437" s="42"/>
      <c r="C437" s="42"/>
      <c r="D437" s="43"/>
      <c r="E437" s="43"/>
      <c r="F437" s="43"/>
    </row>
    <row r="438">
      <c r="A438" s="42"/>
      <c r="B438" s="42"/>
      <c r="C438" s="42"/>
      <c r="D438" s="43"/>
      <c r="E438" s="43"/>
      <c r="F438" s="43"/>
    </row>
    <row r="439">
      <c r="A439" s="42"/>
      <c r="B439" s="42"/>
      <c r="C439" s="42"/>
      <c r="D439" s="43"/>
      <c r="E439" s="43"/>
      <c r="F439" s="43"/>
    </row>
    <row r="440">
      <c r="A440" s="42"/>
      <c r="B440" s="42"/>
      <c r="C440" s="42"/>
      <c r="D440" s="43"/>
      <c r="E440" s="43"/>
      <c r="F440" s="43"/>
    </row>
    <row r="441">
      <c r="A441" s="42"/>
      <c r="B441" s="42"/>
      <c r="C441" s="42"/>
      <c r="D441" s="43"/>
      <c r="E441" s="43"/>
      <c r="F441" s="43"/>
    </row>
    <row r="442">
      <c r="A442" s="42"/>
      <c r="B442" s="42"/>
      <c r="C442" s="42"/>
      <c r="D442" s="43"/>
      <c r="E442" s="43"/>
      <c r="F442" s="43"/>
    </row>
    <row r="443">
      <c r="A443" s="42"/>
      <c r="B443" s="42"/>
      <c r="C443" s="42"/>
      <c r="D443" s="43"/>
      <c r="E443" s="43"/>
      <c r="F443" s="43"/>
    </row>
    <row r="444">
      <c r="A444" s="42"/>
      <c r="B444" s="42"/>
      <c r="C444" s="42"/>
      <c r="D444" s="43"/>
      <c r="E444" s="43"/>
      <c r="F444" s="43"/>
    </row>
    <row r="445">
      <c r="A445" s="42"/>
      <c r="B445" s="42"/>
      <c r="C445" s="42"/>
      <c r="D445" s="43"/>
      <c r="E445" s="43"/>
      <c r="F445" s="43"/>
    </row>
    <row r="446">
      <c r="A446" s="42"/>
      <c r="B446" s="42"/>
      <c r="C446" s="42"/>
      <c r="D446" s="43"/>
      <c r="E446" s="43"/>
      <c r="F446" s="43"/>
    </row>
    <row r="447">
      <c r="A447" s="42"/>
      <c r="B447" s="42"/>
      <c r="C447" s="42"/>
      <c r="D447" s="43"/>
      <c r="E447" s="43"/>
      <c r="F447" s="43"/>
    </row>
    <row r="448">
      <c r="A448" s="42"/>
      <c r="B448" s="42"/>
      <c r="C448" s="42"/>
      <c r="D448" s="43"/>
      <c r="E448" s="43"/>
      <c r="F448" s="43"/>
    </row>
    <row r="449">
      <c r="A449" s="42"/>
      <c r="B449" s="42"/>
      <c r="C449" s="42"/>
      <c r="D449" s="43"/>
      <c r="E449" s="43"/>
      <c r="F449" s="43"/>
    </row>
    <row r="450">
      <c r="A450" s="42"/>
      <c r="B450" s="42"/>
      <c r="C450" s="42"/>
      <c r="D450" s="43"/>
      <c r="E450" s="43"/>
      <c r="F450" s="43"/>
    </row>
    <row r="451">
      <c r="A451" s="42"/>
      <c r="B451" s="42"/>
      <c r="C451" s="42"/>
      <c r="D451" s="43"/>
      <c r="E451" s="43"/>
      <c r="F451" s="43"/>
    </row>
    <row r="452">
      <c r="A452" s="42"/>
      <c r="B452" s="42"/>
      <c r="C452" s="42"/>
      <c r="D452" s="43"/>
      <c r="E452" s="43"/>
      <c r="F452" s="43"/>
    </row>
    <row r="453">
      <c r="A453" s="42"/>
      <c r="B453" s="42"/>
      <c r="C453" s="42"/>
      <c r="D453" s="43"/>
      <c r="E453" s="43"/>
      <c r="F453" s="43"/>
    </row>
    <row r="454">
      <c r="A454" s="42"/>
      <c r="B454" s="42"/>
      <c r="C454" s="42"/>
      <c r="D454" s="43"/>
      <c r="E454" s="43"/>
      <c r="F454" s="43"/>
    </row>
    <row r="455">
      <c r="A455" s="42"/>
      <c r="B455" s="42"/>
      <c r="C455" s="42"/>
      <c r="D455" s="43"/>
      <c r="E455" s="43"/>
      <c r="F455" s="43"/>
    </row>
    <row r="456">
      <c r="A456" s="42"/>
      <c r="B456" s="42"/>
      <c r="C456" s="42"/>
      <c r="D456" s="43"/>
      <c r="E456" s="43"/>
      <c r="F456" s="43"/>
    </row>
    <row r="457">
      <c r="A457" s="42"/>
      <c r="B457" s="42"/>
      <c r="C457" s="42"/>
      <c r="D457" s="43"/>
      <c r="E457" s="43"/>
      <c r="F457" s="43"/>
    </row>
    <row r="458">
      <c r="A458" s="42"/>
      <c r="B458" s="42"/>
      <c r="C458" s="42"/>
      <c r="D458" s="43"/>
      <c r="E458" s="43"/>
      <c r="F458" s="43"/>
    </row>
    <row r="459">
      <c r="A459" s="42"/>
      <c r="B459" s="42"/>
      <c r="C459" s="42"/>
      <c r="D459" s="43"/>
      <c r="E459" s="43"/>
      <c r="F459" s="43"/>
    </row>
    <row r="460">
      <c r="A460" s="42"/>
      <c r="B460" s="42"/>
      <c r="C460" s="42"/>
      <c r="D460" s="43"/>
      <c r="E460" s="43"/>
      <c r="F460" s="43"/>
    </row>
    <row r="461">
      <c r="A461" s="42"/>
      <c r="B461" s="42"/>
      <c r="C461" s="42"/>
      <c r="D461" s="43"/>
      <c r="E461" s="43"/>
      <c r="F461" s="43"/>
    </row>
    <row r="462">
      <c r="A462" s="42"/>
      <c r="B462" s="42"/>
      <c r="C462" s="42"/>
      <c r="D462" s="43"/>
      <c r="E462" s="43"/>
      <c r="F462" s="43"/>
    </row>
    <row r="463">
      <c r="A463" s="42"/>
      <c r="B463" s="42"/>
      <c r="C463" s="42"/>
      <c r="D463" s="43"/>
      <c r="E463" s="43"/>
      <c r="F463" s="43"/>
    </row>
    <row r="464">
      <c r="A464" s="42"/>
      <c r="B464" s="42"/>
      <c r="C464" s="42"/>
      <c r="D464" s="43"/>
      <c r="E464" s="43"/>
      <c r="F464" s="43"/>
    </row>
    <row r="465">
      <c r="A465" s="42"/>
      <c r="B465" s="42"/>
      <c r="C465" s="42"/>
      <c r="D465" s="43"/>
      <c r="E465" s="43"/>
      <c r="F465" s="43"/>
    </row>
    <row r="466">
      <c r="A466" s="42"/>
      <c r="B466" s="42"/>
      <c r="C466" s="42"/>
      <c r="D466" s="43"/>
      <c r="E466" s="43"/>
      <c r="F466" s="43"/>
    </row>
    <row r="467">
      <c r="A467" s="42"/>
      <c r="B467" s="42"/>
      <c r="C467" s="42"/>
      <c r="D467" s="43"/>
      <c r="E467" s="43"/>
      <c r="F467" s="43"/>
    </row>
    <row r="468">
      <c r="A468" s="42"/>
      <c r="B468" s="42"/>
      <c r="C468" s="42"/>
      <c r="D468" s="43"/>
      <c r="E468" s="43"/>
      <c r="F468" s="43"/>
    </row>
    <row r="469">
      <c r="A469" s="42"/>
      <c r="B469" s="42"/>
      <c r="C469" s="42"/>
      <c r="D469" s="43"/>
      <c r="E469" s="43"/>
      <c r="F469" s="43"/>
    </row>
    <row r="470">
      <c r="A470" s="42"/>
      <c r="B470" s="42"/>
      <c r="C470" s="42"/>
      <c r="D470" s="43"/>
      <c r="E470" s="43"/>
      <c r="F470" s="43"/>
    </row>
    <row r="471">
      <c r="A471" s="42"/>
      <c r="B471" s="42"/>
      <c r="C471" s="42"/>
      <c r="D471" s="43"/>
      <c r="E471" s="43"/>
      <c r="F471" s="43"/>
    </row>
    <row r="472">
      <c r="A472" s="42"/>
      <c r="B472" s="42"/>
      <c r="C472" s="42"/>
      <c r="D472" s="43"/>
      <c r="E472" s="43"/>
      <c r="F472" s="43"/>
    </row>
    <row r="473">
      <c r="A473" s="42"/>
      <c r="B473" s="42"/>
      <c r="C473" s="42"/>
      <c r="D473" s="43"/>
      <c r="E473" s="43"/>
      <c r="F473" s="43"/>
    </row>
    <row r="474">
      <c r="A474" s="42"/>
      <c r="B474" s="42"/>
      <c r="C474" s="42"/>
      <c r="D474" s="43"/>
      <c r="E474" s="43"/>
      <c r="F474" s="43"/>
    </row>
    <row r="475">
      <c r="A475" s="42"/>
      <c r="B475" s="42"/>
      <c r="C475" s="42"/>
      <c r="D475" s="43"/>
      <c r="E475" s="43"/>
      <c r="F475" s="43"/>
    </row>
    <row r="476">
      <c r="A476" s="42"/>
      <c r="B476" s="42"/>
      <c r="C476" s="42"/>
      <c r="D476" s="43"/>
      <c r="E476" s="43"/>
      <c r="F476" s="43"/>
    </row>
    <row r="477">
      <c r="A477" s="42"/>
      <c r="B477" s="42"/>
      <c r="C477" s="42"/>
      <c r="D477" s="43"/>
      <c r="E477" s="43"/>
      <c r="F477" s="43"/>
    </row>
    <row r="478">
      <c r="A478" s="42"/>
      <c r="B478" s="42"/>
      <c r="C478" s="42"/>
      <c r="D478" s="43"/>
      <c r="E478" s="43"/>
      <c r="F478" s="43"/>
    </row>
    <row r="479">
      <c r="A479" s="42"/>
      <c r="B479" s="42"/>
      <c r="C479" s="42"/>
      <c r="D479" s="43"/>
      <c r="E479" s="43"/>
      <c r="F479" s="43"/>
    </row>
    <row r="480">
      <c r="A480" s="42"/>
      <c r="B480" s="42"/>
      <c r="C480" s="42"/>
      <c r="D480" s="43"/>
      <c r="E480" s="43"/>
      <c r="F480" s="43"/>
    </row>
    <row r="481">
      <c r="A481" s="42"/>
      <c r="B481" s="42"/>
      <c r="C481" s="42"/>
      <c r="D481" s="43"/>
      <c r="E481" s="43"/>
      <c r="F481" s="43"/>
    </row>
    <row r="482">
      <c r="A482" s="42"/>
      <c r="B482" s="42"/>
      <c r="C482" s="42"/>
      <c r="D482" s="43"/>
      <c r="E482" s="43"/>
      <c r="F482" s="43"/>
    </row>
    <row r="483">
      <c r="A483" s="42"/>
      <c r="B483" s="42"/>
      <c r="C483" s="42"/>
      <c r="D483" s="43"/>
      <c r="E483" s="43"/>
      <c r="F483" s="43"/>
    </row>
    <row r="484">
      <c r="A484" s="42"/>
      <c r="B484" s="42"/>
      <c r="C484" s="42"/>
      <c r="D484" s="43"/>
      <c r="E484" s="43"/>
      <c r="F484" s="43"/>
    </row>
    <row r="485">
      <c r="A485" s="42"/>
      <c r="B485" s="42"/>
      <c r="C485" s="42"/>
      <c r="D485" s="43"/>
      <c r="E485" s="43"/>
      <c r="F485" s="43"/>
    </row>
    <row r="486">
      <c r="A486" s="42"/>
      <c r="B486" s="42"/>
      <c r="C486" s="42"/>
      <c r="D486" s="43"/>
      <c r="E486" s="43"/>
      <c r="F486" s="43"/>
    </row>
    <row r="487">
      <c r="A487" s="42"/>
      <c r="B487" s="42"/>
      <c r="C487" s="42"/>
      <c r="D487" s="43"/>
      <c r="E487" s="43"/>
      <c r="F487" s="43"/>
    </row>
    <row r="488">
      <c r="A488" s="42"/>
      <c r="B488" s="42"/>
      <c r="C488" s="42"/>
      <c r="D488" s="43"/>
      <c r="E488" s="43"/>
      <c r="F488" s="43"/>
    </row>
    <row r="489">
      <c r="A489" s="42"/>
      <c r="B489" s="42"/>
      <c r="C489" s="42"/>
      <c r="D489" s="43"/>
      <c r="E489" s="43"/>
      <c r="F489" s="43"/>
    </row>
    <row r="490">
      <c r="A490" s="42"/>
      <c r="B490" s="42"/>
      <c r="C490" s="42"/>
      <c r="D490" s="43"/>
      <c r="E490" s="43"/>
      <c r="F490" s="43"/>
    </row>
    <row r="491">
      <c r="A491" s="42"/>
      <c r="B491" s="42"/>
      <c r="C491" s="42"/>
      <c r="D491" s="43"/>
      <c r="E491" s="43"/>
      <c r="F491" s="43"/>
    </row>
    <row r="492">
      <c r="A492" s="42"/>
      <c r="B492" s="42"/>
      <c r="C492" s="42"/>
      <c r="D492" s="43"/>
      <c r="E492" s="43"/>
      <c r="F492" s="43"/>
    </row>
    <row r="493">
      <c r="A493" s="42"/>
      <c r="B493" s="42"/>
      <c r="C493" s="42"/>
      <c r="D493" s="43"/>
      <c r="E493" s="43"/>
      <c r="F493" s="43"/>
    </row>
    <row r="494">
      <c r="A494" s="42"/>
      <c r="B494" s="42"/>
      <c r="C494" s="42"/>
      <c r="D494" s="43"/>
      <c r="E494" s="43"/>
      <c r="F494" s="43"/>
    </row>
    <row r="495">
      <c r="A495" s="42"/>
      <c r="B495" s="42"/>
      <c r="C495" s="42"/>
      <c r="D495" s="43"/>
      <c r="E495" s="43"/>
      <c r="F495" s="43"/>
    </row>
    <row r="496">
      <c r="A496" s="42"/>
      <c r="B496" s="42"/>
      <c r="C496" s="42"/>
      <c r="D496" s="43"/>
      <c r="E496" s="43"/>
      <c r="F496" s="43"/>
    </row>
    <row r="497">
      <c r="A497" s="42"/>
      <c r="B497" s="42"/>
      <c r="C497" s="42"/>
      <c r="D497" s="43"/>
      <c r="E497" s="43"/>
      <c r="F497" s="43"/>
    </row>
    <row r="498">
      <c r="A498" s="42"/>
      <c r="B498" s="42"/>
      <c r="C498" s="42"/>
      <c r="D498" s="43"/>
      <c r="E498" s="43"/>
      <c r="F498" s="43"/>
    </row>
    <row r="499">
      <c r="A499" s="42"/>
      <c r="B499" s="42"/>
      <c r="C499" s="42"/>
      <c r="D499" s="43"/>
      <c r="E499" s="43"/>
      <c r="F499" s="43"/>
    </row>
    <row r="500">
      <c r="A500" s="42"/>
      <c r="B500" s="42"/>
      <c r="C500" s="42"/>
      <c r="D500" s="43"/>
      <c r="E500" s="43"/>
      <c r="F500" s="43"/>
    </row>
    <row r="501">
      <c r="A501" s="42"/>
      <c r="B501" s="42"/>
      <c r="C501" s="42"/>
      <c r="D501" s="43"/>
      <c r="E501" s="43"/>
      <c r="F501" s="43"/>
    </row>
    <row r="502">
      <c r="A502" s="42"/>
      <c r="B502" s="42"/>
      <c r="C502" s="42"/>
      <c r="D502" s="43"/>
      <c r="E502" s="43"/>
      <c r="F502" s="43"/>
    </row>
    <row r="503">
      <c r="A503" s="42"/>
      <c r="B503" s="42"/>
      <c r="C503" s="42"/>
      <c r="D503" s="43"/>
      <c r="E503" s="43"/>
      <c r="F503" s="43"/>
    </row>
    <row r="504">
      <c r="A504" s="42"/>
      <c r="B504" s="42"/>
      <c r="C504" s="42"/>
      <c r="D504" s="43"/>
      <c r="E504" s="43"/>
      <c r="F504" s="43"/>
    </row>
    <row r="505">
      <c r="A505" s="42"/>
      <c r="B505" s="42"/>
      <c r="C505" s="42"/>
      <c r="D505" s="43"/>
      <c r="E505" s="43"/>
      <c r="F505" s="43"/>
    </row>
    <row r="506">
      <c r="A506" s="42"/>
      <c r="B506" s="42"/>
      <c r="C506" s="42"/>
      <c r="D506" s="43"/>
      <c r="E506" s="43"/>
      <c r="F506" s="43"/>
    </row>
    <row r="507">
      <c r="A507" s="42"/>
      <c r="B507" s="42"/>
      <c r="C507" s="42"/>
      <c r="D507" s="43"/>
      <c r="E507" s="43"/>
      <c r="F507" s="43"/>
    </row>
    <row r="508">
      <c r="A508" s="42"/>
      <c r="B508" s="42"/>
      <c r="C508" s="42"/>
      <c r="D508" s="43"/>
      <c r="E508" s="43"/>
      <c r="F508" s="43"/>
    </row>
    <row r="509">
      <c r="A509" s="42"/>
      <c r="B509" s="42"/>
      <c r="C509" s="42"/>
      <c r="D509" s="43"/>
      <c r="E509" s="43"/>
      <c r="F509" s="43"/>
    </row>
    <row r="510">
      <c r="A510" s="42"/>
      <c r="B510" s="42"/>
      <c r="C510" s="42"/>
      <c r="D510" s="43"/>
      <c r="E510" s="43"/>
      <c r="F510" s="43"/>
    </row>
    <row r="511">
      <c r="A511" s="42"/>
      <c r="B511" s="42"/>
      <c r="C511" s="42"/>
      <c r="D511" s="43"/>
      <c r="E511" s="43"/>
      <c r="F511" s="43"/>
    </row>
    <row r="512">
      <c r="A512" s="42"/>
      <c r="B512" s="42"/>
      <c r="C512" s="42"/>
      <c r="D512" s="43"/>
      <c r="E512" s="43"/>
      <c r="F512" s="43"/>
    </row>
    <row r="513">
      <c r="A513" s="42"/>
      <c r="B513" s="42"/>
      <c r="C513" s="42"/>
      <c r="D513" s="43"/>
      <c r="E513" s="43"/>
      <c r="F513" s="43"/>
    </row>
    <row r="514">
      <c r="A514" s="42"/>
      <c r="B514" s="42"/>
      <c r="C514" s="42"/>
      <c r="D514" s="43"/>
      <c r="E514" s="43"/>
      <c r="F514" s="43"/>
    </row>
    <row r="515">
      <c r="A515" s="42"/>
      <c r="B515" s="42"/>
      <c r="C515" s="42"/>
      <c r="D515" s="43"/>
      <c r="E515" s="43"/>
      <c r="F515" s="43"/>
    </row>
    <row r="516">
      <c r="A516" s="42"/>
      <c r="B516" s="42"/>
      <c r="C516" s="42"/>
      <c r="D516" s="43"/>
      <c r="E516" s="43"/>
      <c r="F516" s="43"/>
    </row>
    <row r="517">
      <c r="A517" s="42"/>
      <c r="B517" s="42"/>
      <c r="C517" s="42"/>
      <c r="D517" s="43"/>
      <c r="E517" s="43"/>
      <c r="F517" s="43"/>
    </row>
    <row r="518">
      <c r="A518" s="42"/>
      <c r="B518" s="42"/>
      <c r="C518" s="42"/>
      <c r="D518" s="43"/>
      <c r="E518" s="43"/>
      <c r="F518" s="43"/>
    </row>
    <row r="519">
      <c r="A519" s="42"/>
      <c r="B519" s="42"/>
      <c r="C519" s="42"/>
      <c r="D519" s="43"/>
      <c r="E519" s="43"/>
      <c r="F519" s="43"/>
    </row>
    <row r="520">
      <c r="A520" s="42"/>
      <c r="B520" s="42"/>
      <c r="C520" s="42"/>
      <c r="D520" s="43"/>
      <c r="E520" s="43"/>
      <c r="F520" s="43"/>
    </row>
    <row r="521">
      <c r="A521" s="42"/>
      <c r="B521" s="42"/>
      <c r="C521" s="42"/>
      <c r="D521" s="43"/>
      <c r="E521" s="43"/>
      <c r="F521" s="43"/>
    </row>
    <row r="522">
      <c r="A522" s="42"/>
      <c r="B522" s="42"/>
      <c r="C522" s="42"/>
      <c r="D522" s="43"/>
      <c r="E522" s="43"/>
      <c r="F522" s="43"/>
    </row>
    <row r="523">
      <c r="A523" s="42"/>
      <c r="B523" s="42"/>
      <c r="C523" s="42"/>
      <c r="D523" s="43"/>
      <c r="E523" s="43"/>
      <c r="F523" s="43"/>
    </row>
    <row r="524">
      <c r="A524" s="42"/>
      <c r="B524" s="42"/>
      <c r="C524" s="42"/>
      <c r="D524" s="43"/>
      <c r="E524" s="43"/>
      <c r="F524" s="43"/>
    </row>
    <row r="525">
      <c r="A525" s="42"/>
      <c r="B525" s="42"/>
      <c r="C525" s="42"/>
      <c r="D525" s="43"/>
      <c r="E525" s="43"/>
      <c r="F525" s="43"/>
    </row>
    <row r="526">
      <c r="A526" s="42"/>
      <c r="B526" s="42"/>
      <c r="C526" s="42"/>
      <c r="D526" s="43"/>
      <c r="E526" s="43"/>
      <c r="F526" s="43"/>
    </row>
    <row r="527">
      <c r="A527" s="42"/>
      <c r="B527" s="42"/>
      <c r="C527" s="42"/>
      <c r="D527" s="43"/>
      <c r="E527" s="43"/>
      <c r="F527" s="43"/>
    </row>
    <row r="528">
      <c r="A528" s="42"/>
      <c r="B528" s="42"/>
      <c r="C528" s="42"/>
      <c r="D528" s="43"/>
      <c r="E528" s="43"/>
      <c r="F528" s="43"/>
    </row>
    <row r="529">
      <c r="A529" s="42"/>
      <c r="B529" s="42"/>
      <c r="C529" s="42"/>
      <c r="D529" s="43"/>
      <c r="E529" s="43"/>
      <c r="F529" s="43"/>
    </row>
    <row r="530">
      <c r="A530" s="42"/>
      <c r="B530" s="42"/>
      <c r="C530" s="42"/>
      <c r="D530" s="43"/>
      <c r="E530" s="43"/>
      <c r="F530" s="43"/>
    </row>
    <row r="531">
      <c r="A531" s="42"/>
      <c r="B531" s="42"/>
      <c r="C531" s="42"/>
      <c r="D531" s="43"/>
      <c r="E531" s="43"/>
      <c r="F531" s="43"/>
    </row>
    <row r="532">
      <c r="A532" s="42"/>
      <c r="B532" s="42"/>
      <c r="C532" s="42"/>
      <c r="D532" s="43"/>
      <c r="E532" s="43"/>
      <c r="F532" s="43"/>
    </row>
    <row r="533">
      <c r="A533" s="42"/>
      <c r="B533" s="42"/>
      <c r="C533" s="42"/>
      <c r="D533" s="43"/>
      <c r="E533" s="43"/>
      <c r="F533" s="43"/>
    </row>
    <row r="534">
      <c r="A534" s="42"/>
      <c r="B534" s="42"/>
      <c r="C534" s="42"/>
      <c r="D534" s="43"/>
      <c r="E534" s="43"/>
      <c r="F534" s="43"/>
    </row>
    <row r="535">
      <c r="A535" s="42"/>
      <c r="B535" s="42"/>
      <c r="C535" s="42"/>
      <c r="D535" s="43"/>
      <c r="E535" s="43"/>
      <c r="F535" s="43"/>
    </row>
    <row r="536">
      <c r="A536" s="42"/>
      <c r="B536" s="42"/>
      <c r="C536" s="42"/>
      <c r="D536" s="43"/>
      <c r="E536" s="43"/>
      <c r="F536" s="43"/>
    </row>
    <row r="537">
      <c r="A537" s="42"/>
      <c r="B537" s="42"/>
      <c r="C537" s="42"/>
      <c r="D537" s="43"/>
      <c r="E537" s="43"/>
      <c r="F537" s="43"/>
    </row>
    <row r="538">
      <c r="A538" s="42"/>
      <c r="B538" s="42"/>
      <c r="C538" s="42"/>
      <c r="D538" s="43"/>
      <c r="E538" s="43"/>
      <c r="F538" s="43"/>
    </row>
    <row r="539">
      <c r="A539" s="42"/>
      <c r="B539" s="42"/>
      <c r="C539" s="42"/>
      <c r="D539" s="43"/>
      <c r="E539" s="43"/>
      <c r="F539" s="43"/>
    </row>
    <row r="540">
      <c r="A540" s="42"/>
      <c r="B540" s="42"/>
      <c r="C540" s="42"/>
      <c r="D540" s="43"/>
      <c r="E540" s="43"/>
      <c r="F540" s="43"/>
    </row>
    <row r="541">
      <c r="A541" s="42"/>
      <c r="B541" s="42"/>
      <c r="C541" s="42"/>
      <c r="D541" s="43"/>
      <c r="E541" s="43"/>
      <c r="F541" s="43"/>
    </row>
    <row r="542">
      <c r="A542" s="42"/>
      <c r="B542" s="42"/>
      <c r="C542" s="42"/>
      <c r="D542" s="43"/>
      <c r="E542" s="43"/>
      <c r="F542" s="43"/>
    </row>
    <row r="543">
      <c r="A543" s="42"/>
      <c r="B543" s="42"/>
      <c r="C543" s="42"/>
      <c r="D543" s="43"/>
      <c r="E543" s="43"/>
      <c r="F543" s="43"/>
    </row>
    <row r="544">
      <c r="A544" s="42"/>
      <c r="B544" s="42"/>
      <c r="C544" s="42"/>
      <c r="D544" s="43"/>
      <c r="E544" s="43"/>
      <c r="F544" s="43"/>
    </row>
    <row r="545">
      <c r="A545" s="42"/>
      <c r="B545" s="42"/>
      <c r="C545" s="42"/>
      <c r="D545" s="43"/>
      <c r="E545" s="43"/>
      <c r="F545" s="43"/>
    </row>
    <row r="546">
      <c r="A546" s="42"/>
      <c r="B546" s="42"/>
      <c r="C546" s="42"/>
      <c r="D546" s="43"/>
      <c r="E546" s="43"/>
      <c r="F546" s="43"/>
    </row>
    <row r="547">
      <c r="A547" s="42"/>
      <c r="B547" s="42"/>
      <c r="C547" s="42"/>
      <c r="D547" s="43"/>
      <c r="E547" s="43"/>
      <c r="F547" s="43"/>
    </row>
    <row r="548">
      <c r="A548" s="42"/>
      <c r="B548" s="42"/>
      <c r="C548" s="42"/>
      <c r="D548" s="43"/>
      <c r="E548" s="43"/>
      <c r="F548" s="43"/>
    </row>
    <row r="549">
      <c r="A549" s="42"/>
      <c r="B549" s="42"/>
      <c r="C549" s="42"/>
      <c r="D549" s="43"/>
      <c r="E549" s="43"/>
      <c r="F549" s="43"/>
    </row>
    <row r="550">
      <c r="A550" s="42"/>
      <c r="B550" s="42"/>
      <c r="C550" s="42"/>
      <c r="D550" s="43"/>
      <c r="E550" s="43"/>
      <c r="F550" s="43"/>
    </row>
    <row r="551">
      <c r="A551" s="42"/>
      <c r="B551" s="42"/>
      <c r="C551" s="42"/>
      <c r="D551" s="43"/>
      <c r="E551" s="43"/>
      <c r="F551" s="43"/>
    </row>
    <row r="552">
      <c r="A552" s="42"/>
      <c r="B552" s="42"/>
      <c r="C552" s="42"/>
      <c r="D552" s="43"/>
      <c r="E552" s="43"/>
      <c r="F552" s="43"/>
    </row>
    <row r="553">
      <c r="A553" s="42"/>
      <c r="B553" s="42"/>
      <c r="C553" s="42"/>
      <c r="D553" s="43"/>
      <c r="E553" s="43"/>
      <c r="F553" s="43"/>
    </row>
    <row r="554">
      <c r="A554" s="42"/>
      <c r="B554" s="42"/>
      <c r="C554" s="42"/>
      <c r="D554" s="43"/>
      <c r="E554" s="43"/>
      <c r="F554" s="43"/>
    </row>
    <row r="555">
      <c r="A555" s="42"/>
      <c r="B555" s="42"/>
      <c r="C555" s="42"/>
      <c r="D555" s="43"/>
      <c r="E555" s="43"/>
      <c r="F555" s="43"/>
    </row>
    <row r="556">
      <c r="A556" s="42"/>
      <c r="B556" s="42"/>
      <c r="C556" s="42"/>
      <c r="D556" s="43"/>
      <c r="E556" s="43"/>
      <c r="F556" s="43"/>
    </row>
    <row r="557">
      <c r="A557" s="42"/>
      <c r="B557" s="42"/>
      <c r="C557" s="42"/>
      <c r="D557" s="43"/>
      <c r="E557" s="43"/>
      <c r="F557" s="43"/>
    </row>
    <row r="558">
      <c r="A558" s="42"/>
      <c r="B558" s="42"/>
      <c r="C558" s="42"/>
      <c r="D558" s="43"/>
      <c r="E558" s="43"/>
      <c r="F558" s="43"/>
    </row>
    <row r="559">
      <c r="A559" s="42"/>
      <c r="B559" s="42"/>
      <c r="C559" s="42"/>
      <c r="D559" s="43"/>
      <c r="E559" s="43"/>
      <c r="F559" s="43"/>
    </row>
    <row r="560">
      <c r="A560" s="42"/>
      <c r="B560" s="42"/>
      <c r="C560" s="42"/>
      <c r="D560" s="43"/>
      <c r="E560" s="43"/>
      <c r="F560" s="43"/>
    </row>
    <row r="561">
      <c r="A561" s="42"/>
      <c r="B561" s="42"/>
      <c r="C561" s="42"/>
      <c r="D561" s="43"/>
      <c r="E561" s="43"/>
      <c r="F561" s="43"/>
    </row>
    <row r="562">
      <c r="A562" s="42"/>
      <c r="B562" s="42"/>
      <c r="C562" s="42"/>
      <c r="D562" s="43"/>
      <c r="E562" s="43"/>
      <c r="F562" s="43"/>
    </row>
    <row r="563">
      <c r="A563" s="42"/>
      <c r="B563" s="42"/>
      <c r="C563" s="42"/>
      <c r="D563" s="43"/>
      <c r="E563" s="43"/>
      <c r="F563" s="43"/>
    </row>
    <row r="564">
      <c r="A564" s="42"/>
      <c r="B564" s="42"/>
      <c r="C564" s="42"/>
      <c r="D564" s="43"/>
      <c r="E564" s="43"/>
      <c r="F564" s="43"/>
    </row>
    <row r="565">
      <c r="A565" s="42"/>
      <c r="B565" s="42"/>
      <c r="C565" s="42"/>
      <c r="D565" s="43"/>
      <c r="E565" s="43"/>
      <c r="F565" s="43"/>
    </row>
    <row r="566">
      <c r="A566" s="42"/>
      <c r="B566" s="42"/>
      <c r="C566" s="42"/>
      <c r="D566" s="43"/>
      <c r="E566" s="43"/>
      <c r="F566" s="43"/>
    </row>
    <row r="567">
      <c r="A567" s="42"/>
      <c r="B567" s="42"/>
      <c r="C567" s="42"/>
      <c r="D567" s="43"/>
      <c r="E567" s="43"/>
      <c r="F567" s="43"/>
    </row>
    <row r="568">
      <c r="A568" s="42"/>
      <c r="B568" s="42"/>
      <c r="C568" s="42"/>
      <c r="D568" s="43"/>
      <c r="E568" s="43"/>
      <c r="F568" s="43"/>
    </row>
    <row r="569">
      <c r="A569" s="42"/>
      <c r="B569" s="42"/>
      <c r="C569" s="42"/>
      <c r="D569" s="43"/>
      <c r="E569" s="43"/>
      <c r="F569" s="43"/>
    </row>
    <row r="570">
      <c r="A570" s="42"/>
      <c r="B570" s="42"/>
      <c r="C570" s="42"/>
      <c r="D570" s="43"/>
      <c r="E570" s="43"/>
      <c r="F570" s="43"/>
    </row>
    <row r="571">
      <c r="A571" s="42"/>
      <c r="B571" s="42"/>
      <c r="C571" s="42"/>
      <c r="D571" s="43"/>
      <c r="E571" s="43"/>
      <c r="F571" s="43"/>
    </row>
    <row r="572">
      <c r="A572" s="42"/>
      <c r="B572" s="42"/>
      <c r="C572" s="42"/>
      <c r="D572" s="43"/>
      <c r="E572" s="43"/>
      <c r="F572" s="43"/>
    </row>
    <row r="573">
      <c r="A573" s="42"/>
      <c r="B573" s="42"/>
      <c r="C573" s="42"/>
      <c r="D573" s="43"/>
      <c r="E573" s="43"/>
      <c r="F573" s="43"/>
    </row>
    <row r="574">
      <c r="A574" s="42"/>
      <c r="B574" s="42"/>
      <c r="C574" s="42"/>
      <c r="D574" s="43"/>
      <c r="E574" s="43"/>
      <c r="F574" s="43"/>
    </row>
    <row r="575">
      <c r="A575" s="42"/>
      <c r="B575" s="42"/>
      <c r="C575" s="42"/>
      <c r="D575" s="43"/>
      <c r="E575" s="43"/>
      <c r="F575" s="43"/>
    </row>
    <row r="576">
      <c r="A576" s="42"/>
      <c r="B576" s="42"/>
      <c r="C576" s="42"/>
      <c r="D576" s="43"/>
      <c r="E576" s="43"/>
      <c r="F576" s="43"/>
    </row>
    <row r="577">
      <c r="A577" s="42"/>
      <c r="B577" s="42"/>
      <c r="C577" s="42"/>
      <c r="D577" s="43"/>
      <c r="E577" s="43"/>
      <c r="F577" s="43"/>
    </row>
    <row r="578">
      <c r="A578" s="42"/>
      <c r="B578" s="42"/>
      <c r="C578" s="42"/>
      <c r="D578" s="43"/>
      <c r="E578" s="43"/>
      <c r="F578" s="43"/>
    </row>
    <row r="579">
      <c r="A579" s="42"/>
      <c r="B579" s="42"/>
      <c r="C579" s="42"/>
      <c r="D579" s="43"/>
      <c r="E579" s="43"/>
      <c r="F579" s="43"/>
    </row>
    <row r="580">
      <c r="A580" s="42"/>
      <c r="B580" s="42"/>
      <c r="C580" s="42"/>
      <c r="D580" s="43"/>
      <c r="E580" s="43"/>
      <c r="F580" s="43"/>
    </row>
    <row r="581">
      <c r="A581" s="42"/>
      <c r="B581" s="42"/>
      <c r="C581" s="42"/>
      <c r="D581" s="43"/>
      <c r="E581" s="43"/>
      <c r="F581" s="43"/>
    </row>
    <row r="582">
      <c r="A582" s="42"/>
      <c r="B582" s="42"/>
      <c r="C582" s="42"/>
      <c r="D582" s="43"/>
      <c r="E582" s="43"/>
      <c r="F582" s="43"/>
    </row>
    <row r="583">
      <c r="A583" s="42"/>
      <c r="B583" s="42"/>
      <c r="C583" s="42"/>
      <c r="D583" s="43"/>
      <c r="E583" s="43"/>
      <c r="F583" s="43"/>
    </row>
    <row r="584">
      <c r="A584" s="42"/>
      <c r="B584" s="42"/>
      <c r="C584" s="42"/>
      <c r="D584" s="43"/>
      <c r="E584" s="43"/>
      <c r="F584" s="43"/>
    </row>
    <row r="585">
      <c r="A585" s="42"/>
      <c r="B585" s="42"/>
      <c r="C585" s="42"/>
      <c r="D585" s="43"/>
      <c r="E585" s="43"/>
      <c r="F585" s="43"/>
    </row>
    <row r="586">
      <c r="A586" s="42"/>
      <c r="B586" s="42"/>
      <c r="C586" s="42"/>
      <c r="D586" s="43"/>
      <c r="E586" s="43"/>
      <c r="F586" s="43"/>
    </row>
    <row r="587">
      <c r="A587" s="42"/>
      <c r="B587" s="42"/>
      <c r="C587" s="42"/>
      <c r="D587" s="43"/>
      <c r="E587" s="43"/>
      <c r="F587" s="43"/>
    </row>
    <row r="588">
      <c r="A588" s="42"/>
      <c r="B588" s="42"/>
      <c r="C588" s="42"/>
      <c r="D588" s="43"/>
      <c r="E588" s="43"/>
      <c r="F588" s="43"/>
    </row>
    <row r="589">
      <c r="A589" s="42"/>
      <c r="B589" s="42"/>
      <c r="C589" s="42"/>
      <c r="D589" s="43"/>
      <c r="E589" s="43"/>
      <c r="F589" s="43"/>
    </row>
    <row r="590">
      <c r="A590" s="42"/>
      <c r="B590" s="42"/>
      <c r="C590" s="42"/>
      <c r="D590" s="43"/>
      <c r="E590" s="43"/>
      <c r="F590" s="43"/>
    </row>
    <row r="591">
      <c r="A591" s="42"/>
      <c r="B591" s="42"/>
      <c r="C591" s="42"/>
      <c r="D591" s="43"/>
      <c r="E591" s="43"/>
      <c r="F591" s="43"/>
    </row>
    <row r="592">
      <c r="A592" s="42"/>
      <c r="B592" s="42"/>
      <c r="C592" s="42"/>
      <c r="D592" s="43"/>
      <c r="E592" s="43"/>
      <c r="F592" s="43"/>
    </row>
    <row r="593">
      <c r="A593" s="42"/>
      <c r="B593" s="42"/>
      <c r="C593" s="42"/>
      <c r="D593" s="43"/>
      <c r="E593" s="43"/>
      <c r="F593" s="43"/>
    </row>
    <row r="594">
      <c r="A594" s="42"/>
      <c r="B594" s="42"/>
      <c r="C594" s="42"/>
      <c r="D594" s="43"/>
      <c r="E594" s="43"/>
      <c r="F594" s="43"/>
    </row>
    <row r="595">
      <c r="A595" s="42"/>
      <c r="B595" s="42"/>
      <c r="C595" s="42"/>
      <c r="D595" s="43"/>
      <c r="E595" s="43"/>
      <c r="F595" s="43"/>
    </row>
    <row r="596">
      <c r="A596" s="42"/>
      <c r="B596" s="42"/>
      <c r="C596" s="42"/>
      <c r="D596" s="43"/>
      <c r="E596" s="43"/>
      <c r="F596" s="43"/>
    </row>
    <row r="597">
      <c r="A597" s="42"/>
      <c r="B597" s="42"/>
      <c r="C597" s="42"/>
      <c r="D597" s="43"/>
      <c r="E597" s="43"/>
      <c r="F597" s="43"/>
    </row>
    <row r="598">
      <c r="A598" s="42"/>
      <c r="B598" s="42"/>
      <c r="C598" s="42"/>
      <c r="D598" s="43"/>
      <c r="E598" s="43"/>
      <c r="F598" s="43"/>
    </row>
    <row r="599">
      <c r="A599" s="42"/>
      <c r="B599" s="42"/>
      <c r="C599" s="42"/>
      <c r="D599" s="43"/>
      <c r="E599" s="43"/>
      <c r="F599" s="43"/>
    </row>
    <row r="600">
      <c r="A600" s="42"/>
      <c r="B600" s="42"/>
      <c r="C600" s="42"/>
      <c r="D600" s="43"/>
      <c r="E600" s="43"/>
      <c r="F600" s="43"/>
    </row>
    <row r="601">
      <c r="A601" s="42"/>
      <c r="B601" s="42"/>
      <c r="C601" s="42"/>
      <c r="D601" s="43"/>
      <c r="E601" s="43"/>
      <c r="F601" s="43"/>
    </row>
    <row r="602">
      <c r="A602" s="42"/>
      <c r="B602" s="42"/>
      <c r="C602" s="42"/>
      <c r="D602" s="43"/>
      <c r="E602" s="43"/>
      <c r="F602" s="43"/>
    </row>
    <row r="603">
      <c r="A603" s="42"/>
      <c r="B603" s="42"/>
      <c r="C603" s="42"/>
      <c r="D603" s="43"/>
      <c r="E603" s="43"/>
      <c r="F603" s="43"/>
    </row>
    <row r="604">
      <c r="A604" s="42"/>
      <c r="B604" s="42"/>
      <c r="C604" s="42"/>
      <c r="D604" s="43"/>
      <c r="E604" s="43"/>
      <c r="F604" s="43"/>
    </row>
    <row r="605">
      <c r="A605" s="42"/>
      <c r="B605" s="42"/>
      <c r="C605" s="42"/>
      <c r="D605" s="43"/>
      <c r="E605" s="43"/>
      <c r="F605" s="43"/>
    </row>
    <row r="606">
      <c r="A606" s="42"/>
      <c r="B606" s="42"/>
      <c r="C606" s="42"/>
      <c r="D606" s="43"/>
      <c r="E606" s="43"/>
      <c r="F606" s="43"/>
    </row>
    <row r="607">
      <c r="A607" s="42"/>
      <c r="B607" s="42"/>
      <c r="C607" s="42"/>
      <c r="D607" s="43"/>
      <c r="E607" s="43"/>
      <c r="F607" s="43"/>
    </row>
    <row r="608">
      <c r="A608" s="42"/>
      <c r="B608" s="42"/>
      <c r="C608" s="42"/>
      <c r="D608" s="43"/>
      <c r="E608" s="43"/>
      <c r="F608" s="43"/>
    </row>
    <row r="609">
      <c r="A609" s="42"/>
      <c r="B609" s="42"/>
      <c r="C609" s="42"/>
      <c r="D609" s="43"/>
      <c r="E609" s="43"/>
      <c r="F609" s="43"/>
    </row>
    <row r="610">
      <c r="A610" s="42"/>
      <c r="B610" s="42"/>
      <c r="C610" s="42"/>
      <c r="D610" s="43"/>
      <c r="E610" s="43"/>
      <c r="F610" s="43"/>
    </row>
    <row r="611">
      <c r="A611" s="42"/>
      <c r="B611" s="42"/>
      <c r="C611" s="42"/>
      <c r="D611" s="43"/>
      <c r="E611" s="43"/>
      <c r="F611" s="43"/>
    </row>
    <row r="612">
      <c r="A612" s="42"/>
      <c r="B612" s="42"/>
      <c r="C612" s="42"/>
      <c r="D612" s="43"/>
      <c r="E612" s="43"/>
      <c r="F612" s="43"/>
    </row>
    <row r="613">
      <c r="A613" s="42"/>
      <c r="B613" s="42"/>
      <c r="C613" s="42"/>
      <c r="D613" s="43"/>
      <c r="E613" s="43"/>
      <c r="F613" s="43"/>
    </row>
    <row r="614">
      <c r="A614" s="42"/>
      <c r="B614" s="42"/>
      <c r="C614" s="42"/>
      <c r="D614" s="43"/>
      <c r="E614" s="43"/>
      <c r="F614" s="43"/>
    </row>
    <row r="615">
      <c r="A615" s="42"/>
      <c r="B615" s="42"/>
      <c r="C615" s="42"/>
      <c r="D615" s="43"/>
      <c r="E615" s="43"/>
      <c r="F615" s="43"/>
    </row>
    <row r="616">
      <c r="A616" s="42"/>
      <c r="B616" s="42"/>
      <c r="C616" s="42"/>
      <c r="D616" s="43"/>
      <c r="E616" s="43"/>
      <c r="F616" s="43"/>
    </row>
    <row r="617">
      <c r="A617" s="42"/>
      <c r="B617" s="42"/>
      <c r="C617" s="42"/>
      <c r="D617" s="43"/>
      <c r="E617" s="43"/>
      <c r="F617" s="43"/>
    </row>
    <row r="618">
      <c r="A618" s="42"/>
      <c r="B618" s="42"/>
      <c r="C618" s="42"/>
      <c r="D618" s="43"/>
      <c r="E618" s="43"/>
      <c r="F618" s="43"/>
    </row>
    <row r="619">
      <c r="A619" s="42"/>
      <c r="B619" s="42"/>
      <c r="C619" s="42"/>
      <c r="D619" s="43"/>
      <c r="E619" s="43"/>
      <c r="F619" s="43"/>
    </row>
    <row r="620">
      <c r="A620" s="42"/>
      <c r="B620" s="42"/>
      <c r="C620" s="42"/>
      <c r="D620" s="43"/>
      <c r="E620" s="43"/>
      <c r="F620" s="43"/>
    </row>
    <row r="621">
      <c r="A621" s="42"/>
      <c r="B621" s="42"/>
      <c r="C621" s="42"/>
      <c r="D621" s="43"/>
      <c r="E621" s="43"/>
      <c r="F621" s="43"/>
    </row>
    <row r="622">
      <c r="A622" s="42"/>
      <c r="B622" s="42"/>
      <c r="C622" s="42"/>
      <c r="D622" s="43"/>
      <c r="E622" s="43"/>
      <c r="F622" s="43"/>
    </row>
    <row r="623">
      <c r="A623" s="42"/>
      <c r="B623" s="42"/>
      <c r="C623" s="42"/>
      <c r="D623" s="43"/>
      <c r="E623" s="43"/>
      <c r="F623" s="43"/>
    </row>
    <row r="624">
      <c r="A624" s="42"/>
      <c r="B624" s="42"/>
      <c r="C624" s="42"/>
      <c r="D624" s="43"/>
      <c r="E624" s="43"/>
      <c r="F624" s="43"/>
    </row>
    <row r="625">
      <c r="A625" s="42"/>
      <c r="B625" s="42"/>
      <c r="C625" s="42"/>
      <c r="D625" s="43"/>
      <c r="E625" s="43"/>
      <c r="F625" s="43"/>
    </row>
    <row r="626">
      <c r="A626" s="42"/>
      <c r="B626" s="42"/>
      <c r="C626" s="42"/>
      <c r="D626" s="43"/>
      <c r="E626" s="43"/>
      <c r="F626" s="43"/>
    </row>
    <row r="627">
      <c r="A627" s="42"/>
      <c r="B627" s="42"/>
      <c r="C627" s="42"/>
      <c r="D627" s="43"/>
      <c r="E627" s="43"/>
      <c r="F627" s="43"/>
    </row>
    <row r="628">
      <c r="A628" s="42"/>
      <c r="B628" s="42"/>
      <c r="C628" s="42"/>
      <c r="D628" s="43"/>
      <c r="E628" s="43"/>
      <c r="F628" s="43"/>
    </row>
    <row r="629">
      <c r="A629" s="42"/>
      <c r="B629" s="42"/>
      <c r="C629" s="42"/>
      <c r="D629" s="43"/>
      <c r="E629" s="43"/>
      <c r="F629" s="43"/>
    </row>
    <row r="630">
      <c r="A630" s="42"/>
      <c r="B630" s="42"/>
      <c r="C630" s="42"/>
      <c r="D630" s="43"/>
      <c r="E630" s="43"/>
      <c r="F630" s="43"/>
    </row>
    <row r="631">
      <c r="A631" s="42"/>
      <c r="B631" s="42"/>
      <c r="C631" s="42"/>
      <c r="D631" s="43"/>
      <c r="E631" s="43"/>
      <c r="F631" s="43"/>
    </row>
    <row r="632">
      <c r="A632" s="42"/>
      <c r="B632" s="42"/>
      <c r="C632" s="42"/>
      <c r="D632" s="43"/>
      <c r="E632" s="43"/>
      <c r="F632" s="43"/>
    </row>
    <row r="633">
      <c r="A633" s="42"/>
      <c r="B633" s="42"/>
      <c r="C633" s="42"/>
      <c r="D633" s="43"/>
      <c r="E633" s="43"/>
      <c r="F633" s="43"/>
    </row>
    <row r="634">
      <c r="A634" s="42"/>
      <c r="B634" s="42"/>
      <c r="C634" s="42"/>
      <c r="D634" s="43"/>
      <c r="E634" s="43"/>
      <c r="F634" s="43"/>
    </row>
    <row r="635">
      <c r="A635" s="42"/>
      <c r="B635" s="42"/>
      <c r="C635" s="42"/>
      <c r="D635" s="43"/>
      <c r="E635" s="43"/>
      <c r="F635" s="43"/>
    </row>
    <row r="636">
      <c r="A636" s="42"/>
      <c r="B636" s="42"/>
      <c r="C636" s="42"/>
      <c r="D636" s="43"/>
      <c r="E636" s="43"/>
      <c r="F636" s="43"/>
    </row>
    <row r="637">
      <c r="A637" s="42"/>
      <c r="B637" s="42"/>
      <c r="C637" s="42"/>
      <c r="D637" s="43"/>
      <c r="E637" s="43"/>
      <c r="F637" s="43"/>
    </row>
    <row r="638">
      <c r="A638" s="42"/>
      <c r="B638" s="42"/>
      <c r="C638" s="42"/>
      <c r="D638" s="43"/>
      <c r="E638" s="43"/>
      <c r="F638" s="43"/>
    </row>
    <row r="639">
      <c r="A639" s="42"/>
      <c r="B639" s="42"/>
      <c r="C639" s="42"/>
      <c r="D639" s="43"/>
      <c r="E639" s="43"/>
      <c r="F639" s="43"/>
    </row>
    <row r="640">
      <c r="A640" s="42"/>
      <c r="B640" s="42"/>
      <c r="C640" s="42"/>
      <c r="D640" s="43"/>
      <c r="E640" s="43"/>
      <c r="F640" s="43"/>
    </row>
    <row r="641">
      <c r="A641" s="42"/>
      <c r="B641" s="42"/>
      <c r="C641" s="42"/>
      <c r="D641" s="43"/>
      <c r="E641" s="43"/>
      <c r="F641" s="43"/>
    </row>
    <row r="642">
      <c r="A642" s="42"/>
      <c r="B642" s="42"/>
      <c r="C642" s="42"/>
      <c r="D642" s="43"/>
      <c r="E642" s="43"/>
      <c r="F642" s="43"/>
    </row>
    <row r="643">
      <c r="A643" s="42"/>
      <c r="B643" s="42"/>
      <c r="C643" s="42"/>
      <c r="D643" s="43"/>
      <c r="E643" s="43"/>
      <c r="F643" s="43"/>
    </row>
    <row r="644">
      <c r="A644" s="42"/>
      <c r="B644" s="42"/>
      <c r="C644" s="42"/>
      <c r="D644" s="43"/>
      <c r="E644" s="43"/>
      <c r="F644" s="43"/>
    </row>
    <row r="645">
      <c r="A645" s="42"/>
      <c r="B645" s="42"/>
      <c r="C645" s="42"/>
      <c r="D645" s="43"/>
      <c r="E645" s="43"/>
      <c r="F645" s="43"/>
    </row>
    <row r="646">
      <c r="A646" s="42"/>
      <c r="B646" s="42"/>
      <c r="C646" s="42"/>
      <c r="D646" s="43"/>
      <c r="E646" s="43"/>
      <c r="F646" s="43"/>
    </row>
    <row r="647">
      <c r="A647" s="42"/>
      <c r="B647" s="42"/>
      <c r="C647" s="42"/>
      <c r="D647" s="43"/>
      <c r="E647" s="43"/>
      <c r="F647" s="43"/>
    </row>
    <row r="648">
      <c r="A648" s="42"/>
      <c r="B648" s="42"/>
      <c r="C648" s="42"/>
      <c r="D648" s="43"/>
      <c r="E648" s="43"/>
      <c r="F648" s="43"/>
    </row>
    <row r="649">
      <c r="A649" s="42"/>
      <c r="B649" s="42"/>
      <c r="C649" s="42"/>
      <c r="D649" s="43"/>
      <c r="E649" s="43"/>
      <c r="F649" s="43"/>
    </row>
    <row r="650">
      <c r="A650" s="42"/>
      <c r="B650" s="42"/>
      <c r="C650" s="42"/>
      <c r="D650" s="43"/>
      <c r="E650" s="43"/>
      <c r="F650" s="43"/>
    </row>
    <row r="651">
      <c r="A651" s="42"/>
      <c r="B651" s="42"/>
      <c r="C651" s="42"/>
      <c r="D651" s="43"/>
      <c r="E651" s="43"/>
      <c r="F651" s="43"/>
    </row>
    <row r="652">
      <c r="A652" s="42"/>
      <c r="B652" s="42"/>
      <c r="C652" s="42"/>
      <c r="D652" s="43"/>
      <c r="E652" s="43"/>
      <c r="F652" s="43"/>
    </row>
    <row r="653">
      <c r="A653" s="42"/>
      <c r="B653" s="42"/>
      <c r="C653" s="42"/>
      <c r="D653" s="43"/>
      <c r="E653" s="43"/>
      <c r="F653" s="43"/>
    </row>
    <row r="654">
      <c r="A654" s="42"/>
      <c r="B654" s="42"/>
      <c r="C654" s="42"/>
      <c r="D654" s="43"/>
      <c r="E654" s="43"/>
      <c r="F654" s="43"/>
    </row>
    <row r="655">
      <c r="A655" s="42"/>
      <c r="B655" s="42"/>
      <c r="C655" s="42"/>
      <c r="D655" s="43"/>
      <c r="E655" s="43"/>
      <c r="F655" s="43"/>
    </row>
    <row r="656">
      <c r="A656" s="42"/>
      <c r="B656" s="42"/>
      <c r="C656" s="42"/>
      <c r="D656" s="43"/>
      <c r="E656" s="43"/>
      <c r="F656" s="43"/>
    </row>
    <row r="657">
      <c r="A657" s="42"/>
      <c r="B657" s="42"/>
      <c r="C657" s="42"/>
      <c r="D657" s="43"/>
      <c r="E657" s="43"/>
      <c r="F657" s="43"/>
    </row>
    <row r="658">
      <c r="A658" s="42"/>
      <c r="B658" s="42"/>
      <c r="C658" s="42"/>
      <c r="D658" s="43"/>
      <c r="E658" s="43"/>
      <c r="F658" s="43"/>
    </row>
    <row r="659">
      <c r="A659" s="42"/>
      <c r="B659" s="42"/>
      <c r="C659" s="42"/>
      <c r="D659" s="43"/>
      <c r="E659" s="43"/>
      <c r="F659" s="43"/>
    </row>
    <row r="660">
      <c r="A660" s="42"/>
      <c r="B660" s="42"/>
      <c r="C660" s="42"/>
      <c r="D660" s="43"/>
      <c r="E660" s="43"/>
      <c r="F660" s="43"/>
    </row>
    <row r="661">
      <c r="A661" s="42"/>
      <c r="B661" s="42"/>
      <c r="C661" s="42"/>
      <c r="D661" s="43"/>
      <c r="E661" s="43"/>
      <c r="F661" s="43"/>
    </row>
    <row r="662">
      <c r="A662" s="42"/>
      <c r="B662" s="42"/>
      <c r="C662" s="42"/>
      <c r="D662" s="43"/>
      <c r="E662" s="43"/>
      <c r="F662" s="43"/>
    </row>
    <row r="663">
      <c r="A663" s="42"/>
      <c r="B663" s="42"/>
      <c r="C663" s="42"/>
      <c r="D663" s="43"/>
      <c r="E663" s="43"/>
      <c r="F663" s="43"/>
    </row>
    <row r="664">
      <c r="A664" s="42"/>
      <c r="B664" s="42"/>
      <c r="C664" s="42"/>
      <c r="D664" s="43"/>
      <c r="E664" s="43"/>
      <c r="F664" s="43"/>
    </row>
    <row r="665">
      <c r="A665" s="42"/>
      <c r="B665" s="42"/>
      <c r="C665" s="42"/>
      <c r="D665" s="43"/>
      <c r="E665" s="43"/>
      <c r="F665" s="43"/>
    </row>
    <row r="666">
      <c r="A666" s="42"/>
      <c r="B666" s="42"/>
      <c r="C666" s="42"/>
      <c r="D666" s="43"/>
      <c r="E666" s="43"/>
      <c r="F666" s="43"/>
    </row>
    <row r="667">
      <c r="A667" s="42"/>
      <c r="B667" s="42"/>
      <c r="C667" s="42"/>
      <c r="D667" s="43"/>
      <c r="E667" s="43"/>
      <c r="F667" s="43"/>
    </row>
    <row r="668">
      <c r="A668" s="42"/>
      <c r="B668" s="42"/>
      <c r="C668" s="42"/>
      <c r="D668" s="43"/>
      <c r="E668" s="43"/>
      <c r="F668" s="43"/>
    </row>
    <row r="669">
      <c r="A669" s="42"/>
      <c r="B669" s="42"/>
      <c r="C669" s="42"/>
      <c r="D669" s="43"/>
      <c r="E669" s="43"/>
      <c r="F669" s="43"/>
    </row>
    <row r="670">
      <c r="A670" s="42"/>
      <c r="B670" s="42"/>
      <c r="C670" s="42"/>
      <c r="D670" s="43"/>
      <c r="E670" s="43"/>
      <c r="F670" s="43"/>
    </row>
    <row r="671">
      <c r="A671" s="42"/>
      <c r="B671" s="42"/>
      <c r="C671" s="42"/>
      <c r="D671" s="43"/>
      <c r="E671" s="43"/>
      <c r="F671" s="43"/>
    </row>
    <row r="672">
      <c r="A672" s="42"/>
      <c r="B672" s="42"/>
      <c r="C672" s="42"/>
      <c r="D672" s="43"/>
      <c r="E672" s="43"/>
      <c r="F672" s="43"/>
    </row>
    <row r="673">
      <c r="A673" s="42"/>
      <c r="B673" s="42"/>
      <c r="C673" s="42"/>
      <c r="D673" s="43"/>
      <c r="E673" s="43"/>
      <c r="F673" s="43"/>
    </row>
    <row r="674">
      <c r="A674" s="42"/>
      <c r="B674" s="42"/>
      <c r="C674" s="42"/>
      <c r="D674" s="43"/>
      <c r="E674" s="43"/>
      <c r="F674" s="43"/>
    </row>
    <row r="675">
      <c r="A675" s="42"/>
      <c r="B675" s="42"/>
      <c r="C675" s="42"/>
      <c r="D675" s="43"/>
      <c r="E675" s="43"/>
      <c r="F675" s="43"/>
    </row>
    <row r="676">
      <c r="A676" s="42"/>
      <c r="B676" s="42"/>
      <c r="C676" s="42"/>
      <c r="D676" s="43"/>
      <c r="E676" s="43"/>
      <c r="F676" s="43"/>
    </row>
    <row r="677">
      <c r="A677" s="42"/>
      <c r="B677" s="42"/>
      <c r="C677" s="42"/>
      <c r="D677" s="43"/>
      <c r="E677" s="43"/>
      <c r="F677" s="43"/>
    </row>
    <row r="678">
      <c r="A678" s="42"/>
      <c r="B678" s="42"/>
      <c r="C678" s="42"/>
      <c r="D678" s="43"/>
      <c r="E678" s="43"/>
      <c r="F678" s="43"/>
    </row>
    <row r="679">
      <c r="A679" s="42"/>
      <c r="B679" s="42"/>
      <c r="C679" s="42"/>
      <c r="D679" s="43"/>
      <c r="E679" s="43"/>
      <c r="F679" s="43"/>
    </row>
    <row r="680">
      <c r="A680" s="42"/>
      <c r="B680" s="42"/>
      <c r="C680" s="42"/>
      <c r="D680" s="43"/>
      <c r="E680" s="43"/>
      <c r="F680" s="43"/>
    </row>
    <row r="681">
      <c r="A681" s="42"/>
      <c r="B681" s="42"/>
      <c r="C681" s="42"/>
      <c r="D681" s="43"/>
      <c r="E681" s="43"/>
      <c r="F681" s="43"/>
    </row>
    <row r="682">
      <c r="A682" s="42"/>
      <c r="B682" s="42"/>
      <c r="C682" s="42"/>
      <c r="D682" s="43"/>
      <c r="E682" s="43"/>
      <c r="F682" s="43"/>
    </row>
    <row r="683">
      <c r="A683" s="42"/>
      <c r="B683" s="42"/>
      <c r="C683" s="42"/>
      <c r="D683" s="43"/>
      <c r="E683" s="43"/>
      <c r="F683" s="43"/>
    </row>
    <row r="684">
      <c r="A684" s="42"/>
      <c r="B684" s="42"/>
      <c r="C684" s="42"/>
      <c r="D684" s="43"/>
      <c r="E684" s="43"/>
      <c r="F684" s="43"/>
    </row>
    <row r="685">
      <c r="A685" s="42"/>
      <c r="B685" s="42"/>
      <c r="C685" s="42"/>
      <c r="D685" s="43"/>
      <c r="E685" s="43"/>
      <c r="F685" s="43"/>
    </row>
    <row r="686">
      <c r="A686" s="42"/>
      <c r="B686" s="42"/>
      <c r="C686" s="42"/>
      <c r="D686" s="43"/>
      <c r="E686" s="43"/>
      <c r="F686" s="43"/>
    </row>
    <row r="687">
      <c r="A687" s="42"/>
      <c r="B687" s="42"/>
      <c r="C687" s="42"/>
      <c r="D687" s="43"/>
      <c r="E687" s="43"/>
      <c r="F687" s="43"/>
    </row>
    <row r="688">
      <c r="A688" s="42"/>
      <c r="B688" s="42"/>
      <c r="C688" s="42"/>
      <c r="D688" s="43"/>
      <c r="E688" s="43"/>
      <c r="F688" s="43"/>
    </row>
    <row r="689">
      <c r="A689" s="42"/>
      <c r="B689" s="42"/>
      <c r="C689" s="42"/>
      <c r="D689" s="43"/>
      <c r="E689" s="43"/>
      <c r="F689" s="43"/>
    </row>
    <row r="690">
      <c r="A690" s="42"/>
      <c r="B690" s="42"/>
      <c r="C690" s="42"/>
      <c r="D690" s="43"/>
      <c r="E690" s="43"/>
      <c r="F690" s="43"/>
    </row>
    <row r="691">
      <c r="A691" s="42"/>
      <c r="B691" s="42"/>
      <c r="C691" s="42"/>
      <c r="D691" s="43"/>
      <c r="E691" s="43"/>
      <c r="F691" s="43"/>
    </row>
    <row r="692">
      <c r="A692" s="42"/>
      <c r="B692" s="42"/>
      <c r="C692" s="42"/>
      <c r="D692" s="43"/>
      <c r="E692" s="43"/>
      <c r="F692" s="43"/>
    </row>
    <row r="693">
      <c r="A693" s="42"/>
      <c r="B693" s="42"/>
      <c r="C693" s="42"/>
      <c r="D693" s="43"/>
      <c r="E693" s="43"/>
      <c r="F693" s="43"/>
    </row>
    <row r="694">
      <c r="A694" s="42"/>
      <c r="B694" s="42"/>
      <c r="C694" s="42"/>
      <c r="D694" s="43"/>
      <c r="E694" s="43"/>
      <c r="F694" s="43"/>
    </row>
    <row r="695">
      <c r="A695" s="42"/>
      <c r="B695" s="42"/>
      <c r="C695" s="42"/>
      <c r="D695" s="43"/>
      <c r="E695" s="43"/>
      <c r="F695" s="43"/>
    </row>
    <row r="696">
      <c r="A696" s="42"/>
      <c r="B696" s="42"/>
      <c r="C696" s="42"/>
      <c r="D696" s="43"/>
      <c r="E696" s="43"/>
      <c r="F696" s="43"/>
    </row>
    <row r="697">
      <c r="A697" s="42"/>
      <c r="B697" s="42"/>
      <c r="C697" s="42"/>
      <c r="D697" s="43"/>
      <c r="E697" s="43"/>
      <c r="F697" s="43"/>
    </row>
    <row r="698">
      <c r="A698" s="42"/>
      <c r="B698" s="42"/>
      <c r="C698" s="42"/>
      <c r="D698" s="43"/>
      <c r="E698" s="43"/>
      <c r="F698" s="43"/>
    </row>
    <row r="699">
      <c r="A699" s="42"/>
      <c r="B699" s="42"/>
      <c r="C699" s="42"/>
      <c r="D699" s="43"/>
      <c r="E699" s="43"/>
      <c r="F699" s="43"/>
    </row>
    <row r="700">
      <c r="A700" s="42"/>
      <c r="B700" s="42"/>
      <c r="C700" s="42"/>
      <c r="D700" s="43"/>
      <c r="E700" s="43"/>
      <c r="F700" s="43"/>
    </row>
    <row r="701">
      <c r="A701" s="42"/>
      <c r="B701" s="42"/>
      <c r="C701" s="42"/>
      <c r="D701" s="43"/>
      <c r="E701" s="43"/>
      <c r="F701" s="43"/>
    </row>
    <row r="702">
      <c r="A702" s="42"/>
      <c r="B702" s="42"/>
      <c r="C702" s="42"/>
      <c r="D702" s="43"/>
      <c r="E702" s="43"/>
      <c r="F702" s="43"/>
    </row>
    <row r="703">
      <c r="A703" s="42"/>
      <c r="B703" s="42"/>
      <c r="C703" s="42"/>
      <c r="D703" s="43"/>
      <c r="E703" s="43"/>
      <c r="F703" s="43"/>
    </row>
    <row r="704">
      <c r="A704" s="42"/>
      <c r="B704" s="42"/>
      <c r="C704" s="42"/>
      <c r="D704" s="43"/>
      <c r="E704" s="43"/>
      <c r="F704" s="43"/>
    </row>
    <row r="705">
      <c r="A705" s="42"/>
      <c r="B705" s="42"/>
      <c r="C705" s="42"/>
      <c r="D705" s="43"/>
      <c r="E705" s="43"/>
      <c r="F705" s="43"/>
    </row>
    <row r="706">
      <c r="A706" s="42"/>
      <c r="B706" s="42"/>
      <c r="C706" s="42"/>
      <c r="D706" s="43"/>
      <c r="E706" s="43"/>
      <c r="F706" s="43"/>
    </row>
    <row r="707">
      <c r="A707" s="42"/>
      <c r="B707" s="42"/>
      <c r="C707" s="42"/>
      <c r="D707" s="43"/>
      <c r="E707" s="43"/>
      <c r="F707" s="43"/>
    </row>
    <row r="708">
      <c r="A708" s="42"/>
      <c r="B708" s="42"/>
      <c r="C708" s="42"/>
      <c r="D708" s="43"/>
      <c r="E708" s="43"/>
      <c r="F708" s="43"/>
    </row>
    <row r="709">
      <c r="A709" s="42"/>
      <c r="B709" s="42"/>
      <c r="C709" s="42"/>
      <c r="D709" s="43"/>
      <c r="E709" s="43"/>
      <c r="F709" s="43"/>
    </row>
    <row r="710">
      <c r="A710" s="42"/>
      <c r="B710" s="42"/>
      <c r="C710" s="42"/>
      <c r="D710" s="43"/>
      <c r="E710" s="43"/>
      <c r="F710" s="43"/>
    </row>
    <row r="711">
      <c r="A711" s="42"/>
      <c r="B711" s="42"/>
      <c r="C711" s="42"/>
      <c r="D711" s="43"/>
      <c r="E711" s="43"/>
      <c r="F711" s="43"/>
    </row>
    <row r="712">
      <c r="A712" s="42"/>
      <c r="B712" s="42"/>
      <c r="C712" s="42"/>
      <c r="D712" s="43"/>
      <c r="E712" s="43"/>
      <c r="F712" s="43"/>
    </row>
    <row r="713">
      <c r="A713" s="42"/>
      <c r="B713" s="42"/>
      <c r="C713" s="42"/>
      <c r="D713" s="43"/>
      <c r="E713" s="43"/>
      <c r="F713" s="43"/>
    </row>
    <row r="714">
      <c r="A714" s="42"/>
      <c r="B714" s="42"/>
      <c r="C714" s="42"/>
      <c r="D714" s="43"/>
      <c r="E714" s="43"/>
      <c r="F714" s="43"/>
    </row>
    <row r="715">
      <c r="A715" s="42"/>
      <c r="B715" s="42"/>
      <c r="C715" s="42"/>
      <c r="D715" s="43"/>
      <c r="E715" s="43"/>
      <c r="F715" s="43"/>
    </row>
    <row r="716">
      <c r="A716" s="42"/>
      <c r="B716" s="42"/>
      <c r="C716" s="42"/>
      <c r="D716" s="43"/>
      <c r="E716" s="43"/>
      <c r="F716" s="43"/>
    </row>
    <row r="717">
      <c r="A717" s="42"/>
      <c r="B717" s="42"/>
      <c r="C717" s="42"/>
      <c r="D717" s="43"/>
      <c r="E717" s="43"/>
      <c r="F717" s="43"/>
    </row>
    <row r="718">
      <c r="A718" s="42"/>
      <c r="B718" s="42"/>
      <c r="C718" s="42"/>
      <c r="D718" s="43"/>
      <c r="E718" s="43"/>
      <c r="F718" s="43"/>
    </row>
    <row r="719">
      <c r="A719" s="42"/>
      <c r="B719" s="42"/>
      <c r="C719" s="42"/>
      <c r="D719" s="43"/>
      <c r="E719" s="43"/>
      <c r="F719" s="43"/>
    </row>
    <row r="720">
      <c r="A720" s="42"/>
      <c r="B720" s="42"/>
      <c r="C720" s="42"/>
      <c r="D720" s="43"/>
      <c r="E720" s="43"/>
      <c r="F720" s="43"/>
    </row>
    <row r="721">
      <c r="A721" s="42"/>
      <c r="B721" s="42"/>
      <c r="C721" s="42"/>
      <c r="D721" s="43"/>
      <c r="E721" s="43"/>
      <c r="F721" s="43"/>
    </row>
    <row r="722">
      <c r="A722" s="42"/>
      <c r="B722" s="42"/>
      <c r="C722" s="42"/>
      <c r="D722" s="43"/>
      <c r="E722" s="43"/>
      <c r="F722" s="43"/>
    </row>
    <row r="723">
      <c r="A723" s="42"/>
      <c r="B723" s="42"/>
      <c r="C723" s="42"/>
      <c r="D723" s="43"/>
      <c r="E723" s="43"/>
      <c r="F723" s="43"/>
    </row>
    <row r="724">
      <c r="A724" s="42"/>
      <c r="B724" s="42"/>
      <c r="C724" s="42"/>
      <c r="D724" s="43"/>
      <c r="E724" s="43"/>
      <c r="F724" s="43"/>
    </row>
    <row r="725">
      <c r="A725" s="42"/>
      <c r="B725" s="42"/>
      <c r="C725" s="42"/>
      <c r="D725" s="43"/>
      <c r="E725" s="43"/>
      <c r="F725" s="43"/>
    </row>
    <row r="726">
      <c r="A726" s="42"/>
      <c r="B726" s="42"/>
      <c r="C726" s="42"/>
      <c r="D726" s="43"/>
      <c r="E726" s="43"/>
      <c r="F726" s="43"/>
    </row>
    <row r="727">
      <c r="A727" s="42"/>
      <c r="B727" s="42"/>
      <c r="C727" s="42"/>
      <c r="D727" s="43"/>
      <c r="E727" s="43"/>
      <c r="F727" s="43"/>
    </row>
    <row r="728">
      <c r="A728" s="42"/>
      <c r="B728" s="42"/>
      <c r="C728" s="42"/>
      <c r="D728" s="43"/>
      <c r="E728" s="43"/>
      <c r="F728" s="43"/>
    </row>
    <row r="729">
      <c r="A729" s="42"/>
      <c r="B729" s="42"/>
      <c r="C729" s="42"/>
      <c r="D729" s="43"/>
      <c r="E729" s="43"/>
      <c r="F729" s="43"/>
    </row>
    <row r="730">
      <c r="A730" s="42"/>
      <c r="B730" s="42"/>
      <c r="C730" s="42"/>
      <c r="D730" s="43"/>
      <c r="E730" s="43"/>
      <c r="F730" s="43"/>
    </row>
    <row r="731">
      <c r="A731" s="42"/>
      <c r="B731" s="42"/>
      <c r="C731" s="42"/>
      <c r="D731" s="43"/>
      <c r="E731" s="43"/>
      <c r="F731" s="43"/>
    </row>
    <row r="732">
      <c r="A732" s="42"/>
      <c r="B732" s="42"/>
      <c r="C732" s="42"/>
      <c r="D732" s="43"/>
      <c r="E732" s="43"/>
      <c r="F732" s="43"/>
    </row>
    <row r="733">
      <c r="A733" s="42"/>
      <c r="B733" s="42"/>
      <c r="C733" s="42"/>
      <c r="D733" s="43"/>
      <c r="E733" s="43"/>
      <c r="F733" s="43"/>
    </row>
    <row r="734">
      <c r="A734" s="42"/>
      <c r="B734" s="42"/>
      <c r="C734" s="42"/>
      <c r="D734" s="43"/>
      <c r="E734" s="43"/>
      <c r="F734" s="43"/>
    </row>
    <row r="735">
      <c r="A735" s="42"/>
      <c r="B735" s="42"/>
      <c r="C735" s="42"/>
      <c r="D735" s="43"/>
      <c r="E735" s="43"/>
      <c r="F735" s="43"/>
    </row>
    <row r="736">
      <c r="A736" s="42"/>
      <c r="B736" s="42"/>
      <c r="C736" s="42"/>
      <c r="D736" s="43"/>
      <c r="E736" s="43"/>
      <c r="F736" s="43"/>
    </row>
    <row r="737">
      <c r="A737" s="42"/>
      <c r="B737" s="42"/>
      <c r="C737" s="42"/>
      <c r="D737" s="43"/>
      <c r="E737" s="43"/>
      <c r="F737" s="43"/>
    </row>
    <row r="738">
      <c r="A738" s="42"/>
      <c r="B738" s="42"/>
      <c r="C738" s="42"/>
      <c r="D738" s="43"/>
      <c r="E738" s="43"/>
      <c r="F738" s="43"/>
    </row>
    <row r="739">
      <c r="A739" s="42"/>
      <c r="B739" s="42"/>
      <c r="C739" s="42"/>
      <c r="D739" s="43"/>
      <c r="E739" s="43"/>
      <c r="F739" s="43"/>
    </row>
    <row r="740">
      <c r="A740" s="42"/>
      <c r="B740" s="42"/>
      <c r="C740" s="42"/>
      <c r="D740" s="43"/>
      <c r="E740" s="43"/>
      <c r="F740" s="43"/>
    </row>
    <row r="741">
      <c r="A741" s="42"/>
      <c r="B741" s="42"/>
      <c r="C741" s="42"/>
      <c r="D741" s="43"/>
      <c r="E741" s="43"/>
      <c r="F741" s="43"/>
    </row>
    <row r="742">
      <c r="A742" s="42"/>
      <c r="B742" s="42"/>
      <c r="C742" s="42"/>
      <c r="D742" s="43"/>
      <c r="E742" s="43"/>
      <c r="F742" s="43"/>
    </row>
    <row r="743">
      <c r="A743" s="42"/>
      <c r="B743" s="42"/>
      <c r="C743" s="42"/>
      <c r="D743" s="43"/>
      <c r="E743" s="43"/>
      <c r="F743" s="43"/>
    </row>
    <row r="744">
      <c r="A744" s="42"/>
      <c r="B744" s="42"/>
      <c r="C744" s="42"/>
      <c r="D744" s="43"/>
      <c r="E744" s="43"/>
      <c r="F744" s="43"/>
    </row>
    <row r="745">
      <c r="A745" s="42"/>
      <c r="B745" s="42"/>
      <c r="C745" s="42"/>
      <c r="D745" s="43"/>
      <c r="E745" s="43"/>
      <c r="F745" s="43"/>
    </row>
    <row r="746">
      <c r="A746" s="42"/>
      <c r="B746" s="42"/>
      <c r="C746" s="42"/>
      <c r="D746" s="43"/>
      <c r="E746" s="43"/>
      <c r="F746" s="43"/>
    </row>
    <row r="747">
      <c r="A747" s="42"/>
      <c r="B747" s="42"/>
      <c r="C747" s="42"/>
      <c r="D747" s="43"/>
      <c r="E747" s="43"/>
      <c r="F747" s="43"/>
    </row>
    <row r="748">
      <c r="A748" s="42"/>
      <c r="B748" s="42"/>
      <c r="C748" s="42"/>
      <c r="D748" s="43"/>
      <c r="E748" s="43"/>
      <c r="F748" s="43"/>
    </row>
    <row r="749">
      <c r="A749" s="42"/>
      <c r="B749" s="42"/>
      <c r="C749" s="42"/>
      <c r="D749" s="43"/>
      <c r="E749" s="43"/>
      <c r="F749" s="43"/>
    </row>
    <row r="750">
      <c r="A750" s="42"/>
      <c r="B750" s="42"/>
      <c r="C750" s="42"/>
      <c r="D750" s="43"/>
      <c r="E750" s="43"/>
      <c r="F750" s="43"/>
    </row>
    <row r="751">
      <c r="A751" s="42"/>
      <c r="B751" s="42"/>
      <c r="C751" s="42"/>
      <c r="D751" s="43"/>
      <c r="E751" s="43"/>
      <c r="F751" s="43"/>
    </row>
    <row r="752">
      <c r="A752" s="42"/>
      <c r="B752" s="42"/>
      <c r="C752" s="42"/>
      <c r="D752" s="43"/>
      <c r="E752" s="43"/>
      <c r="F752" s="43"/>
    </row>
    <row r="753">
      <c r="A753" s="42"/>
      <c r="B753" s="42"/>
      <c r="C753" s="42"/>
      <c r="D753" s="43"/>
      <c r="E753" s="43"/>
      <c r="F753" s="43"/>
    </row>
    <row r="754">
      <c r="A754" s="42"/>
      <c r="B754" s="42"/>
      <c r="C754" s="42"/>
      <c r="D754" s="43"/>
      <c r="E754" s="43"/>
      <c r="F754" s="43"/>
    </row>
    <row r="755">
      <c r="A755" s="42"/>
      <c r="B755" s="42"/>
      <c r="C755" s="42"/>
      <c r="D755" s="43"/>
      <c r="E755" s="43"/>
      <c r="F755" s="43"/>
    </row>
    <row r="756">
      <c r="A756" s="42"/>
      <c r="B756" s="42"/>
      <c r="C756" s="42"/>
      <c r="D756" s="43"/>
      <c r="E756" s="43"/>
      <c r="F756" s="43"/>
    </row>
    <row r="757">
      <c r="A757" s="42"/>
      <c r="B757" s="42"/>
      <c r="C757" s="42"/>
      <c r="D757" s="43"/>
      <c r="E757" s="43"/>
      <c r="F757" s="43"/>
    </row>
    <row r="758">
      <c r="A758" s="42"/>
      <c r="B758" s="42"/>
      <c r="C758" s="42"/>
      <c r="D758" s="43"/>
      <c r="E758" s="43"/>
      <c r="F758" s="43"/>
    </row>
    <row r="759">
      <c r="A759" s="42"/>
      <c r="B759" s="42"/>
      <c r="C759" s="42"/>
      <c r="D759" s="43"/>
      <c r="E759" s="43"/>
      <c r="F759" s="43"/>
    </row>
    <row r="760">
      <c r="A760" s="42"/>
      <c r="B760" s="42"/>
      <c r="C760" s="42"/>
      <c r="D760" s="43"/>
      <c r="E760" s="43"/>
      <c r="F760" s="43"/>
    </row>
    <row r="761">
      <c r="A761" s="42"/>
      <c r="B761" s="42"/>
      <c r="C761" s="42"/>
      <c r="D761" s="43"/>
      <c r="E761" s="43"/>
      <c r="F761" s="43"/>
    </row>
    <row r="762">
      <c r="A762" s="42"/>
      <c r="B762" s="42"/>
      <c r="C762" s="42"/>
      <c r="D762" s="43"/>
      <c r="E762" s="43"/>
      <c r="F762" s="43"/>
    </row>
    <row r="763">
      <c r="A763" s="42"/>
      <c r="B763" s="42"/>
      <c r="C763" s="42"/>
      <c r="D763" s="43"/>
      <c r="E763" s="43"/>
      <c r="F763" s="43"/>
    </row>
    <row r="764">
      <c r="A764" s="42"/>
      <c r="B764" s="42"/>
      <c r="C764" s="42"/>
      <c r="D764" s="43"/>
      <c r="E764" s="43"/>
      <c r="F764" s="43"/>
    </row>
    <row r="765">
      <c r="A765" s="42"/>
      <c r="B765" s="42"/>
      <c r="C765" s="42"/>
      <c r="D765" s="43"/>
      <c r="E765" s="43"/>
      <c r="F765" s="43"/>
    </row>
    <row r="766">
      <c r="A766" s="42"/>
      <c r="B766" s="42"/>
      <c r="C766" s="42"/>
      <c r="D766" s="43"/>
      <c r="E766" s="43"/>
      <c r="F766" s="43"/>
    </row>
    <row r="767">
      <c r="A767" s="42"/>
      <c r="B767" s="42"/>
      <c r="C767" s="42"/>
      <c r="D767" s="43"/>
      <c r="E767" s="43"/>
      <c r="F767" s="43"/>
    </row>
    <row r="768">
      <c r="A768" s="42"/>
      <c r="B768" s="42"/>
      <c r="C768" s="42"/>
      <c r="D768" s="43"/>
      <c r="E768" s="43"/>
      <c r="F768" s="43"/>
    </row>
    <row r="769">
      <c r="A769" s="42"/>
      <c r="B769" s="42"/>
      <c r="C769" s="42"/>
      <c r="D769" s="43"/>
      <c r="E769" s="43"/>
      <c r="F769" s="43"/>
    </row>
    <row r="770">
      <c r="A770" s="42"/>
      <c r="B770" s="42"/>
      <c r="C770" s="42"/>
      <c r="D770" s="43"/>
      <c r="E770" s="43"/>
      <c r="F770" s="43"/>
    </row>
    <row r="771">
      <c r="A771" s="42"/>
      <c r="B771" s="42"/>
      <c r="C771" s="42"/>
      <c r="D771" s="43"/>
      <c r="E771" s="43"/>
      <c r="F771" s="43"/>
    </row>
    <row r="772">
      <c r="A772" s="42"/>
      <c r="B772" s="42"/>
      <c r="C772" s="42"/>
      <c r="D772" s="43"/>
      <c r="E772" s="43"/>
      <c r="F772" s="43"/>
    </row>
    <row r="773">
      <c r="A773" s="42"/>
      <c r="B773" s="42"/>
      <c r="C773" s="42"/>
      <c r="D773" s="43"/>
      <c r="E773" s="43"/>
      <c r="F773" s="43"/>
    </row>
    <row r="774">
      <c r="A774" s="42"/>
      <c r="B774" s="42"/>
      <c r="C774" s="42"/>
      <c r="D774" s="43"/>
      <c r="E774" s="43"/>
      <c r="F774" s="43"/>
    </row>
    <row r="775">
      <c r="A775" s="42"/>
      <c r="B775" s="42"/>
      <c r="C775" s="42"/>
      <c r="D775" s="43"/>
      <c r="E775" s="43"/>
      <c r="F775" s="43"/>
    </row>
    <row r="776">
      <c r="A776" s="42"/>
      <c r="B776" s="42"/>
      <c r="C776" s="42"/>
      <c r="D776" s="43"/>
      <c r="E776" s="43"/>
      <c r="F776" s="43"/>
    </row>
    <row r="777">
      <c r="A777" s="42"/>
      <c r="B777" s="42"/>
      <c r="C777" s="42"/>
      <c r="D777" s="43"/>
      <c r="E777" s="43"/>
      <c r="F777" s="43"/>
    </row>
    <row r="778">
      <c r="A778" s="42"/>
      <c r="B778" s="42"/>
      <c r="C778" s="42"/>
      <c r="D778" s="43"/>
      <c r="E778" s="43"/>
      <c r="F778" s="43"/>
    </row>
    <row r="779">
      <c r="A779" s="42"/>
      <c r="B779" s="42"/>
      <c r="C779" s="42"/>
      <c r="D779" s="43"/>
      <c r="E779" s="43"/>
      <c r="F779" s="43"/>
    </row>
    <row r="780">
      <c r="A780" s="42"/>
      <c r="B780" s="42"/>
      <c r="C780" s="42"/>
      <c r="D780" s="43"/>
      <c r="E780" s="43"/>
      <c r="F780" s="43"/>
    </row>
    <row r="781">
      <c r="A781" s="42"/>
      <c r="B781" s="42"/>
      <c r="C781" s="42"/>
      <c r="D781" s="43"/>
      <c r="E781" s="43"/>
      <c r="F781" s="43"/>
    </row>
    <row r="782">
      <c r="A782" s="42"/>
      <c r="B782" s="42"/>
      <c r="C782" s="42"/>
      <c r="D782" s="43"/>
      <c r="E782" s="43"/>
      <c r="F782" s="43"/>
    </row>
    <row r="783">
      <c r="A783" s="42"/>
      <c r="B783" s="42"/>
      <c r="C783" s="42"/>
      <c r="D783" s="43"/>
      <c r="E783" s="43"/>
      <c r="F783" s="43"/>
    </row>
    <row r="784">
      <c r="A784" s="42"/>
      <c r="B784" s="42"/>
      <c r="C784" s="42"/>
      <c r="D784" s="43"/>
      <c r="E784" s="43"/>
      <c r="F784" s="43"/>
    </row>
    <row r="785">
      <c r="A785" s="42"/>
      <c r="B785" s="42"/>
      <c r="C785" s="42"/>
      <c r="D785" s="43"/>
      <c r="E785" s="43"/>
      <c r="F785" s="43"/>
    </row>
    <row r="786">
      <c r="A786" s="42"/>
      <c r="B786" s="42"/>
      <c r="C786" s="42"/>
      <c r="D786" s="43"/>
      <c r="E786" s="43"/>
      <c r="F786" s="43"/>
    </row>
    <row r="787">
      <c r="A787" s="42"/>
      <c r="B787" s="42"/>
      <c r="C787" s="42"/>
      <c r="D787" s="43"/>
      <c r="E787" s="43"/>
      <c r="F787" s="43"/>
    </row>
    <row r="788">
      <c r="A788" s="42"/>
      <c r="B788" s="42"/>
      <c r="C788" s="42"/>
      <c r="D788" s="43"/>
      <c r="E788" s="43"/>
      <c r="F788" s="43"/>
    </row>
    <row r="789">
      <c r="A789" s="42"/>
      <c r="B789" s="42"/>
      <c r="C789" s="42"/>
      <c r="D789" s="43"/>
      <c r="E789" s="43"/>
      <c r="F789" s="43"/>
    </row>
    <row r="790">
      <c r="A790" s="42"/>
      <c r="B790" s="42"/>
      <c r="C790" s="42"/>
      <c r="D790" s="43"/>
      <c r="E790" s="43"/>
      <c r="F790" s="43"/>
    </row>
    <row r="791">
      <c r="A791" s="42"/>
      <c r="B791" s="42"/>
      <c r="C791" s="42"/>
      <c r="D791" s="43"/>
      <c r="E791" s="43"/>
      <c r="F791" s="43"/>
    </row>
    <row r="792">
      <c r="A792" s="42"/>
      <c r="B792" s="42"/>
      <c r="C792" s="42"/>
      <c r="D792" s="43"/>
      <c r="E792" s="43"/>
      <c r="F792" s="43"/>
    </row>
    <row r="793">
      <c r="A793" s="42"/>
      <c r="B793" s="42"/>
      <c r="C793" s="42"/>
      <c r="D793" s="43"/>
      <c r="E793" s="43"/>
      <c r="F793" s="43"/>
    </row>
    <row r="794">
      <c r="A794" s="42"/>
      <c r="B794" s="42"/>
      <c r="C794" s="42"/>
      <c r="D794" s="43"/>
      <c r="E794" s="43"/>
      <c r="F794" s="43"/>
    </row>
    <row r="795">
      <c r="A795" s="42"/>
      <c r="B795" s="42"/>
      <c r="C795" s="42"/>
      <c r="D795" s="43"/>
      <c r="E795" s="43"/>
      <c r="F795" s="43"/>
    </row>
    <row r="796">
      <c r="A796" s="42"/>
      <c r="B796" s="42"/>
      <c r="C796" s="42"/>
      <c r="D796" s="43"/>
      <c r="E796" s="43"/>
      <c r="F796" s="43"/>
    </row>
    <row r="797">
      <c r="A797" s="42"/>
      <c r="B797" s="42"/>
      <c r="C797" s="42"/>
      <c r="D797" s="43"/>
      <c r="E797" s="43"/>
      <c r="F797" s="43"/>
    </row>
    <row r="798">
      <c r="A798" s="42"/>
      <c r="B798" s="42"/>
      <c r="C798" s="42"/>
      <c r="D798" s="43"/>
      <c r="E798" s="43"/>
      <c r="F798" s="43"/>
    </row>
    <row r="799">
      <c r="A799" s="42"/>
      <c r="B799" s="42"/>
      <c r="C799" s="42"/>
      <c r="D799" s="43"/>
      <c r="E799" s="43"/>
      <c r="F799" s="43"/>
    </row>
    <row r="800">
      <c r="A800" s="42"/>
      <c r="B800" s="42"/>
      <c r="C800" s="42"/>
      <c r="D800" s="43"/>
      <c r="E800" s="43"/>
      <c r="F800" s="43"/>
    </row>
    <row r="801">
      <c r="A801" s="42"/>
      <c r="B801" s="42"/>
      <c r="C801" s="42"/>
      <c r="D801" s="43"/>
      <c r="E801" s="43"/>
      <c r="F801" s="43"/>
    </row>
    <row r="802">
      <c r="A802" s="42"/>
      <c r="B802" s="42"/>
      <c r="C802" s="42"/>
      <c r="D802" s="43"/>
      <c r="E802" s="43"/>
      <c r="F802" s="43"/>
    </row>
    <row r="803">
      <c r="A803" s="42"/>
      <c r="B803" s="42"/>
      <c r="C803" s="42"/>
      <c r="D803" s="43"/>
      <c r="E803" s="43"/>
      <c r="F803" s="43"/>
    </row>
    <row r="804">
      <c r="A804" s="42"/>
      <c r="B804" s="42"/>
      <c r="C804" s="42"/>
      <c r="D804" s="43"/>
      <c r="E804" s="43"/>
      <c r="F804" s="43"/>
    </row>
    <row r="805">
      <c r="A805" s="42"/>
      <c r="B805" s="42"/>
      <c r="C805" s="42"/>
      <c r="D805" s="43"/>
      <c r="E805" s="43"/>
      <c r="F805" s="43"/>
    </row>
    <row r="806">
      <c r="A806" s="42"/>
      <c r="B806" s="42"/>
      <c r="C806" s="42"/>
      <c r="D806" s="43"/>
      <c r="E806" s="43"/>
      <c r="F806" s="43"/>
    </row>
    <row r="807">
      <c r="A807" s="42"/>
      <c r="B807" s="42"/>
      <c r="C807" s="42"/>
      <c r="D807" s="43"/>
      <c r="E807" s="43"/>
      <c r="F807" s="43"/>
    </row>
    <row r="808">
      <c r="A808" s="42"/>
      <c r="B808" s="42"/>
      <c r="C808" s="42"/>
      <c r="D808" s="43"/>
      <c r="E808" s="43"/>
      <c r="F808" s="43"/>
    </row>
    <row r="809">
      <c r="A809" s="42"/>
      <c r="B809" s="42"/>
      <c r="C809" s="42"/>
      <c r="D809" s="43"/>
      <c r="E809" s="43"/>
      <c r="F809" s="43"/>
    </row>
    <row r="810">
      <c r="A810" s="42"/>
      <c r="B810" s="42"/>
      <c r="C810" s="42"/>
      <c r="D810" s="43"/>
      <c r="E810" s="43"/>
      <c r="F810" s="43"/>
    </row>
    <row r="811">
      <c r="A811" s="42"/>
      <c r="B811" s="42"/>
      <c r="C811" s="42"/>
      <c r="D811" s="43"/>
      <c r="E811" s="43"/>
      <c r="F811" s="43"/>
    </row>
    <row r="812">
      <c r="A812" s="42"/>
      <c r="B812" s="42"/>
      <c r="C812" s="42"/>
      <c r="D812" s="43"/>
      <c r="E812" s="43"/>
      <c r="F812" s="43"/>
    </row>
    <row r="813">
      <c r="A813" s="42"/>
      <c r="B813" s="42"/>
      <c r="C813" s="42"/>
      <c r="D813" s="43"/>
      <c r="E813" s="43"/>
      <c r="F813" s="43"/>
    </row>
    <row r="814">
      <c r="A814" s="42"/>
      <c r="B814" s="42"/>
      <c r="C814" s="42"/>
      <c r="D814" s="43"/>
      <c r="E814" s="43"/>
      <c r="F814" s="43"/>
    </row>
    <row r="815">
      <c r="A815" s="42"/>
      <c r="B815" s="42"/>
      <c r="C815" s="42"/>
      <c r="D815" s="43"/>
      <c r="E815" s="43"/>
      <c r="F815" s="43"/>
    </row>
    <row r="816">
      <c r="A816" s="42"/>
      <c r="B816" s="42"/>
      <c r="C816" s="42"/>
      <c r="D816" s="43"/>
      <c r="E816" s="43"/>
      <c r="F816" s="43"/>
    </row>
    <row r="817">
      <c r="A817" s="42"/>
      <c r="B817" s="42"/>
      <c r="C817" s="42"/>
      <c r="D817" s="43"/>
      <c r="E817" s="43"/>
      <c r="F817" s="43"/>
    </row>
    <row r="818">
      <c r="A818" s="42"/>
      <c r="B818" s="42"/>
      <c r="C818" s="42"/>
      <c r="D818" s="43"/>
      <c r="E818" s="43"/>
      <c r="F818" s="43"/>
    </row>
    <row r="819">
      <c r="A819" s="42"/>
      <c r="B819" s="42"/>
      <c r="C819" s="42"/>
      <c r="D819" s="43"/>
      <c r="E819" s="43"/>
      <c r="F819" s="43"/>
    </row>
    <row r="820">
      <c r="A820" s="42"/>
      <c r="B820" s="42"/>
      <c r="C820" s="42"/>
      <c r="D820" s="43"/>
      <c r="E820" s="43"/>
      <c r="F820" s="43"/>
    </row>
    <row r="821">
      <c r="A821" s="42"/>
      <c r="B821" s="42"/>
      <c r="C821" s="42"/>
      <c r="D821" s="43"/>
      <c r="E821" s="43"/>
      <c r="F821" s="43"/>
    </row>
    <row r="822">
      <c r="A822" s="42"/>
      <c r="B822" s="42"/>
      <c r="C822" s="42"/>
      <c r="D822" s="43"/>
      <c r="E822" s="43"/>
      <c r="F822" s="43"/>
    </row>
    <row r="823">
      <c r="A823" s="42"/>
      <c r="B823" s="42"/>
      <c r="C823" s="42"/>
      <c r="D823" s="43"/>
      <c r="E823" s="43"/>
      <c r="F823" s="43"/>
    </row>
    <row r="824">
      <c r="A824" s="42"/>
      <c r="B824" s="42"/>
      <c r="C824" s="42"/>
      <c r="D824" s="43"/>
      <c r="E824" s="43"/>
      <c r="F824" s="43"/>
    </row>
    <row r="825">
      <c r="A825" s="42"/>
      <c r="B825" s="42"/>
      <c r="C825" s="42"/>
      <c r="D825" s="43"/>
      <c r="E825" s="43"/>
      <c r="F825" s="43"/>
    </row>
    <row r="826">
      <c r="A826" s="42"/>
      <c r="B826" s="42"/>
      <c r="C826" s="42"/>
      <c r="D826" s="43"/>
      <c r="E826" s="43"/>
      <c r="F826" s="43"/>
    </row>
    <row r="827">
      <c r="A827" s="42"/>
      <c r="B827" s="42"/>
      <c r="C827" s="42"/>
      <c r="D827" s="43"/>
      <c r="E827" s="43"/>
      <c r="F827" s="43"/>
    </row>
    <row r="828">
      <c r="A828" s="42"/>
      <c r="B828" s="42"/>
      <c r="C828" s="42"/>
      <c r="D828" s="43"/>
      <c r="E828" s="43"/>
      <c r="F828" s="43"/>
    </row>
    <row r="829">
      <c r="A829" s="42"/>
      <c r="B829" s="42"/>
      <c r="C829" s="42"/>
      <c r="D829" s="43"/>
      <c r="E829" s="43"/>
      <c r="F829" s="43"/>
    </row>
    <row r="830">
      <c r="A830" s="42"/>
      <c r="B830" s="42"/>
      <c r="C830" s="42"/>
      <c r="D830" s="43"/>
      <c r="E830" s="43"/>
      <c r="F830" s="43"/>
    </row>
    <row r="831">
      <c r="A831" s="42"/>
      <c r="B831" s="42"/>
      <c r="C831" s="42"/>
      <c r="D831" s="43"/>
      <c r="E831" s="43"/>
      <c r="F831" s="43"/>
    </row>
    <row r="832">
      <c r="A832" s="42"/>
      <c r="B832" s="42"/>
      <c r="C832" s="42"/>
      <c r="D832" s="43"/>
      <c r="E832" s="43"/>
      <c r="F832" s="43"/>
    </row>
    <row r="833">
      <c r="A833" s="42"/>
      <c r="B833" s="42"/>
      <c r="C833" s="42"/>
      <c r="D833" s="43"/>
      <c r="E833" s="43"/>
      <c r="F833" s="43"/>
    </row>
    <row r="834">
      <c r="A834" s="42"/>
      <c r="B834" s="42"/>
      <c r="C834" s="42"/>
      <c r="D834" s="43"/>
      <c r="E834" s="43"/>
      <c r="F834" s="43"/>
    </row>
    <row r="835">
      <c r="A835" s="42"/>
      <c r="B835" s="42"/>
      <c r="C835" s="42"/>
      <c r="D835" s="43"/>
      <c r="E835" s="43"/>
      <c r="F835" s="43"/>
    </row>
    <row r="836">
      <c r="A836" s="42"/>
      <c r="B836" s="42"/>
      <c r="C836" s="42"/>
      <c r="D836" s="43"/>
      <c r="E836" s="43"/>
      <c r="F836" s="43"/>
    </row>
    <row r="837">
      <c r="A837" s="42"/>
      <c r="B837" s="42"/>
      <c r="C837" s="42"/>
      <c r="D837" s="43"/>
      <c r="E837" s="43"/>
      <c r="F837" s="43"/>
    </row>
    <row r="838">
      <c r="A838" s="42"/>
      <c r="B838" s="42"/>
      <c r="C838" s="42"/>
      <c r="D838" s="43"/>
      <c r="E838" s="43"/>
      <c r="F838" s="43"/>
    </row>
    <row r="839">
      <c r="A839" s="42"/>
      <c r="B839" s="42"/>
      <c r="C839" s="42"/>
      <c r="D839" s="43"/>
      <c r="E839" s="43"/>
      <c r="F839" s="43"/>
    </row>
    <row r="840">
      <c r="A840" s="42"/>
      <c r="B840" s="42"/>
      <c r="C840" s="42"/>
      <c r="D840" s="43"/>
      <c r="E840" s="43"/>
      <c r="F840" s="43"/>
    </row>
    <row r="841">
      <c r="A841" s="42"/>
      <c r="B841" s="42"/>
      <c r="C841" s="42"/>
      <c r="D841" s="43"/>
      <c r="E841" s="43"/>
      <c r="F841" s="43"/>
    </row>
    <row r="842">
      <c r="A842" s="42"/>
      <c r="B842" s="42"/>
      <c r="C842" s="42"/>
      <c r="D842" s="43"/>
      <c r="E842" s="43"/>
      <c r="F842" s="43"/>
    </row>
    <row r="843">
      <c r="A843" s="42"/>
      <c r="B843" s="42"/>
      <c r="C843" s="42"/>
      <c r="D843" s="43"/>
      <c r="E843" s="43"/>
      <c r="F843" s="43"/>
    </row>
    <row r="844">
      <c r="A844" s="42"/>
      <c r="B844" s="42"/>
      <c r="C844" s="42"/>
      <c r="D844" s="43"/>
      <c r="E844" s="43"/>
      <c r="F844" s="43"/>
    </row>
    <row r="845">
      <c r="A845" s="42"/>
      <c r="B845" s="42"/>
      <c r="C845" s="42"/>
      <c r="D845" s="43"/>
      <c r="E845" s="43"/>
      <c r="F845" s="43"/>
    </row>
    <row r="846">
      <c r="A846" s="42"/>
      <c r="B846" s="42"/>
      <c r="C846" s="42"/>
      <c r="D846" s="43"/>
      <c r="E846" s="43"/>
      <c r="F846" s="43"/>
    </row>
    <row r="847">
      <c r="A847" s="42"/>
      <c r="B847" s="42"/>
      <c r="C847" s="42"/>
      <c r="D847" s="43"/>
      <c r="E847" s="43"/>
      <c r="F847" s="43"/>
    </row>
    <row r="848">
      <c r="A848" s="42"/>
      <c r="B848" s="42"/>
      <c r="C848" s="42"/>
      <c r="D848" s="43"/>
      <c r="E848" s="43"/>
      <c r="F848" s="43"/>
    </row>
    <row r="849">
      <c r="A849" s="42"/>
      <c r="B849" s="42"/>
      <c r="C849" s="42"/>
      <c r="D849" s="43"/>
      <c r="E849" s="43"/>
      <c r="F849" s="43"/>
    </row>
    <row r="850">
      <c r="A850" s="42"/>
      <c r="B850" s="42"/>
      <c r="C850" s="42"/>
      <c r="D850" s="43"/>
      <c r="E850" s="43"/>
      <c r="F850" s="43"/>
    </row>
    <row r="851">
      <c r="A851" s="42"/>
      <c r="B851" s="42"/>
      <c r="C851" s="42"/>
      <c r="D851" s="43"/>
      <c r="E851" s="43"/>
      <c r="F851" s="43"/>
    </row>
    <row r="852">
      <c r="A852" s="42"/>
      <c r="B852" s="42"/>
      <c r="C852" s="42"/>
      <c r="D852" s="43"/>
      <c r="E852" s="43"/>
      <c r="F852" s="43"/>
    </row>
    <row r="853">
      <c r="A853" s="42"/>
      <c r="B853" s="42"/>
      <c r="C853" s="42"/>
      <c r="D853" s="43"/>
      <c r="E853" s="43"/>
      <c r="F853" s="43"/>
    </row>
    <row r="854">
      <c r="A854" s="42"/>
      <c r="B854" s="42"/>
      <c r="C854" s="42"/>
      <c r="D854" s="43"/>
      <c r="E854" s="43"/>
      <c r="F854" s="43"/>
    </row>
    <row r="855">
      <c r="A855" s="42"/>
      <c r="B855" s="42"/>
      <c r="C855" s="42"/>
      <c r="D855" s="43"/>
      <c r="E855" s="43"/>
      <c r="F855" s="43"/>
    </row>
    <row r="856">
      <c r="A856" s="42"/>
      <c r="B856" s="42"/>
      <c r="C856" s="42"/>
      <c r="D856" s="43"/>
      <c r="E856" s="43"/>
      <c r="F856" s="43"/>
    </row>
    <row r="857">
      <c r="A857" s="42"/>
      <c r="B857" s="42"/>
      <c r="C857" s="42"/>
      <c r="D857" s="43"/>
      <c r="E857" s="43"/>
      <c r="F857" s="43"/>
    </row>
    <row r="858">
      <c r="A858" s="42"/>
      <c r="B858" s="42"/>
      <c r="C858" s="42"/>
      <c r="D858" s="43"/>
      <c r="E858" s="43"/>
      <c r="F858" s="43"/>
    </row>
    <row r="859">
      <c r="A859" s="42"/>
      <c r="B859" s="42"/>
      <c r="C859" s="42"/>
      <c r="D859" s="43"/>
      <c r="E859" s="43"/>
      <c r="F859" s="43"/>
    </row>
    <row r="860">
      <c r="A860" s="42"/>
      <c r="B860" s="42"/>
      <c r="C860" s="42"/>
      <c r="D860" s="43"/>
      <c r="E860" s="43"/>
      <c r="F860" s="43"/>
    </row>
    <row r="861">
      <c r="A861" s="42"/>
      <c r="B861" s="42"/>
      <c r="C861" s="42"/>
      <c r="D861" s="43"/>
      <c r="E861" s="43"/>
      <c r="F861" s="43"/>
    </row>
    <row r="862">
      <c r="A862" s="42"/>
      <c r="B862" s="42"/>
      <c r="C862" s="42"/>
      <c r="D862" s="43"/>
      <c r="E862" s="43"/>
      <c r="F862" s="43"/>
    </row>
    <row r="863">
      <c r="A863" s="42"/>
      <c r="B863" s="42"/>
      <c r="C863" s="42"/>
      <c r="D863" s="43"/>
      <c r="E863" s="43"/>
      <c r="F863" s="43"/>
    </row>
    <row r="864">
      <c r="A864" s="42"/>
      <c r="B864" s="42"/>
      <c r="C864" s="42"/>
      <c r="D864" s="43"/>
      <c r="E864" s="43"/>
      <c r="F864" s="43"/>
    </row>
    <row r="865">
      <c r="A865" s="42"/>
      <c r="B865" s="42"/>
      <c r="C865" s="42"/>
      <c r="D865" s="43"/>
      <c r="E865" s="43"/>
      <c r="F865" s="43"/>
    </row>
    <row r="866">
      <c r="A866" s="42"/>
      <c r="B866" s="42"/>
      <c r="C866" s="42"/>
      <c r="D866" s="43"/>
      <c r="E866" s="43"/>
      <c r="F866" s="43"/>
    </row>
    <row r="867">
      <c r="A867" s="42"/>
      <c r="B867" s="42"/>
      <c r="C867" s="42"/>
      <c r="D867" s="43"/>
      <c r="E867" s="43"/>
      <c r="F867" s="43"/>
    </row>
    <row r="868">
      <c r="A868" s="42"/>
      <c r="B868" s="42"/>
      <c r="C868" s="42"/>
      <c r="D868" s="43"/>
      <c r="E868" s="43"/>
      <c r="F868" s="43"/>
    </row>
    <row r="869">
      <c r="A869" s="42"/>
      <c r="B869" s="42"/>
      <c r="C869" s="42"/>
      <c r="D869" s="43"/>
      <c r="E869" s="43"/>
      <c r="F869" s="43"/>
    </row>
    <row r="870">
      <c r="A870" s="42"/>
      <c r="B870" s="42"/>
      <c r="C870" s="42"/>
      <c r="D870" s="43"/>
      <c r="E870" s="43"/>
      <c r="F870" s="43"/>
    </row>
    <row r="871">
      <c r="A871" s="42"/>
      <c r="B871" s="42"/>
      <c r="C871" s="42"/>
      <c r="D871" s="43"/>
      <c r="E871" s="43"/>
      <c r="F871" s="43"/>
    </row>
    <row r="872">
      <c r="A872" s="42"/>
      <c r="B872" s="42"/>
      <c r="C872" s="42"/>
      <c r="D872" s="43"/>
      <c r="E872" s="43"/>
      <c r="F872" s="43"/>
    </row>
    <row r="873">
      <c r="A873" s="42"/>
      <c r="B873" s="42"/>
      <c r="C873" s="42"/>
      <c r="D873" s="43"/>
      <c r="E873" s="43"/>
      <c r="F873" s="43"/>
    </row>
    <row r="874">
      <c r="A874" s="42"/>
      <c r="B874" s="42"/>
      <c r="C874" s="42"/>
      <c r="D874" s="43"/>
      <c r="E874" s="43"/>
      <c r="F874" s="43"/>
    </row>
    <row r="875">
      <c r="A875" s="42"/>
      <c r="B875" s="42"/>
      <c r="C875" s="42"/>
      <c r="D875" s="43"/>
      <c r="E875" s="43"/>
      <c r="F875" s="43"/>
    </row>
    <row r="876">
      <c r="A876" s="42"/>
      <c r="B876" s="42"/>
      <c r="C876" s="42"/>
      <c r="D876" s="43"/>
      <c r="E876" s="43"/>
      <c r="F876" s="43"/>
    </row>
    <row r="877">
      <c r="A877" s="42"/>
      <c r="B877" s="42"/>
      <c r="C877" s="42"/>
      <c r="D877" s="43"/>
      <c r="E877" s="43"/>
      <c r="F877" s="43"/>
    </row>
    <row r="878">
      <c r="A878" s="42"/>
      <c r="B878" s="42"/>
      <c r="C878" s="42"/>
      <c r="D878" s="43"/>
      <c r="E878" s="43"/>
      <c r="F878" s="43"/>
    </row>
    <row r="879">
      <c r="A879" s="42"/>
      <c r="B879" s="42"/>
      <c r="C879" s="42"/>
      <c r="D879" s="43"/>
      <c r="E879" s="43"/>
      <c r="F879" s="43"/>
    </row>
    <row r="880">
      <c r="A880" s="42"/>
      <c r="B880" s="42"/>
      <c r="C880" s="42"/>
      <c r="D880" s="43"/>
      <c r="E880" s="43"/>
      <c r="F880" s="43"/>
    </row>
    <row r="881">
      <c r="A881" s="42"/>
      <c r="B881" s="42"/>
      <c r="C881" s="42"/>
      <c r="D881" s="43"/>
      <c r="E881" s="43"/>
      <c r="F881" s="43"/>
    </row>
    <row r="882">
      <c r="A882" s="42"/>
      <c r="B882" s="42"/>
      <c r="C882" s="42"/>
      <c r="D882" s="43"/>
      <c r="E882" s="43"/>
      <c r="F882" s="43"/>
    </row>
    <row r="883">
      <c r="A883" s="42"/>
      <c r="B883" s="42"/>
      <c r="C883" s="42"/>
      <c r="D883" s="43"/>
      <c r="E883" s="43"/>
      <c r="F883" s="43"/>
    </row>
    <row r="884">
      <c r="A884" s="42"/>
      <c r="B884" s="42"/>
      <c r="C884" s="42"/>
      <c r="D884" s="43"/>
      <c r="E884" s="43"/>
      <c r="F884" s="43"/>
    </row>
    <row r="885">
      <c r="A885" s="42"/>
      <c r="B885" s="42"/>
      <c r="C885" s="42"/>
      <c r="D885" s="43"/>
      <c r="E885" s="43"/>
      <c r="F885" s="43"/>
    </row>
    <row r="886">
      <c r="A886" s="42"/>
      <c r="B886" s="42"/>
      <c r="C886" s="42"/>
      <c r="D886" s="43"/>
      <c r="E886" s="43"/>
      <c r="F886" s="43"/>
    </row>
    <row r="887">
      <c r="A887" s="42"/>
      <c r="B887" s="42"/>
      <c r="C887" s="42"/>
      <c r="D887" s="43"/>
      <c r="E887" s="43"/>
      <c r="F887" s="43"/>
    </row>
    <row r="888">
      <c r="A888" s="42"/>
      <c r="B888" s="42"/>
      <c r="C888" s="42"/>
      <c r="D888" s="43"/>
      <c r="E888" s="43"/>
      <c r="F888" s="43"/>
    </row>
    <row r="889">
      <c r="A889" s="42"/>
      <c r="B889" s="42"/>
      <c r="C889" s="42"/>
      <c r="D889" s="43"/>
      <c r="E889" s="43"/>
      <c r="F889" s="43"/>
    </row>
    <row r="890">
      <c r="A890" s="42"/>
      <c r="B890" s="42"/>
      <c r="C890" s="42"/>
      <c r="D890" s="43"/>
      <c r="E890" s="43"/>
      <c r="F890" s="43"/>
    </row>
    <row r="891">
      <c r="A891" s="42"/>
      <c r="B891" s="42"/>
      <c r="C891" s="42"/>
      <c r="D891" s="43"/>
      <c r="E891" s="43"/>
      <c r="F891" s="43"/>
    </row>
    <row r="892">
      <c r="A892" s="42"/>
      <c r="B892" s="42"/>
      <c r="C892" s="42"/>
      <c r="D892" s="43"/>
      <c r="E892" s="43"/>
      <c r="F892" s="43"/>
    </row>
    <row r="893">
      <c r="A893" s="42"/>
      <c r="B893" s="42"/>
      <c r="C893" s="42"/>
      <c r="D893" s="43"/>
      <c r="E893" s="43"/>
      <c r="F893" s="43"/>
    </row>
    <row r="894">
      <c r="A894" s="42"/>
      <c r="B894" s="42"/>
      <c r="C894" s="42"/>
      <c r="D894" s="43"/>
      <c r="E894" s="43"/>
      <c r="F894" s="43"/>
    </row>
    <row r="895">
      <c r="A895" s="42"/>
      <c r="B895" s="42"/>
      <c r="C895" s="42"/>
      <c r="D895" s="43"/>
      <c r="E895" s="43"/>
      <c r="F895" s="43"/>
    </row>
    <row r="896">
      <c r="A896" s="42"/>
      <c r="B896" s="42"/>
      <c r="C896" s="42"/>
      <c r="D896" s="43"/>
      <c r="E896" s="43"/>
      <c r="F896" s="43"/>
    </row>
    <row r="897">
      <c r="A897" s="42"/>
      <c r="B897" s="42"/>
      <c r="C897" s="42"/>
      <c r="D897" s="43"/>
      <c r="E897" s="43"/>
      <c r="F897" s="43"/>
    </row>
    <row r="898">
      <c r="A898" s="42"/>
      <c r="B898" s="42"/>
      <c r="C898" s="42"/>
      <c r="D898" s="43"/>
      <c r="E898" s="43"/>
      <c r="F898" s="43"/>
    </row>
    <row r="899">
      <c r="A899" s="42"/>
      <c r="B899" s="42"/>
      <c r="C899" s="42"/>
      <c r="D899" s="43"/>
      <c r="E899" s="43"/>
      <c r="F899" s="43"/>
    </row>
    <row r="900">
      <c r="A900" s="42"/>
      <c r="B900" s="42"/>
      <c r="C900" s="42"/>
      <c r="D900" s="43"/>
      <c r="E900" s="43"/>
      <c r="F900" s="43"/>
    </row>
    <row r="901">
      <c r="A901" s="42"/>
      <c r="B901" s="42"/>
      <c r="C901" s="42"/>
      <c r="D901" s="43"/>
      <c r="E901" s="43"/>
      <c r="F901" s="43"/>
    </row>
    <row r="902">
      <c r="A902" s="42"/>
      <c r="B902" s="42"/>
      <c r="C902" s="42"/>
      <c r="D902" s="43"/>
      <c r="E902" s="43"/>
      <c r="F902" s="43"/>
    </row>
    <row r="903">
      <c r="A903" s="42"/>
      <c r="B903" s="42"/>
      <c r="C903" s="42"/>
      <c r="D903" s="43"/>
      <c r="E903" s="43"/>
      <c r="F903" s="43"/>
    </row>
    <row r="904">
      <c r="A904" s="42"/>
      <c r="B904" s="42"/>
      <c r="C904" s="42"/>
      <c r="D904" s="43"/>
      <c r="E904" s="43"/>
      <c r="F904" s="43"/>
    </row>
    <row r="905">
      <c r="A905" s="42"/>
      <c r="B905" s="42"/>
      <c r="C905" s="42"/>
      <c r="D905" s="43"/>
      <c r="E905" s="43"/>
      <c r="F905" s="43"/>
    </row>
    <row r="906">
      <c r="A906" s="42"/>
      <c r="B906" s="42"/>
      <c r="C906" s="42"/>
      <c r="D906" s="43"/>
      <c r="E906" s="43"/>
      <c r="F906" s="43"/>
    </row>
    <row r="907">
      <c r="A907" s="42"/>
      <c r="B907" s="42"/>
      <c r="C907" s="42"/>
      <c r="D907" s="43"/>
      <c r="E907" s="43"/>
      <c r="F907" s="43"/>
    </row>
    <row r="908">
      <c r="A908" s="42"/>
      <c r="B908" s="42"/>
      <c r="C908" s="42"/>
      <c r="D908" s="43"/>
      <c r="E908" s="43"/>
      <c r="F908" s="43"/>
    </row>
    <row r="909">
      <c r="A909" s="42"/>
      <c r="B909" s="42"/>
      <c r="C909" s="42"/>
      <c r="D909" s="43"/>
      <c r="E909" s="43"/>
      <c r="F909" s="43"/>
    </row>
    <row r="910">
      <c r="A910" s="42"/>
      <c r="B910" s="42"/>
      <c r="C910" s="42"/>
      <c r="D910" s="43"/>
      <c r="E910" s="43"/>
      <c r="F910" s="43"/>
    </row>
    <row r="911">
      <c r="A911" s="42"/>
      <c r="B911" s="42"/>
      <c r="C911" s="42"/>
      <c r="D911" s="43"/>
      <c r="E911" s="43"/>
      <c r="F911" s="43"/>
    </row>
    <row r="912">
      <c r="A912" s="42"/>
      <c r="B912" s="42"/>
      <c r="C912" s="42"/>
      <c r="D912" s="43"/>
      <c r="E912" s="43"/>
      <c r="F912" s="43"/>
    </row>
    <row r="913">
      <c r="A913" s="42"/>
      <c r="B913" s="42"/>
      <c r="C913" s="42"/>
      <c r="D913" s="43"/>
      <c r="E913" s="43"/>
      <c r="F913" s="43"/>
    </row>
    <row r="914">
      <c r="A914" s="42"/>
      <c r="B914" s="42"/>
      <c r="C914" s="42"/>
      <c r="D914" s="43"/>
      <c r="E914" s="43"/>
      <c r="F914" s="43"/>
    </row>
    <row r="915">
      <c r="A915" s="42"/>
      <c r="B915" s="42"/>
      <c r="C915" s="42"/>
      <c r="D915" s="43"/>
      <c r="E915" s="43"/>
      <c r="F915" s="43"/>
    </row>
    <row r="916">
      <c r="A916" s="42"/>
      <c r="B916" s="42"/>
      <c r="C916" s="42"/>
      <c r="D916" s="43"/>
      <c r="E916" s="43"/>
      <c r="F916" s="43"/>
    </row>
    <row r="917">
      <c r="A917" s="42"/>
      <c r="B917" s="42"/>
      <c r="C917" s="42"/>
      <c r="D917" s="43"/>
      <c r="E917" s="43"/>
      <c r="F917" s="43"/>
    </row>
    <row r="918">
      <c r="A918" s="42"/>
      <c r="B918" s="42"/>
      <c r="C918" s="42"/>
      <c r="D918" s="43"/>
      <c r="E918" s="43"/>
      <c r="F918" s="43"/>
    </row>
    <row r="919">
      <c r="A919" s="42"/>
      <c r="B919" s="42"/>
      <c r="C919" s="42"/>
      <c r="D919" s="43"/>
      <c r="E919" s="43"/>
      <c r="F919" s="43"/>
    </row>
    <row r="920">
      <c r="A920" s="42"/>
      <c r="B920" s="42"/>
      <c r="C920" s="42"/>
      <c r="D920" s="43"/>
      <c r="E920" s="43"/>
      <c r="F920" s="43"/>
    </row>
    <row r="921">
      <c r="A921" s="42"/>
      <c r="B921" s="42"/>
      <c r="C921" s="42"/>
      <c r="D921" s="43"/>
      <c r="E921" s="43"/>
      <c r="F921" s="43"/>
    </row>
    <row r="922">
      <c r="A922" s="42"/>
      <c r="B922" s="42"/>
      <c r="C922" s="42"/>
      <c r="D922" s="43"/>
      <c r="E922" s="43"/>
      <c r="F922" s="43"/>
    </row>
    <row r="923">
      <c r="A923" s="42"/>
      <c r="B923" s="42"/>
      <c r="C923" s="42"/>
      <c r="D923" s="43"/>
      <c r="E923" s="43"/>
      <c r="F923" s="43"/>
    </row>
    <row r="924">
      <c r="A924" s="42"/>
      <c r="B924" s="42"/>
      <c r="C924" s="42"/>
      <c r="D924" s="43"/>
      <c r="E924" s="43"/>
      <c r="F924" s="43"/>
    </row>
    <row r="925">
      <c r="A925" s="42"/>
      <c r="B925" s="42"/>
      <c r="C925" s="42"/>
      <c r="D925" s="43"/>
      <c r="E925" s="43"/>
      <c r="F925" s="43"/>
    </row>
    <row r="926">
      <c r="A926" s="42"/>
      <c r="B926" s="42"/>
      <c r="C926" s="42"/>
      <c r="D926" s="43"/>
      <c r="E926" s="43"/>
      <c r="F926" s="43"/>
    </row>
    <row r="927">
      <c r="A927" s="42"/>
      <c r="B927" s="42"/>
      <c r="C927" s="42"/>
      <c r="D927" s="43"/>
      <c r="E927" s="43"/>
      <c r="F927" s="43"/>
    </row>
    <row r="928">
      <c r="A928" s="42"/>
      <c r="B928" s="42"/>
      <c r="C928" s="42"/>
      <c r="D928" s="43"/>
      <c r="E928" s="43"/>
      <c r="F928" s="43"/>
    </row>
    <row r="929">
      <c r="A929" s="42"/>
      <c r="B929" s="42"/>
      <c r="C929" s="42"/>
      <c r="D929" s="43"/>
      <c r="E929" s="43"/>
      <c r="F929" s="43"/>
    </row>
    <row r="930">
      <c r="A930" s="42"/>
      <c r="B930" s="42"/>
      <c r="C930" s="42"/>
      <c r="D930" s="43"/>
      <c r="E930" s="43"/>
      <c r="F930" s="43"/>
    </row>
    <row r="931">
      <c r="A931" s="42"/>
      <c r="B931" s="42"/>
      <c r="C931" s="42"/>
      <c r="D931" s="43"/>
      <c r="E931" s="43"/>
      <c r="F931" s="43"/>
    </row>
    <row r="932">
      <c r="A932" s="42"/>
      <c r="B932" s="42"/>
      <c r="C932" s="42"/>
      <c r="D932" s="43"/>
      <c r="E932" s="43"/>
      <c r="F932" s="43"/>
    </row>
    <row r="933">
      <c r="A933" s="42"/>
      <c r="B933" s="42"/>
      <c r="C933" s="42"/>
      <c r="D933" s="43"/>
      <c r="E933" s="43"/>
      <c r="F933" s="43"/>
    </row>
    <row r="934">
      <c r="A934" s="42"/>
      <c r="B934" s="42"/>
      <c r="C934" s="42"/>
      <c r="D934" s="43"/>
      <c r="E934" s="43"/>
      <c r="F934" s="43"/>
    </row>
    <row r="935">
      <c r="A935" s="42"/>
      <c r="B935" s="42"/>
      <c r="C935" s="42"/>
      <c r="D935" s="43"/>
      <c r="E935" s="43"/>
      <c r="F935" s="43"/>
    </row>
    <row r="936">
      <c r="A936" s="42"/>
      <c r="B936" s="42"/>
      <c r="C936" s="42"/>
      <c r="D936" s="43"/>
      <c r="E936" s="43"/>
      <c r="F936" s="43"/>
    </row>
    <row r="937">
      <c r="A937" s="42"/>
      <c r="B937" s="42"/>
      <c r="C937" s="42"/>
      <c r="D937" s="43"/>
      <c r="E937" s="43"/>
      <c r="F937" s="43"/>
    </row>
    <row r="938">
      <c r="A938" s="42"/>
      <c r="B938" s="42"/>
      <c r="C938" s="42"/>
      <c r="D938" s="43"/>
      <c r="E938" s="43"/>
      <c r="F938" s="43"/>
    </row>
    <row r="939">
      <c r="A939" s="42"/>
      <c r="B939" s="42"/>
      <c r="C939" s="42"/>
      <c r="D939" s="43"/>
      <c r="E939" s="43"/>
      <c r="F939" s="43"/>
    </row>
    <row r="940">
      <c r="A940" s="42"/>
      <c r="B940" s="42"/>
      <c r="C940" s="42"/>
      <c r="D940" s="43"/>
      <c r="E940" s="43"/>
      <c r="F940" s="43"/>
    </row>
    <row r="941">
      <c r="A941" s="42"/>
      <c r="B941" s="42"/>
      <c r="C941" s="42"/>
      <c r="D941" s="43"/>
      <c r="E941" s="43"/>
      <c r="F941" s="43"/>
    </row>
    <row r="942">
      <c r="A942" s="42"/>
      <c r="B942" s="42"/>
      <c r="C942" s="42"/>
      <c r="D942" s="43"/>
      <c r="E942" s="43"/>
      <c r="F942" s="43"/>
    </row>
    <row r="943">
      <c r="A943" s="42"/>
      <c r="B943" s="42"/>
      <c r="C943" s="42"/>
      <c r="D943" s="43"/>
      <c r="E943" s="43"/>
      <c r="F943" s="43"/>
    </row>
    <row r="944">
      <c r="A944" s="42"/>
      <c r="B944" s="42"/>
      <c r="C944" s="42"/>
      <c r="D944" s="43"/>
      <c r="E944" s="43"/>
      <c r="F944" s="43"/>
    </row>
    <row r="945">
      <c r="A945" s="42"/>
      <c r="B945" s="42"/>
      <c r="C945" s="42"/>
      <c r="D945" s="43"/>
      <c r="E945" s="43"/>
      <c r="F945" s="43"/>
    </row>
    <row r="946">
      <c r="A946" s="42"/>
      <c r="B946" s="42"/>
      <c r="C946" s="42"/>
      <c r="D946" s="43"/>
      <c r="E946" s="43"/>
      <c r="F946" s="43"/>
    </row>
    <row r="947">
      <c r="A947" s="42"/>
      <c r="B947" s="42"/>
      <c r="C947" s="42"/>
      <c r="D947" s="43"/>
      <c r="E947" s="43"/>
      <c r="F947" s="43"/>
    </row>
    <row r="948">
      <c r="A948" s="42"/>
      <c r="B948" s="42"/>
      <c r="C948" s="42"/>
      <c r="D948" s="43"/>
      <c r="E948" s="43"/>
      <c r="F948" s="43"/>
    </row>
    <row r="949">
      <c r="A949" s="42"/>
      <c r="B949" s="42"/>
      <c r="C949" s="42"/>
      <c r="D949" s="43"/>
      <c r="E949" s="43"/>
      <c r="F949" s="43"/>
    </row>
    <row r="950">
      <c r="A950" s="42"/>
      <c r="B950" s="42"/>
      <c r="C950" s="42"/>
      <c r="D950" s="43"/>
      <c r="E950" s="43"/>
      <c r="F950" s="43"/>
    </row>
    <row r="951">
      <c r="A951" s="42"/>
      <c r="B951" s="42"/>
      <c r="C951" s="42"/>
      <c r="D951" s="43"/>
      <c r="E951" s="43"/>
      <c r="F951" s="43"/>
    </row>
    <row r="952">
      <c r="A952" s="42"/>
      <c r="B952" s="42"/>
      <c r="C952" s="42"/>
      <c r="D952" s="43"/>
      <c r="E952" s="43"/>
      <c r="F952" s="43"/>
    </row>
    <row r="953">
      <c r="A953" s="42"/>
      <c r="B953" s="42"/>
      <c r="C953" s="42"/>
      <c r="D953" s="43"/>
      <c r="E953" s="43"/>
      <c r="F953" s="43"/>
    </row>
    <row r="954">
      <c r="A954" s="42"/>
      <c r="B954" s="42"/>
      <c r="C954" s="42"/>
      <c r="D954" s="43"/>
      <c r="E954" s="43"/>
      <c r="F954" s="43"/>
    </row>
    <row r="955">
      <c r="A955" s="42"/>
      <c r="B955" s="42"/>
      <c r="C955" s="42"/>
      <c r="D955" s="43"/>
      <c r="E955" s="43"/>
      <c r="F955" s="43"/>
    </row>
    <row r="956">
      <c r="A956" s="42"/>
      <c r="B956" s="42"/>
      <c r="C956" s="42"/>
      <c r="D956" s="43"/>
      <c r="E956" s="43"/>
      <c r="F956" s="43"/>
    </row>
    <row r="957">
      <c r="A957" s="42"/>
      <c r="B957" s="42"/>
      <c r="C957" s="42"/>
      <c r="D957" s="43"/>
      <c r="E957" s="43"/>
      <c r="F957" s="43"/>
    </row>
    <row r="958">
      <c r="A958" s="42"/>
      <c r="B958" s="42"/>
      <c r="C958" s="42"/>
      <c r="D958" s="43"/>
      <c r="E958" s="43"/>
      <c r="F958" s="43"/>
    </row>
    <row r="959">
      <c r="A959" s="42"/>
      <c r="B959" s="42"/>
      <c r="C959" s="42"/>
      <c r="D959" s="43"/>
      <c r="E959" s="43"/>
      <c r="F959" s="43"/>
    </row>
    <row r="960">
      <c r="A960" s="42"/>
      <c r="B960" s="42"/>
      <c r="C960" s="42"/>
      <c r="D960" s="43"/>
      <c r="E960" s="43"/>
      <c r="F960" s="43"/>
    </row>
    <row r="961">
      <c r="A961" s="42"/>
      <c r="B961" s="42"/>
      <c r="C961" s="42"/>
      <c r="D961" s="43"/>
      <c r="E961" s="43"/>
      <c r="F961" s="43"/>
    </row>
    <row r="962">
      <c r="A962" s="42"/>
      <c r="B962" s="42"/>
      <c r="C962" s="42"/>
      <c r="D962" s="43"/>
      <c r="E962" s="43"/>
      <c r="F962" s="43"/>
    </row>
    <row r="963">
      <c r="A963" s="42"/>
      <c r="B963" s="42"/>
      <c r="C963" s="42"/>
      <c r="D963" s="43"/>
      <c r="E963" s="43"/>
      <c r="F963" s="43"/>
    </row>
    <row r="964">
      <c r="A964" s="42"/>
      <c r="B964" s="42"/>
      <c r="C964" s="42"/>
      <c r="D964" s="43"/>
      <c r="E964" s="43"/>
      <c r="F964" s="43"/>
    </row>
    <row r="965">
      <c r="A965" s="42"/>
      <c r="B965" s="42"/>
      <c r="C965" s="42"/>
      <c r="D965" s="43"/>
      <c r="E965" s="43"/>
      <c r="F965" s="43"/>
    </row>
    <row r="966">
      <c r="A966" s="42"/>
      <c r="B966" s="42"/>
      <c r="C966" s="42"/>
      <c r="D966" s="43"/>
      <c r="E966" s="43"/>
      <c r="F966" s="43"/>
    </row>
    <row r="967">
      <c r="A967" s="42"/>
      <c r="B967" s="42"/>
      <c r="C967" s="42"/>
      <c r="D967" s="43"/>
      <c r="E967" s="43"/>
      <c r="F967" s="43"/>
    </row>
    <row r="968">
      <c r="A968" s="42"/>
      <c r="B968" s="42"/>
      <c r="C968" s="42"/>
      <c r="D968" s="43"/>
      <c r="E968" s="43"/>
      <c r="F968" s="43"/>
    </row>
    <row r="969">
      <c r="A969" s="42"/>
      <c r="B969" s="42"/>
      <c r="C969" s="42"/>
      <c r="D969" s="43"/>
      <c r="E969" s="43"/>
      <c r="F969" s="43"/>
    </row>
    <row r="970">
      <c r="A970" s="42"/>
      <c r="B970" s="42"/>
      <c r="C970" s="42"/>
      <c r="D970" s="43"/>
      <c r="E970" s="43"/>
      <c r="F970" s="43"/>
    </row>
    <row r="971">
      <c r="A971" s="42"/>
      <c r="B971" s="42"/>
      <c r="C971" s="42"/>
      <c r="D971" s="43"/>
      <c r="E971" s="43"/>
      <c r="F971" s="43"/>
    </row>
    <row r="972">
      <c r="A972" s="42"/>
      <c r="B972" s="42"/>
      <c r="C972" s="42"/>
      <c r="D972" s="43"/>
      <c r="E972" s="43"/>
      <c r="F972" s="43"/>
    </row>
    <row r="973">
      <c r="A973" s="42"/>
      <c r="B973" s="42"/>
      <c r="C973" s="42"/>
      <c r="D973" s="43"/>
      <c r="E973" s="43"/>
      <c r="F973" s="43"/>
    </row>
    <row r="974">
      <c r="A974" s="42"/>
      <c r="B974" s="42"/>
      <c r="C974" s="42"/>
      <c r="D974" s="43"/>
      <c r="E974" s="43"/>
      <c r="F974" s="43"/>
    </row>
    <row r="975">
      <c r="A975" s="42"/>
      <c r="B975" s="42"/>
      <c r="C975" s="42"/>
      <c r="D975" s="43"/>
      <c r="E975" s="43"/>
      <c r="F975" s="43"/>
    </row>
    <row r="976">
      <c r="A976" s="42"/>
      <c r="B976" s="42"/>
      <c r="C976" s="42"/>
      <c r="D976" s="43"/>
      <c r="E976" s="43"/>
      <c r="F976" s="43"/>
    </row>
    <row r="977">
      <c r="A977" s="42"/>
      <c r="B977" s="42"/>
      <c r="C977" s="42"/>
      <c r="D977" s="43"/>
      <c r="E977" s="43"/>
      <c r="F977" s="43"/>
    </row>
    <row r="978">
      <c r="A978" s="42"/>
      <c r="B978" s="42"/>
      <c r="C978" s="42"/>
      <c r="D978" s="43"/>
      <c r="E978" s="43"/>
      <c r="F978" s="43"/>
    </row>
    <row r="979">
      <c r="A979" s="42"/>
      <c r="B979" s="42"/>
      <c r="C979" s="42"/>
      <c r="D979" s="43"/>
      <c r="E979" s="43"/>
      <c r="F979" s="43"/>
    </row>
    <row r="980">
      <c r="A980" s="42"/>
      <c r="B980" s="42"/>
      <c r="C980" s="42"/>
      <c r="D980" s="43"/>
      <c r="E980" s="43"/>
      <c r="F980" s="43"/>
    </row>
    <row r="981">
      <c r="A981" s="42"/>
      <c r="B981" s="42"/>
      <c r="C981" s="42"/>
      <c r="D981" s="43"/>
      <c r="E981" s="43"/>
      <c r="F981" s="43"/>
    </row>
    <row r="982">
      <c r="A982" s="42"/>
      <c r="B982" s="42"/>
      <c r="C982" s="42"/>
      <c r="D982" s="43"/>
      <c r="E982" s="43"/>
      <c r="F982" s="43"/>
    </row>
    <row r="983">
      <c r="A983" s="42"/>
      <c r="B983" s="42"/>
      <c r="C983" s="42"/>
      <c r="D983" s="43"/>
      <c r="E983" s="43"/>
      <c r="F983" s="43"/>
    </row>
    <row r="984">
      <c r="A984" s="42"/>
      <c r="B984" s="42"/>
      <c r="C984" s="42"/>
      <c r="D984" s="43"/>
      <c r="E984" s="43"/>
      <c r="F984" s="43"/>
    </row>
    <row r="985">
      <c r="A985" s="42"/>
      <c r="B985" s="42"/>
      <c r="C985" s="42"/>
      <c r="D985" s="43"/>
      <c r="E985" s="43"/>
      <c r="F985" s="43"/>
    </row>
    <row r="986">
      <c r="A986" s="42"/>
      <c r="B986" s="42"/>
      <c r="C986" s="42"/>
      <c r="D986" s="43"/>
      <c r="E986" s="43"/>
      <c r="F986" s="43"/>
    </row>
    <row r="987">
      <c r="A987" s="42"/>
      <c r="B987" s="42"/>
      <c r="C987" s="42"/>
      <c r="D987" s="43"/>
      <c r="E987" s="43"/>
      <c r="F987" s="43"/>
    </row>
    <row r="988">
      <c r="A988" s="42"/>
      <c r="B988" s="42"/>
      <c r="C988" s="42"/>
      <c r="D988" s="43"/>
      <c r="E988" s="43"/>
      <c r="F988" s="43"/>
    </row>
    <row r="989">
      <c r="A989" s="42"/>
      <c r="B989" s="42"/>
      <c r="C989" s="42"/>
      <c r="D989" s="43"/>
      <c r="E989" s="43"/>
      <c r="F989" s="43"/>
    </row>
    <row r="990">
      <c r="A990" s="42"/>
      <c r="B990" s="42"/>
      <c r="C990" s="42"/>
      <c r="D990" s="43"/>
      <c r="E990" s="43"/>
      <c r="F990" s="43"/>
    </row>
    <row r="991">
      <c r="A991" s="42"/>
      <c r="B991" s="42"/>
      <c r="C991" s="42"/>
      <c r="D991" s="43"/>
      <c r="E991" s="43"/>
      <c r="F991" s="43"/>
    </row>
    <row r="992">
      <c r="A992" s="42"/>
      <c r="B992" s="42"/>
      <c r="C992" s="42"/>
      <c r="D992" s="43"/>
      <c r="E992" s="43"/>
      <c r="F992" s="43"/>
    </row>
    <row r="993">
      <c r="A993" s="42"/>
      <c r="B993" s="42"/>
      <c r="C993" s="42"/>
      <c r="D993" s="43"/>
      <c r="E993" s="43"/>
      <c r="F993" s="43"/>
    </row>
    <row r="994">
      <c r="A994" s="42"/>
      <c r="B994" s="42"/>
      <c r="C994" s="42"/>
      <c r="D994" s="43"/>
      <c r="E994" s="43"/>
      <c r="F994" s="43"/>
    </row>
    <row r="995">
      <c r="A995" s="42"/>
      <c r="B995" s="42"/>
      <c r="C995" s="42"/>
      <c r="D995" s="43"/>
      <c r="E995" s="43"/>
      <c r="F995" s="43"/>
    </row>
    <row r="996">
      <c r="A996" s="42"/>
      <c r="B996" s="42"/>
      <c r="C996" s="42"/>
      <c r="D996" s="43"/>
      <c r="E996" s="43"/>
      <c r="F996" s="43"/>
    </row>
    <row r="997">
      <c r="A997" s="42"/>
      <c r="B997" s="42"/>
      <c r="C997" s="42"/>
      <c r="D997" s="43"/>
      <c r="E997" s="43"/>
      <c r="F997" s="43"/>
    </row>
    <row r="998">
      <c r="A998" s="42"/>
      <c r="B998" s="42"/>
      <c r="C998" s="42"/>
      <c r="D998" s="43"/>
      <c r="E998" s="43"/>
      <c r="F998" s="43"/>
    </row>
    <row r="999">
      <c r="A999" s="42"/>
      <c r="B999" s="42"/>
      <c r="C999" s="42"/>
      <c r="D999" s="43"/>
      <c r="E999" s="43"/>
      <c r="F999" s="43"/>
    </row>
    <row r="1000">
      <c r="A1000" s="42"/>
      <c r="B1000" s="42"/>
      <c r="C1000" s="42"/>
      <c r="D1000" s="43"/>
      <c r="E1000" s="43"/>
      <c r="F1000" s="43"/>
    </row>
    <row r="1001">
      <c r="A1001" s="42"/>
      <c r="B1001" s="42"/>
      <c r="C1001" s="42"/>
      <c r="D1001" s="43"/>
      <c r="E1001" s="43"/>
      <c r="F1001" s="43"/>
    </row>
    <row r="1002">
      <c r="A1002" s="42"/>
      <c r="B1002" s="42"/>
      <c r="C1002" s="42"/>
      <c r="D1002" s="43"/>
      <c r="E1002" s="43"/>
      <c r="F1002" s="43"/>
    </row>
    <row r="1003">
      <c r="A1003" s="42"/>
      <c r="B1003" s="42"/>
      <c r="C1003" s="42"/>
      <c r="D1003" s="43"/>
      <c r="E1003" s="43"/>
      <c r="F1003" s="43"/>
    </row>
    <row r="1004">
      <c r="A1004" s="42"/>
      <c r="B1004" s="42"/>
      <c r="C1004" s="42"/>
      <c r="D1004" s="43"/>
      <c r="E1004" s="43"/>
      <c r="F1004" s="43"/>
    </row>
    <row r="1005">
      <c r="A1005" s="42"/>
      <c r="B1005" s="42"/>
      <c r="C1005" s="42"/>
      <c r="D1005" s="43"/>
      <c r="E1005" s="43"/>
      <c r="F1005" s="43"/>
    </row>
    <row r="1006">
      <c r="A1006" s="42"/>
      <c r="B1006" s="42"/>
      <c r="C1006" s="42"/>
      <c r="D1006" s="43"/>
      <c r="E1006" s="43"/>
      <c r="F1006" s="43"/>
    </row>
    <row r="1007">
      <c r="A1007" s="42"/>
      <c r="B1007" s="42"/>
      <c r="C1007" s="42"/>
      <c r="D1007" s="43"/>
      <c r="E1007" s="43"/>
      <c r="F1007" s="43"/>
    </row>
    <row r="1008">
      <c r="A1008" s="42"/>
      <c r="B1008" s="42"/>
      <c r="C1008" s="42"/>
      <c r="D1008" s="43"/>
      <c r="E1008" s="43"/>
      <c r="F1008" s="43"/>
    </row>
    <row r="1009">
      <c r="A1009" s="42"/>
      <c r="B1009" s="42"/>
      <c r="C1009" s="42"/>
      <c r="D1009" s="43"/>
      <c r="E1009" s="43"/>
      <c r="F1009" s="43"/>
    </row>
    <row r="1010">
      <c r="A1010" s="42"/>
      <c r="B1010" s="42"/>
      <c r="C1010" s="42"/>
      <c r="D1010" s="43"/>
      <c r="E1010" s="43"/>
      <c r="F1010" s="43"/>
    </row>
    <row r="1011">
      <c r="A1011" s="42"/>
      <c r="B1011" s="42"/>
      <c r="C1011" s="42"/>
      <c r="D1011" s="43"/>
      <c r="E1011" s="43"/>
      <c r="F1011" s="43"/>
    </row>
    <row r="1012">
      <c r="A1012" s="42"/>
      <c r="B1012" s="42"/>
      <c r="C1012" s="42"/>
      <c r="D1012" s="43"/>
      <c r="E1012" s="43"/>
      <c r="F1012" s="43"/>
    </row>
    <row r="1013">
      <c r="A1013" s="42"/>
      <c r="B1013" s="42"/>
      <c r="C1013" s="42"/>
      <c r="D1013" s="43"/>
      <c r="E1013" s="43"/>
      <c r="F1013" s="43"/>
    </row>
    <row r="1014">
      <c r="A1014" s="42"/>
      <c r="B1014" s="42"/>
      <c r="C1014" s="42"/>
      <c r="D1014" s="43"/>
      <c r="E1014" s="43"/>
      <c r="F1014" s="43"/>
    </row>
    <row r="1015">
      <c r="A1015" s="42"/>
      <c r="B1015" s="42"/>
      <c r="C1015" s="42"/>
      <c r="D1015" s="43"/>
      <c r="E1015" s="43"/>
      <c r="F1015" s="43"/>
    </row>
    <row r="1016">
      <c r="A1016" s="42"/>
      <c r="B1016" s="42"/>
      <c r="C1016" s="42"/>
      <c r="D1016" s="43"/>
      <c r="E1016" s="43"/>
      <c r="F1016" s="43"/>
    </row>
    <row r="1017">
      <c r="A1017" s="42"/>
      <c r="B1017" s="42"/>
      <c r="C1017" s="42"/>
      <c r="D1017" s="43"/>
      <c r="E1017" s="43"/>
      <c r="F1017" s="43"/>
    </row>
    <row r="1018">
      <c r="A1018" s="42"/>
      <c r="B1018" s="42"/>
      <c r="C1018" s="42"/>
      <c r="D1018" s="43"/>
      <c r="E1018" s="43"/>
      <c r="F1018" s="43"/>
    </row>
    <row r="1019">
      <c r="A1019" s="42"/>
      <c r="B1019" s="42"/>
      <c r="C1019" s="42"/>
      <c r="D1019" s="43"/>
      <c r="E1019" s="43"/>
      <c r="F1019" s="43"/>
    </row>
    <row r="1020">
      <c r="A1020" s="42"/>
      <c r="B1020" s="42"/>
      <c r="C1020" s="42"/>
      <c r="D1020" s="43"/>
      <c r="E1020" s="43"/>
      <c r="F1020" s="43"/>
    </row>
    <row r="1021">
      <c r="A1021" s="42"/>
      <c r="B1021" s="42"/>
      <c r="C1021" s="42"/>
      <c r="D1021" s="43"/>
      <c r="E1021" s="43"/>
      <c r="F1021" s="43"/>
    </row>
    <row r="1022">
      <c r="A1022" s="42"/>
      <c r="B1022" s="42"/>
      <c r="C1022" s="42"/>
      <c r="D1022" s="43"/>
      <c r="E1022" s="43"/>
      <c r="F1022" s="43"/>
    </row>
    <row r="1023">
      <c r="A1023" s="42"/>
      <c r="B1023" s="42"/>
      <c r="C1023" s="42"/>
      <c r="D1023" s="43"/>
      <c r="E1023" s="43"/>
      <c r="F1023" s="43"/>
    </row>
    <row r="1024">
      <c r="A1024" s="42"/>
      <c r="B1024" s="42"/>
      <c r="C1024" s="42"/>
      <c r="D1024" s="43"/>
      <c r="E1024" s="43"/>
      <c r="F1024" s="43"/>
    </row>
    <row r="1025">
      <c r="A1025" s="42"/>
      <c r="B1025" s="42"/>
      <c r="C1025" s="42"/>
      <c r="D1025" s="43"/>
      <c r="E1025" s="43"/>
      <c r="F1025" s="43"/>
    </row>
    <row r="1026">
      <c r="A1026" s="42"/>
      <c r="B1026" s="42"/>
      <c r="C1026" s="42"/>
      <c r="D1026" s="43"/>
      <c r="E1026" s="43"/>
      <c r="F1026" s="43"/>
    </row>
    <row r="1027">
      <c r="A1027" s="42"/>
      <c r="B1027" s="42"/>
      <c r="C1027" s="42"/>
      <c r="D1027" s="43"/>
      <c r="E1027" s="43"/>
      <c r="F1027" s="43"/>
    </row>
    <row r="1028">
      <c r="A1028" s="42"/>
      <c r="B1028" s="42"/>
      <c r="C1028" s="42"/>
      <c r="D1028" s="43"/>
      <c r="E1028" s="43"/>
      <c r="F1028" s="43"/>
    </row>
    <row r="1029">
      <c r="A1029" s="42"/>
      <c r="B1029" s="42"/>
      <c r="C1029" s="42"/>
      <c r="D1029" s="43"/>
      <c r="E1029" s="43"/>
      <c r="F1029" s="43"/>
    </row>
    <row r="1030">
      <c r="A1030" s="42"/>
      <c r="B1030" s="42"/>
      <c r="C1030" s="42"/>
      <c r="D1030" s="43"/>
      <c r="E1030" s="43"/>
      <c r="F1030" s="43"/>
    </row>
    <row r="1031">
      <c r="A1031" s="42"/>
      <c r="B1031" s="42"/>
      <c r="C1031" s="42"/>
      <c r="D1031" s="43"/>
      <c r="E1031" s="43"/>
      <c r="F1031" s="43"/>
    </row>
    <row r="1032">
      <c r="A1032" s="42"/>
      <c r="B1032" s="42"/>
      <c r="C1032" s="42"/>
      <c r="D1032" s="43"/>
      <c r="E1032" s="43"/>
      <c r="F1032" s="43"/>
    </row>
    <row r="1033">
      <c r="A1033" s="42"/>
      <c r="B1033" s="42"/>
      <c r="C1033" s="42"/>
      <c r="D1033" s="43"/>
      <c r="E1033" s="43"/>
      <c r="F1033" s="43"/>
    </row>
    <row r="1034">
      <c r="A1034" s="42"/>
      <c r="B1034" s="42"/>
      <c r="C1034" s="42"/>
      <c r="D1034" s="43"/>
      <c r="E1034" s="43"/>
      <c r="F1034" s="43"/>
    </row>
    <row r="1035">
      <c r="A1035" s="42"/>
      <c r="B1035" s="42"/>
      <c r="C1035" s="42"/>
      <c r="D1035" s="43"/>
      <c r="E1035" s="43"/>
      <c r="F1035" s="43"/>
    </row>
    <row r="1036">
      <c r="A1036" s="42"/>
      <c r="B1036" s="42"/>
      <c r="C1036" s="42"/>
      <c r="D1036" s="43"/>
      <c r="E1036" s="43"/>
      <c r="F1036" s="43"/>
    </row>
    <row r="1037">
      <c r="A1037" s="42"/>
      <c r="B1037" s="42"/>
      <c r="C1037" s="42"/>
      <c r="D1037" s="43"/>
      <c r="E1037" s="43"/>
      <c r="F1037" s="43"/>
    </row>
    <row r="1038">
      <c r="A1038" s="42"/>
      <c r="B1038" s="42"/>
      <c r="C1038" s="42"/>
      <c r="D1038" s="43"/>
      <c r="E1038" s="43"/>
      <c r="F1038" s="43"/>
    </row>
    <row r="1039">
      <c r="A1039" s="42"/>
      <c r="B1039" s="42"/>
      <c r="C1039" s="42"/>
      <c r="D1039" s="43"/>
      <c r="E1039" s="43"/>
      <c r="F1039" s="43"/>
    </row>
    <row r="1040">
      <c r="A1040" s="42"/>
      <c r="B1040" s="42"/>
      <c r="C1040" s="42"/>
      <c r="D1040" s="43"/>
      <c r="E1040" s="43"/>
      <c r="F1040" s="43"/>
    </row>
    <row r="1041">
      <c r="A1041" s="42"/>
      <c r="B1041" s="42"/>
      <c r="C1041" s="42"/>
      <c r="D1041" s="43"/>
      <c r="E1041" s="43"/>
      <c r="F1041" s="43"/>
    </row>
    <row r="1042">
      <c r="A1042" s="42"/>
      <c r="B1042" s="42"/>
      <c r="C1042" s="42"/>
      <c r="D1042" s="43"/>
      <c r="E1042" s="43"/>
      <c r="F1042" s="43"/>
    </row>
    <row r="1043">
      <c r="A1043" s="42"/>
      <c r="B1043" s="42"/>
      <c r="C1043" s="42"/>
      <c r="D1043" s="43"/>
      <c r="E1043" s="43"/>
      <c r="F1043" s="43"/>
    </row>
    <row r="1044">
      <c r="A1044" s="42"/>
      <c r="B1044" s="42"/>
      <c r="C1044" s="42"/>
      <c r="D1044" s="43"/>
      <c r="E1044" s="43"/>
      <c r="F1044" s="43"/>
    </row>
    <row r="1045">
      <c r="A1045" s="42"/>
      <c r="B1045" s="42"/>
      <c r="C1045" s="42"/>
      <c r="D1045" s="43"/>
      <c r="E1045" s="43"/>
      <c r="F1045" s="43"/>
    </row>
    <row r="1046">
      <c r="A1046" s="42"/>
      <c r="B1046" s="42"/>
      <c r="C1046" s="42"/>
      <c r="D1046" s="43"/>
      <c r="E1046" s="43"/>
      <c r="F1046" s="43"/>
    </row>
    <row r="1047">
      <c r="A1047" s="42"/>
      <c r="B1047" s="42"/>
      <c r="C1047" s="42"/>
      <c r="D1047" s="43"/>
      <c r="E1047" s="43"/>
      <c r="F1047" s="43"/>
    </row>
    <row r="1048">
      <c r="A1048" s="42"/>
      <c r="B1048" s="42"/>
      <c r="C1048" s="42"/>
      <c r="D1048" s="43"/>
      <c r="E1048" s="43"/>
      <c r="F1048" s="43"/>
    </row>
    <row r="1049">
      <c r="A1049" s="42"/>
      <c r="B1049" s="42"/>
      <c r="C1049" s="42"/>
      <c r="D1049" s="43"/>
      <c r="E1049" s="43"/>
      <c r="F1049" s="43"/>
    </row>
    <row r="1050">
      <c r="A1050" s="42"/>
      <c r="B1050" s="42"/>
      <c r="C1050" s="42"/>
      <c r="D1050" s="43"/>
      <c r="E1050" s="43"/>
      <c r="F1050" s="43"/>
    </row>
    <row r="1051">
      <c r="A1051" s="42"/>
      <c r="B1051" s="42"/>
      <c r="C1051" s="42"/>
      <c r="D1051" s="43"/>
      <c r="E1051" s="43"/>
      <c r="F1051" s="43"/>
    </row>
    <row r="1052">
      <c r="A1052" s="42"/>
      <c r="B1052" s="42"/>
      <c r="C1052" s="42"/>
      <c r="D1052" s="43"/>
      <c r="E1052" s="43"/>
      <c r="F1052" s="43"/>
    </row>
    <row r="1053">
      <c r="A1053" s="42"/>
      <c r="B1053" s="42"/>
      <c r="C1053" s="42"/>
      <c r="D1053" s="43"/>
      <c r="E1053" s="43"/>
      <c r="F1053" s="43"/>
    </row>
    <row r="1054">
      <c r="A1054" s="42"/>
      <c r="B1054" s="42"/>
      <c r="C1054" s="42"/>
      <c r="D1054" s="43"/>
      <c r="E1054" s="43"/>
      <c r="F1054" s="43"/>
    </row>
    <row r="1055">
      <c r="A1055" s="42"/>
      <c r="B1055" s="42"/>
      <c r="C1055" s="42"/>
      <c r="D1055" s="43"/>
      <c r="E1055" s="43"/>
      <c r="F1055" s="43"/>
    </row>
    <row r="1056">
      <c r="A1056" s="42"/>
      <c r="B1056" s="42"/>
      <c r="C1056" s="42"/>
      <c r="D1056" s="43"/>
      <c r="E1056" s="43"/>
      <c r="F1056" s="43"/>
    </row>
    <row r="1057">
      <c r="A1057" s="42"/>
      <c r="B1057" s="42"/>
      <c r="C1057" s="42"/>
      <c r="D1057" s="43"/>
      <c r="E1057" s="43"/>
      <c r="F1057" s="43"/>
    </row>
    <row r="1058">
      <c r="A1058" s="42"/>
      <c r="B1058" s="42"/>
      <c r="C1058" s="42"/>
      <c r="D1058" s="43"/>
      <c r="E1058" s="43"/>
      <c r="F1058" s="43"/>
    </row>
    <row r="1059">
      <c r="A1059" s="42"/>
      <c r="B1059" s="42"/>
      <c r="C1059" s="42"/>
      <c r="D1059" s="43"/>
      <c r="E1059" s="43"/>
      <c r="F1059" s="43"/>
    </row>
    <row r="1060">
      <c r="A1060" s="42"/>
      <c r="B1060" s="42"/>
      <c r="C1060" s="42"/>
      <c r="D1060" s="43"/>
      <c r="E1060" s="43"/>
      <c r="F1060" s="43"/>
    </row>
    <row r="1061">
      <c r="A1061" s="42"/>
      <c r="B1061" s="42"/>
      <c r="C1061" s="42"/>
      <c r="D1061" s="43"/>
      <c r="E1061" s="43"/>
      <c r="F1061" s="43"/>
    </row>
    <row r="1062">
      <c r="A1062" s="42"/>
      <c r="B1062" s="42"/>
      <c r="C1062" s="42"/>
      <c r="D1062" s="43"/>
      <c r="E1062" s="43"/>
      <c r="F1062" s="43"/>
    </row>
    <row r="1063">
      <c r="A1063" s="42"/>
      <c r="B1063" s="42"/>
      <c r="C1063" s="42"/>
      <c r="D1063" s="43"/>
      <c r="E1063" s="43"/>
      <c r="F1063" s="43"/>
    </row>
    <row r="1064">
      <c r="A1064" s="42"/>
      <c r="B1064" s="42"/>
      <c r="C1064" s="42"/>
      <c r="D1064" s="43"/>
      <c r="E1064" s="43"/>
      <c r="F1064" s="43"/>
    </row>
  </sheetData>
  <mergeCells count="6">
    <mergeCell ref="A1:A2"/>
    <mergeCell ref="B1:B2"/>
    <mergeCell ref="C1:C2"/>
    <mergeCell ref="D1:D2"/>
    <mergeCell ref="E1:E2"/>
    <mergeCell ref="F1:F2"/>
  </mergeCells>
  <hyperlinks>
    <hyperlink r:id="rId1" ref="C1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88"/>
    <col customWidth="1" min="2" max="2" width="28.25"/>
    <col customWidth="1" min="3" max="3" width="40.75"/>
    <col customWidth="1" min="4" max="4" width="31.0"/>
    <col customWidth="1" min="5" max="14" width="30.75"/>
  </cols>
  <sheetData>
    <row r="1">
      <c r="A1" s="44" t="s">
        <v>0</v>
      </c>
      <c r="B1" s="45" t="s">
        <v>1</v>
      </c>
      <c r="C1" s="46" t="s">
        <v>2</v>
      </c>
      <c r="D1" s="47" t="s">
        <v>237</v>
      </c>
      <c r="E1" s="3" t="s">
        <v>238</v>
      </c>
      <c r="F1" s="3" t="s">
        <v>239</v>
      </c>
      <c r="G1" s="3" t="s">
        <v>240</v>
      </c>
      <c r="H1" s="3" t="s">
        <v>241</v>
      </c>
      <c r="I1" s="3" t="s">
        <v>242</v>
      </c>
      <c r="J1" s="3" t="s">
        <v>243</v>
      </c>
      <c r="K1" s="3" t="s">
        <v>244</v>
      </c>
      <c r="L1" s="3" t="s">
        <v>245</v>
      </c>
      <c r="M1" s="3" t="s">
        <v>246</v>
      </c>
      <c r="N1" s="3" t="s">
        <v>247</v>
      </c>
    </row>
    <row r="2">
      <c r="A2" s="4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A3" s="48" t="s">
        <v>6</v>
      </c>
      <c r="B3" s="5"/>
      <c r="C3" s="49"/>
      <c r="D3" s="50"/>
      <c r="E3" s="8"/>
      <c r="F3" s="8"/>
      <c r="G3" s="8"/>
      <c r="H3" s="8"/>
      <c r="I3" s="8"/>
      <c r="J3" s="8"/>
      <c r="K3" s="8"/>
      <c r="L3" s="8"/>
      <c r="M3" s="8"/>
      <c r="N3" s="8"/>
    </row>
    <row r="4">
      <c r="A4" s="9" t="s">
        <v>7</v>
      </c>
      <c r="B4" s="10" t="s">
        <v>7</v>
      </c>
      <c r="C4" s="11" t="s">
        <v>8</v>
      </c>
      <c r="D4" s="51" t="s">
        <v>248</v>
      </c>
      <c r="E4" s="12" t="s">
        <v>248</v>
      </c>
      <c r="F4" s="12" t="s">
        <v>248</v>
      </c>
      <c r="G4" s="12" t="s">
        <v>248</v>
      </c>
      <c r="H4" s="13" t="s">
        <v>249</v>
      </c>
      <c r="I4" s="12" t="s">
        <v>249</v>
      </c>
      <c r="J4" s="12" t="s">
        <v>249</v>
      </c>
      <c r="K4" s="12" t="s">
        <v>249</v>
      </c>
      <c r="L4" s="12" t="s">
        <v>249</v>
      </c>
      <c r="M4" s="12" t="s">
        <v>249</v>
      </c>
      <c r="N4" s="13" t="s">
        <v>11</v>
      </c>
    </row>
    <row r="5">
      <c r="A5" s="9" t="s">
        <v>12</v>
      </c>
      <c r="B5" s="14" t="s">
        <v>13</v>
      </c>
      <c r="C5" s="11" t="s">
        <v>14</v>
      </c>
      <c r="D5" s="51" t="s">
        <v>16</v>
      </c>
      <c r="E5" s="12" t="s">
        <v>16</v>
      </c>
      <c r="F5" s="12" t="s">
        <v>16</v>
      </c>
      <c r="G5" s="12" t="s">
        <v>16</v>
      </c>
      <c r="H5" s="12" t="s">
        <v>16</v>
      </c>
      <c r="I5" s="12" t="s">
        <v>16</v>
      </c>
      <c r="J5" s="12" t="s">
        <v>16</v>
      </c>
      <c r="K5" s="12" t="s">
        <v>16</v>
      </c>
      <c r="L5" s="12" t="s">
        <v>16</v>
      </c>
      <c r="M5" s="12" t="s">
        <v>16</v>
      </c>
      <c r="N5" s="12" t="s">
        <v>16</v>
      </c>
    </row>
    <row r="6">
      <c r="A6" s="9" t="s">
        <v>17</v>
      </c>
      <c r="B6" s="10" t="s">
        <v>18</v>
      </c>
      <c r="C6" s="15" t="str">
        <f>HYPERLINK("https://android-cret.corp.google.com/#fusion:id=com.google.android.gms","com.google.android.gms")</f>
        <v>com.google.android.gms</v>
      </c>
      <c r="D6" s="52" t="s">
        <v>250</v>
      </c>
      <c r="E6" s="17" t="s">
        <v>251</v>
      </c>
      <c r="F6" s="17" t="s">
        <v>252</v>
      </c>
      <c r="G6" s="17" t="s">
        <v>253</v>
      </c>
      <c r="H6" s="17" t="s">
        <v>254</v>
      </c>
      <c r="I6" s="17" t="s">
        <v>255</v>
      </c>
      <c r="J6" s="17" t="s">
        <v>256</v>
      </c>
      <c r="K6" s="16" t="s">
        <v>256</v>
      </c>
      <c r="L6" s="16" t="s">
        <v>256</v>
      </c>
      <c r="M6" s="17" t="s">
        <v>257</v>
      </c>
      <c r="N6" s="17" t="s">
        <v>258</v>
      </c>
    </row>
    <row r="7">
      <c r="A7" s="9" t="s">
        <v>21</v>
      </c>
      <c r="B7" s="10" t="s">
        <v>22</v>
      </c>
      <c r="C7" s="11" t="s">
        <v>23</v>
      </c>
      <c r="D7" s="51" t="s">
        <v>248</v>
      </c>
      <c r="E7" s="12" t="s">
        <v>248</v>
      </c>
      <c r="F7" s="12" t="s">
        <v>248</v>
      </c>
      <c r="G7" s="13" t="s">
        <v>259</v>
      </c>
      <c r="H7" s="13" t="s">
        <v>249</v>
      </c>
      <c r="I7" s="12" t="s">
        <v>249</v>
      </c>
      <c r="J7" s="12" t="s">
        <v>249</v>
      </c>
      <c r="K7" s="12" t="s">
        <v>249</v>
      </c>
      <c r="L7" s="12" t="s">
        <v>249</v>
      </c>
      <c r="M7" s="12" t="s">
        <v>249</v>
      </c>
      <c r="N7" s="13" t="s">
        <v>260</v>
      </c>
    </row>
    <row r="8">
      <c r="A8" s="9" t="s">
        <v>261</v>
      </c>
      <c r="B8" s="10" t="s">
        <v>262</v>
      </c>
      <c r="C8" s="11" t="s">
        <v>263</v>
      </c>
      <c r="D8" s="51" t="s">
        <v>248</v>
      </c>
      <c r="E8" s="12" t="s">
        <v>248</v>
      </c>
      <c r="F8" s="12" t="s">
        <v>248</v>
      </c>
      <c r="G8" s="12" t="s">
        <v>248</v>
      </c>
      <c r="H8" s="13" t="s">
        <v>249</v>
      </c>
      <c r="I8" s="12" t="s">
        <v>249</v>
      </c>
      <c r="J8" s="12" t="s">
        <v>249</v>
      </c>
      <c r="K8" s="12" t="s">
        <v>249</v>
      </c>
      <c r="L8" s="12" t="s">
        <v>249</v>
      </c>
      <c r="M8" s="12" t="s">
        <v>249</v>
      </c>
      <c r="N8" s="13" t="s">
        <v>260</v>
      </c>
    </row>
    <row r="9">
      <c r="A9" s="9" t="s">
        <v>26</v>
      </c>
      <c r="B9" s="10" t="s">
        <v>27</v>
      </c>
      <c r="C9" s="11" t="s">
        <v>28</v>
      </c>
      <c r="D9" s="53" t="s">
        <v>264</v>
      </c>
      <c r="E9" s="53" t="s">
        <v>264</v>
      </c>
      <c r="F9" s="12" t="s">
        <v>264</v>
      </c>
      <c r="G9" s="13" t="s">
        <v>29</v>
      </c>
      <c r="H9" s="12" t="s">
        <v>29</v>
      </c>
      <c r="I9" s="12" t="s">
        <v>29</v>
      </c>
      <c r="J9" s="12" t="s">
        <v>29</v>
      </c>
      <c r="K9" s="12" t="s">
        <v>29</v>
      </c>
      <c r="L9" s="12" t="s">
        <v>29</v>
      </c>
      <c r="M9" s="12" t="s">
        <v>29</v>
      </c>
      <c r="N9" s="13" t="s">
        <v>30</v>
      </c>
    </row>
    <row r="10">
      <c r="A10" s="9" t="s">
        <v>31</v>
      </c>
      <c r="B10" s="10" t="s">
        <v>32</v>
      </c>
      <c r="C10" s="11" t="s">
        <v>33</v>
      </c>
      <c r="D10" s="52" t="s">
        <v>265</v>
      </c>
      <c r="E10" s="16" t="s">
        <v>265</v>
      </c>
      <c r="F10" s="16" t="s">
        <v>265</v>
      </c>
      <c r="G10" s="17" t="s">
        <v>266</v>
      </c>
      <c r="H10" s="17" t="s">
        <v>267</v>
      </c>
      <c r="I10" s="17" t="s">
        <v>268</v>
      </c>
      <c r="J10" s="17" t="s">
        <v>34</v>
      </c>
      <c r="K10" s="16" t="s">
        <v>34</v>
      </c>
      <c r="L10" s="16" t="s">
        <v>34</v>
      </c>
      <c r="M10" s="17" t="s">
        <v>269</v>
      </c>
      <c r="N10" s="17" t="s">
        <v>270</v>
      </c>
    </row>
    <row r="11">
      <c r="A11" s="9" t="s">
        <v>36</v>
      </c>
      <c r="B11" s="10" t="s">
        <v>37</v>
      </c>
      <c r="C11" s="11" t="s">
        <v>38</v>
      </c>
      <c r="D11" s="51" t="s">
        <v>248</v>
      </c>
      <c r="E11" s="12" t="s">
        <v>248</v>
      </c>
      <c r="F11" s="12" t="s">
        <v>248</v>
      </c>
      <c r="G11" s="12" t="s">
        <v>248</v>
      </c>
      <c r="H11" s="13" t="s">
        <v>249</v>
      </c>
      <c r="I11" s="12" t="s">
        <v>249</v>
      </c>
      <c r="J11" s="12" t="s">
        <v>249</v>
      </c>
      <c r="K11" s="12" t="s">
        <v>249</v>
      </c>
      <c r="L11" s="12" t="s">
        <v>249</v>
      </c>
      <c r="M11" s="12" t="s">
        <v>249</v>
      </c>
      <c r="N11" s="13" t="s">
        <v>260</v>
      </c>
    </row>
    <row r="12">
      <c r="A12" s="9" t="s">
        <v>39</v>
      </c>
      <c r="B12" s="10" t="s">
        <v>40</v>
      </c>
      <c r="C12" s="11" t="s">
        <v>41</v>
      </c>
      <c r="D12" s="29">
        <v>1.2</v>
      </c>
      <c r="E12" s="12">
        <v>1.2</v>
      </c>
      <c r="F12" s="12">
        <v>1.2</v>
      </c>
      <c r="G12" s="12">
        <v>1.2</v>
      </c>
      <c r="H12" s="12">
        <v>1.2</v>
      </c>
      <c r="I12" s="12">
        <v>1.2</v>
      </c>
      <c r="J12" s="12">
        <v>1.2</v>
      </c>
      <c r="K12" s="12">
        <v>1.2</v>
      </c>
      <c r="L12" s="12">
        <v>1.2</v>
      </c>
      <c r="M12" s="12">
        <v>1.2</v>
      </c>
      <c r="N12" s="13" t="s">
        <v>42</v>
      </c>
    </row>
    <row r="13">
      <c r="A13" s="9" t="s">
        <v>43</v>
      </c>
      <c r="B13" s="10" t="s">
        <v>44</v>
      </c>
      <c r="C13" s="11" t="s">
        <v>45</v>
      </c>
      <c r="D13" s="51" t="s">
        <v>271</v>
      </c>
      <c r="E13" s="12" t="s">
        <v>271</v>
      </c>
      <c r="F13" s="12" t="s">
        <v>271</v>
      </c>
      <c r="G13" s="12" t="s">
        <v>271</v>
      </c>
      <c r="H13" s="12" t="s">
        <v>271</v>
      </c>
      <c r="I13" s="17" t="s">
        <v>46</v>
      </c>
      <c r="J13" s="12" t="s">
        <v>46</v>
      </c>
      <c r="K13" s="12" t="s">
        <v>46</v>
      </c>
      <c r="L13" s="12" t="s">
        <v>46</v>
      </c>
      <c r="M13" s="12" t="s">
        <v>46</v>
      </c>
      <c r="N13" s="13" t="s">
        <v>47</v>
      </c>
    </row>
    <row r="14">
      <c r="A14" s="9" t="s">
        <v>48</v>
      </c>
      <c r="B14" s="10" t="s">
        <v>49</v>
      </c>
      <c r="C14" s="11" t="s">
        <v>50</v>
      </c>
      <c r="D14" s="52" t="s">
        <v>272</v>
      </c>
      <c r="E14" s="16" t="s">
        <v>272</v>
      </c>
      <c r="F14" s="16" t="s">
        <v>272</v>
      </c>
      <c r="G14" s="17" t="s">
        <v>273</v>
      </c>
      <c r="H14" s="17" t="s">
        <v>274</v>
      </c>
      <c r="I14" s="17" t="s">
        <v>275</v>
      </c>
      <c r="J14" s="17" t="s">
        <v>276</v>
      </c>
      <c r="K14" s="16" t="s">
        <v>276</v>
      </c>
      <c r="L14" s="17" t="s">
        <v>277</v>
      </c>
      <c r="M14" s="17" t="s">
        <v>278</v>
      </c>
      <c r="N14" s="17" t="s">
        <v>279</v>
      </c>
    </row>
    <row r="15">
      <c r="A15" s="9" t="s">
        <v>53</v>
      </c>
      <c r="B15" s="10" t="s">
        <v>54</v>
      </c>
      <c r="C15" s="11" t="s">
        <v>55</v>
      </c>
      <c r="D15" s="52" t="s">
        <v>280</v>
      </c>
      <c r="E15" s="17" t="s">
        <v>281</v>
      </c>
      <c r="F15" s="17" t="s">
        <v>282</v>
      </c>
      <c r="G15" s="16" t="s">
        <v>283</v>
      </c>
      <c r="H15" s="16" t="s">
        <v>283</v>
      </c>
      <c r="I15" s="17" t="s">
        <v>284</v>
      </c>
      <c r="J15" s="17" t="s">
        <v>285</v>
      </c>
      <c r="K15" s="16" t="s">
        <v>285</v>
      </c>
      <c r="L15" s="17" t="s">
        <v>286</v>
      </c>
      <c r="M15" s="17" t="s">
        <v>287</v>
      </c>
      <c r="N15" s="17" t="s">
        <v>288</v>
      </c>
    </row>
    <row r="16">
      <c r="A16" s="9" t="s">
        <v>58</v>
      </c>
      <c r="B16" s="10" t="s">
        <v>59</v>
      </c>
      <c r="C16" s="11" t="s">
        <v>60</v>
      </c>
      <c r="D16" s="51" t="s">
        <v>289</v>
      </c>
      <c r="E16" s="12" t="s">
        <v>289</v>
      </c>
      <c r="F16" s="20" t="s">
        <v>290</v>
      </c>
      <c r="G16" s="12" t="s">
        <v>290</v>
      </c>
      <c r="H16" s="12" t="s">
        <v>290</v>
      </c>
      <c r="I16" s="12" t="s">
        <v>290</v>
      </c>
      <c r="J16" s="13" t="s">
        <v>291</v>
      </c>
      <c r="K16" s="12" t="s">
        <v>291</v>
      </c>
      <c r="L16" s="13" t="s">
        <v>61</v>
      </c>
      <c r="M16" s="12" t="s">
        <v>61</v>
      </c>
      <c r="N16" s="12" t="s">
        <v>61</v>
      </c>
    </row>
    <row r="17">
      <c r="A17" s="9" t="s">
        <v>62</v>
      </c>
      <c r="B17" s="10" t="s">
        <v>63</v>
      </c>
      <c r="C17" s="15" t="str">
        <f>HYPERLINK("https://android-cret.corp.google.com/#fusion:id=com.google.android.googlequicksearchbox","com.google.android.googlequicksearchbox")</f>
        <v>com.google.android.googlequicksearchbox</v>
      </c>
      <c r="D17" s="52" t="s">
        <v>292</v>
      </c>
      <c r="E17" s="16" t="s">
        <v>292</v>
      </c>
      <c r="F17" s="17" t="s">
        <v>293</v>
      </c>
      <c r="G17" s="17" t="s">
        <v>294</v>
      </c>
      <c r="H17" s="17" t="s">
        <v>295</v>
      </c>
      <c r="I17" s="31" t="s">
        <v>296</v>
      </c>
      <c r="J17" s="17" t="s">
        <v>297</v>
      </c>
      <c r="K17" s="17" t="s">
        <v>298</v>
      </c>
      <c r="L17" s="16" t="s">
        <v>298</v>
      </c>
      <c r="M17" s="17" t="s">
        <v>299</v>
      </c>
      <c r="N17" s="17" t="s">
        <v>300</v>
      </c>
    </row>
    <row r="18">
      <c r="A18" s="9" t="s">
        <v>66</v>
      </c>
      <c r="B18" s="10" t="s">
        <v>67</v>
      </c>
      <c r="C18" s="11" t="s">
        <v>68</v>
      </c>
      <c r="D18" s="54" t="s">
        <v>301</v>
      </c>
      <c r="E18" s="21" t="s">
        <v>301</v>
      </c>
      <c r="F18" s="21" t="s">
        <v>301</v>
      </c>
      <c r="G18" s="21" t="s">
        <v>301</v>
      </c>
      <c r="H18" s="21" t="s">
        <v>301</v>
      </c>
      <c r="I18" s="21" t="s">
        <v>301</v>
      </c>
      <c r="J18" s="21" t="s">
        <v>301</v>
      </c>
      <c r="K18" s="21" t="s">
        <v>301</v>
      </c>
      <c r="L18" s="22" t="s">
        <v>69</v>
      </c>
      <c r="M18" s="21" t="s">
        <v>69</v>
      </c>
      <c r="N18" s="21" t="s">
        <v>69</v>
      </c>
    </row>
    <row r="19">
      <c r="A19" s="9" t="s">
        <v>72</v>
      </c>
      <c r="B19" s="10" t="s">
        <v>73</v>
      </c>
      <c r="C19" s="15" t="s">
        <v>74</v>
      </c>
      <c r="D19" s="52" t="s">
        <v>302</v>
      </c>
      <c r="E19" s="16" t="s">
        <v>302</v>
      </c>
      <c r="F19" s="16" t="s">
        <v>302</v>
      </c>
      <c r="G19" s="17" t="s">
        <v>303</v>
      </c>
      <c r="H19" s="17" t="s">
        <v>304</v>
      </c>
      <c r="I19" s="17" t="s">
        <v>305</v>
      </c>
      <c r="J19" s="17" t="s">
        <v>306</v>
      </c>
      <c r="K19" s="16" t="s">
        <v>306</v>
      </c>
      <c r="L19" s="16" t="s">
        <v>306</v>
      </c>
      <c r="M19" s="17" t="s">
        <v>75</v>
      </c>
      <c r="N19" s="17" t="s">
        <v>307</v>
      </c>
    </row>
    <row r="20">
      <c r="A20" s="9" t="s">
        <v>77</v>
      </c>
      <c r="B20" s="10" t="s">
        <v>78</v>
      </c>
      <c r="C20" s="55" t="s">
        <v>79</v>
      </c>
      <c r="D20" s="52" t="s">
        <v>308</v>
      </c>
      <c r="E20" s="16" t="s">
        <v>308</v>
      </c>
      <c r="F20" s="16" t="s">
        <v>308</v>
      </c>
      <c r="G20" s="16" t="s">
        <v>308</v>
      </c>
      <c r="H20" s="16" t="s">
        <v>308</v>
      </c>
      <c r="I20" s="17" t="s">
        <v>309</v>
      </c>
      <c r="J20" s="16" t="s">
        <v>309</v>
      </c>
      <c r="K20" s="16" t="s">
        <v>309</v>
      </c>
      <c r="L20" s="16" t="s">
        <v>309</v>
      </c>
      <c r="M20" s="17" t="s">
        <v>80</v>
      </c>
      <c r="N20" s="16" t="s">
        <v>80</v>
      </c>
    </row>
    <row r="21">
      <c r="A21" s="9" t="s">
        <v>82</v>
      </c>
      <c r="B21" s="10" t="s">
        <v>83</v>
      </c>
      <c r="C21" s="56" t="s">
        <v>84</v>
      </c>
      <c r="D21" s="52" t="s">
        <v>310</v>
      </c>
      <c r="E21" s="16" t="s">
        <v>310</v>
      </c>
      <c r="F21" s="16" t="s">
        <v>310</v>
      </c>
      <c r="G21" s="17" t="s">
        <v>311</v>
      </c>
      <c r="H21" s="16" t="s">
        <v>311</v>
      </c>
      <c r="I21" s="16" t="s">
        <v>311</v>
      </c>
      <c r="J21" s="17" t="s">
        <v>312</v>
      </c>
      <c r="K21" s="16" t="s">
        <v>312</v>
      </c>
      <c r="L21" s="16" t="s">
        <v>312</v>
      </c>
      <c r="M21" s="17" t="s">
        <v>85</v>
      </c>
      <c r="N21" s="17" t="s">
        <v>313</v>
      </c>
    </row>
    <row r="22">
      <c r="A22" s="9" t="s">
        <v>87</v>
      </c>
      <c r="B22" s="10" t="s">
        <v>88</v>
      </c>
      <c r="C22" s="11" t="s">
        <v>89</v>
      </c>
      <c r="D22" s="51" t="s">
        <v>314</v>
      </c>
      <c r="E22" s="12" t="s">
        <v>314</v>
      </c>
      <c r="F22" s="12" t="s">
        <v>314</v>
      </c>
      <c r="G22" s="13" t="s">
        <v>315</v>
      </c>
      <c r="H22" s="12" t="s">
        <v>315</v>
      </c>
      <c r="I22" s="13" t="s">
        <v>90</v>
      </c>
      <c r="J22" s="12" t="s">
        <v>90</v>
      </c>
      <c r="K22" s="12" t="s">
        <v>90</v>
      </c>
      <c r="L22" s="12" t="s">
        <v>90</v>
      </c>
      <c r="M22" s="12" t="s">
        <v>90</v>
      </c>
      <c r="N22" s="12" t="s">
        <v>90</v>
      </c>
    </row>
    <row r="23">
      <c r="A23" s="57" t="s">
        <v>92</v>
      </c>
      <c r="B23" s="57" t="s">
        <v>93</v>
      </c>
      <c r="C23" s="26" t="s">
        <v>94</v>
      </c>
      <c r="D23" s="8"/>
      <c r="E23" s="8"/>
      <c r="F23" s="8"/>
      <c r="G23" s="8"/>
      <c r="H23" s="8"/>
      <c r="I23" s="13" t="s">
        <v>316</v>
      </c>
      <c r="J23" s="13" t="s">
        <v>95</v>
      </c>
      <c r="K23" s="12" t="s">
        <v>95</v>
      </c>
      <c r="L23" s="12" t="s">
        <v>95</v>
      </c>
      <c r="M23" s="12" t="s">
        <v>95</v>
      </c>
      <c r="N23" s="12" t="s">
        <v>95</v>
      </c>
    </row>
    <row r="24">
      <c r="A24" s="27" t="s">
        <v>317</v>
      </c>
      <c r="B24" s="28" t="s">
        <v>318</v>
      </c>
      <c r="C24" s="15" t="str">
        <f>HYPERLINK("https://android-cret.corp.google.com/#fusion:id=com.google.android.ims","com.google.android.ims")</f>
        <v>com.google.android.ims</v>
      </c>
      <c r="D24" s="52" t="s">
        <v>319</v>
      </c>
      <c r="E24" s="16" t="s">
        <v>319</v>
      </c>
      <c r="F24" s="16" t="s">
        <v>319</v>
      </c>
      <c r="G24" s="16" t="s">
        <v>319</v>
      </c>
      <c r="H24" s="16" t="s">
        <v>319</v>
      </c>
      <c r="I24" s="16" t="s">
        <v>319</v>
      </c>
      <c r="J24" s="16" t="s">
        <v>319</v>
      </c>
      <c r="K24" s="16" t="s">
        <v>319</v>
      </c>
      <c r="L24" s="16" t="s">
        <v>319</v>
      </c>
      <c r="M24" s="16" t="s">
        <v>319</v>
      </c>
      <c r="N24" s="16" t="s">
        <v>319</v>
      </c>
    </row>
    <row r="25">
      <c r="A25" s="27" t="s">
        <v>97</v>
      </c>
      <c r="B25" s="28" t="s">
        <v>98</v>
      </c>
      <c r="C25" s="15" t="str">
        <f>HYPERLINK("https://android-cret.corp.google.com/#fusion:id=com.google.android.dialer","com.google.android.dialer")</f>
        <v>com.google.android.dialer</v>
      </c>
      <c r="D25" s="52" t="s">
        <v>320</v>
      </c>
      <c r="E25" s="16" t="s">
        <v>320</v>
      </c>
      <c r="F25" s="16" t="s">
        <v>320</v>
      </c>
      <c r="G25" s="17" t="s">
        <v>321</v>
      </c>
      <c r="H25" s="17" t="s">
        <v>322</v>
      </c>
      <c r="I25" s="17" t="s">
        <v>323</v>
      </c>
      <c r="J25" s="17" t="s">
        <v>324</v>
      </c>
      <c r="K25" s="16" t="s">
        <v>324</v>
      </c>
      <c r="L25" s="16" t="s">
        <v>324</v>
      </c>
      <c r="M25" s="17" t="s">
        <v>325</v>
      </c>
      <c r="N25" s="17" t="s">
        <v>326</v>
      </c>
    </row>
    <row r="26">
      <c r="A26" s="27" t="s">
        <v>327</v>
      </c>
      <c r="B26" s="28" t="s">
        <v>328</v>
      </c>
      <c r="C26" s="11" t="s">
        <v>329</v>
      </c>
      <c r="D26" s="51" t="s">
        <v>330</v>
      </c>
      <c r="E26" s="53" t="s">
        <v>330</v>
      </c>
      <c r="F26" s="12" t="s">
        <v>330</v>
      </c>
      <c r="G26" s="12" t="s">
        <v>330</v>
      </c>
      <c r="H26" s="12" t="s">
        <v>330</v>
      </c>
      <c r="I26" s="12" t="s">
        <v>330</v>
      </c>
      <c r="J26" s="12" t="s">
        <v>330</v>
      </c>
      <c r="K26" s="12" t="s">
        <v>330</v>
      </c>
      <c r="L26" s="12" t="s">
        <v>330</v>
      </c>
      <c r="M26" s="12" t="s">
        <v>330</v>
      </c>
      <c r="N26" s="13" t="s">
        <v>331</v>
      </c>
    </row>
    <row r="27">
      <c r="A27" s="27" t="s">
        <v>101</v>
      </c>
      <c r="B27" s="28" t="s">
        <v>102</v>
      </c>
      <c r="C27" s="15" t="str">
        <f>HYPERLINK("https://android-cret.corp.google.com/#fusion:id=com.google.android.apps.turbo","com.google.android.apps.turbo")</f>
        <v>com.google.android.apps.turbo</v>
      </c>
      <c r="D27" s="52" t="s">
        <v>332</v>
      </c>
      <c r="E27" s="16" t="s">
        <v>332</v>
      </c>
      <c r="F27" s="16" t="s">
        <v>332</v>
      </c>
      <c r="G27" s="16" t="s">
        <v>332</v>
      </c>
      <c r="H27" s="16" t="s">
        <v>332</v>
      </c>
      <c r="I27" s="17" t="s">
        <v>103</v>
      </c>
      <c r="J27" s="16" t="s">
        <v>103</v>
      </c>
      <c r="K27" s="16" t="s">
        <v>103</v>
      </c>
      <c r="L27" s="16" t="s">
        <v>103</v>
      </c>
      <c r="M27" s="16" t="s">
        <v>103</v>
      </c>
      <c r="N27" s="16" t="s">
        <v>103</v>
      </c>
    </row>
    <row r="28">
      <c r="A28" s="27" t="s">
        <v>105</v>
      </c>
      <c r="B28" s="28" t="s">
        <v>106</v>
      </c>
      <c r="C28" s="15" t="s">
        <v>107</v>
      </c>
      <c r="D28" s="52" t="s">
        <v>333</v>
      </c>
      <c r="E28" s="16" t="s">
        <v>333</v>
      </c>
      <c r="F28" s="17" t="s">
        <v>334</v>
      </c>
      <c r="G28" s="17" t="s">
        <v>335</v>
      </c>
      <c r="H28" s="17" t="s">
        <v>336</v>
      </c>
      <c r="I28" s="17" t="s">
        <v>337</v>
      </c>
      <c r="J28" s="16" t="s">
        <v>337</v>
      </c>
      <c r="K28" s="16" t="s">
        <v>337</v>
      </c>
      <c r="L28" s="16" t="s">
        <v>337</v>
      </c>
      <c r="M28" s="17" t="s">
        <v>338</v>
      </c>
      <c r="N28" s="17" t="s">
        <v>339</v>
      </c>
    </row>
    <row r="29">
      <c r="A29" s="29" t="s">
        <v>110</v>
      </c>
      <c r="B29" s="11" t="s">
        <v>111</v>
      </c>
      <c r="C29" s="11" t="s">
        <v>112</v>
      </c>
      <c r="D29" s="51" t="s">
        <v>248</v>
      </c>
      <c r="E29" s="12" t="s">
        <v>248</v>
      </c>
      <c r="F29" s="12" t="s">
        <v>248</v>
      </c>
      <c r="G29" s="12" t="s">
        <v>248</v>
      </c>
      <c r="H29" s="13" t="s">
        <v>249</v>
      </c>
      <c r="I29" s="12" t="s">
        <v>249</v>
      </c>
      <c r="J29" s="12" t="s">
        <v>249</v>
      </c>
      <c r="K29" s="12" t="s">
        <v>249</v>
      </c>
      <c r="L29" s="13" t="s">
        <v>340</v>
      </c>
      <c r="M29" s="12" t="s">
        <v>340</v>
      </c>
      <c r="N29" s="13" t="s">
        <v>341</v>
      </c>
    </row>
    <row r="30">
      <c r="A30" s="29"/>
      <c r="B30" s="11"/>
      <c r="C30" s="11"/>
      <c r="D30" s="51"/>
      <c r="E30" s="12"/>
      <c r="F30" s="12"/>
      <c r="G30" s="12"/>
      <c r="H30" s="12"/>
      <c r="I30" s="12"/>
      <c r="J30" s="12"/>
      <c r="K30" s="12"/>
      <c r="L30" s="12"/>
      <c r="M30" s="12"/>
      <c r="N30" s="12" t="s">
        <v>342</v>
      </c>
    </row>
    <row r="31">
      <c r="A31" s="48" t="s">
        <v>113</v>
      </c>
      <c r="B31" s="5"/>
      <c r="C31" s="58"/>
      <c r="D31" s="50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>
      <c r="A32" s="9" t="s">
        <v>114</v>
      </c>
      <c r="B32" s="10" t="s">
        <v>114</v>
      </c>
      <c r="C32" s="15" t="str">
        <f>HYPERLINK("https://android-cret.corp.google.com/#fusion:id=com.android.chrome","com.android.chrome")</f>
        <v>com.android.chrome</v>
      </c>
      <c r="D32" s="52" t="s">
        <v>343</v>
      </c>
      <c r="E32" s="16" t="s">
        <v>343</v>
      </c>
      <c r="F32" s="16" t="s">
        <v>343</v>
      </c>
      <c r="G32" s="17" t="s">
        <v>344</v>
      </c>
      <c r="H32" s="17" t="s">
        <v>345</v>
      </c>
      <c r="I32" s="17" t="s">
        <v>346</v>
      </c>
      <c r="J32" s="17" t="s">
        <v>347</v>
      </c>
      <c r="K32" s="16" t="s">
        <v>347</v>
      </c>
      <c r="L32" s="16" t="s">
        <v>347</v>
      </c>
      <c r="M32" s="17" t="s">
        <v>115</v>
      </c>
      <c r="N32" s="17" t="s">
        <v>348</v>
      </c>
    </row>
    <row r="33">
      <c r="A33" s="9" t="s">
        <v>117</v>
      </c>
      <c r="B33" s="10" t="s">
        <v>117</v>
      </c>
      <c r="C33" s="15" t="str">
        <f>HYPERLINK("https://android-cret.corp.google.com/#fusion:id=com.google.android.apps.docs","com.google.android.apps.docs")</f>
        <v>com.google.android.apps.docs</v>
      </c>
      <c r="D33" s="52" t="s">
        <v>349</v>
      </c>
      <c r="E33" s="16" t="s">
        <v>349</v>
      </c>
      <c r="F33" s="16" t="s">
        <v>349</v>
      </c>
      <c r="G33" s="17" t="s">
        <v>350</v>
      </c>
      <c r="H33" s="17" t="s">
        <v>351</v>
      </c>
      <c r="I33" s="17" t="s">
        <v>352</v>
      </c>
      <c r="J33" s="17" t="s">
        <v>353</v>
      </c>
      <c r="K33" s="16" t="s">
        <v>353</v>
      </c>
      <c r="L33" s="16" t="s">
        <v>353</v>
      </c>
      <c r="M33" s="17" t="s">
        <v>354</v>
      </c>
      <c r="N33" s="17" t="s">
        <v>355</v>
      </c>
    </row>
    <row r="34">
      <c r="A34" s="9" t="s">
        <v>120</v>
      </c>
      <c r="B34" s="10" t="s">
        <v>120</v>
      </c>
      <c r="C34" s="15" t="str">
        <f>HYPERLINK("https://android-cret.corp.google.com/#fusion:id=com.google.android.apps.tachyon","com.google.android.apps.tachyon")</f>
        <v>com.google.android.apps.tachyon</v>
      </c>
      <c r="D34" s="52" t="s">
        <v>356</v>
      </c>
      <c r="E34" s="16" t="s">
        <v>356</v>
      </c>
      <c r="F34" s="16" t="s">
        <v>356</v>
      </c>
      <c r="G34" s="17" t="s">
        <v>357</v>
      </c>
      <c r="H34" s="17" t="s">
        <v>358</v>
      </c>
      <c r="I34" s="17" t="s">
        <v>359</v>
      </c>
      <c r="J34" s="17" t="s">
        <v>360</v>
      </c>
      <c r="K34" s="16" t="s">
        <v>360</v>
      </c>
      <c r="L34" s="16" t="s">
        <v>360</v>
      </c>
      <c r="M34" s="17" t="s">
        <v>361</v>
      </c>
      <c r="N34" s="17" t="s">
        <v>362</v>
      </c>
    </row>
    <row r="35">
      <c r="A35" s="9" t="s">
        <v>123</v>
      </c>
      <c r="B35" s="10" t="s">
        <v>124</v>
      </c>
      <c r="C35" s="15" t="str">
        <f>HYPERLINK("https://android-cret.corp.google.com/#fusion:id=com.google.android.gm","com.google.android.gm")</f>
        <v>com.google.android.gm</v>
      </c>
      <c r="D35" s="52" t="s">
        <v>363</v>
      </c>
      <c r="E35" s="16" t="s">
        <v>363</v>
      </c>
      <c r="F35" s="16" t="s">
        <v>363</v>
      </c>
      <c r="G35" s="31" t="s">
        <v>364</v>
      </c>
      <c r="H35" s="17" t="s">
        <v>365</v>
      </c>
      <c r="I35" s="17" t="s">
        <v>366</v>
      </c>
      <c r="J35" s="17" t="s">
        <v>367</v>
      </c>
      <c r="K35" s="16" t="s">
        <v>367</v>
      </c>
      <c r="L35" s="16" t="s">
        <v>367</v>
      </c>
      <c r="M35" s="17" t="s">
        <v>368</v>
      </c>
      <c r="N35" s="17" t="s">
        <v>369</v>
      </c>
    </row>
    <row r="36">
      <c r="A36" s="9" t="s">
        <v>127</v>
      </c>
      <c r="B36" s="10" t="s">
        <v>128</v>
      </c>
      <c r="C36" s="11" t="s">
        <v>129</v>
      </c>
      <c r="D36" s="51" t="s">
        <v>130</v>
      </c>
      <c r="E36" s="12" t="s">
        <v>130</v>
      </c>
      <c r="F36" s="12" t="s">
        <v>130</v>
      </c>
      <c r="G36" s="12" t="s">
        <v>130</v>
      </c>
      <c r="H36" s="12" t="s">
        <v>130</v>
      </c>
      <c r="I36" s="12" t="s">
        <v>130</v>
      </c>
      <c r="J36" s="12" t="s">
        <v>130</v>
      </c>
      <c r="K36" s="12" t="s">
        <v>130</v>
      </c>
      <c r="L36" s="12" t="s">
        <v>130</v>
      </c>
      <c r="M36" s="12" t="s">
        <v>130</v>
      </c>
      <c r="N36" s="12" t="s">
        <v>130</v>
      </c>
    </row>
    <row r="37">
      <c r="A37" s="9" t="s">
        <v>131</v>
      </c>
      <c r="B37" s="10" t="s">
        <v>131</v>
      </c>
      <c r="C37" s="15" t="str">
        <f>HYPERLINK("https://android-cret.corp.google.com/#fusion:id=com.google.android.apps.maps","com.google.android.apps.maps")</f>
        <v>com.google.android.apps.maps</v>
      </c>
      <c r="D37" s="52" t="s">
        <v>370</v>
      </c>
      <c r="E37" s="16" t="s">
        <v>370</v>
      </c>
      <c r="F37" s="16" t="s">
        <v>370</v>
      </c>
      <c r="G37" s="17" t="s">
        <v>371</v>
      </c>
      <c r="H37" s="17" t="s">
        <v>372</v>
      </c>
      <c r="I37" s="31" t="s">
        <v>373</v>
      </c>
      <c r="J37" s="17" t="s">
        <v>374</v>
      </c>
      <c r="K37" s="16" t="s">
        <v>374</v>
      </c>
      <c r="L37" s="16" t="s">
        <v>374</v>
      </c>
      <c r="M37" s="17" t="s">
        <v>375</v>
      </c>
      <c r="N37" s="17" t="s">
        <v>376</v>
      </c>
    </row>
    <row r="38">
      <c r="A38" s="9" t="s">
        <v>134</v>
      </c>
      <c r="B38" s="10" t="s">
        <v>135</v>
      </c>
      <c r="C38" s="15" t="str">
        <f>HYPERLINK("https://android-cret.corp.google.com/#fusion:id=com.google.android.apps.photos","com.google.android.apps.photos")</f>
        <v>com.google.android.apps.photos</v>
      </c>
      <c r="D38" s="52" t="s">
        <v>377</v>
      </c>
      <c r="E38" s="16" t="s">
        <v>377</v>
      </c>
      <c r="F38" s="16" t="s">
        <v>377</v>
      </c>
      <c r="G38" s="17" t="s">
        <v>378</v>
      </c>
      <c r="H38" s="17" t="s">
        <v>379</v>
      </c>
      <c r="I38" s="17" t="s">
        <v>380</v>
      </c>
      <c r="J38" s="17" t="s">
        <v>381</v>
      </c>
      <c r="K38" s="16" t="s">
        <v>381</v>
      </c>
      <c r="L38" s="16" t="s">
        <v>381</v>
      </c>
      <c r="M38" s="17" t="s">
        <v>382</v>
      </c>
      <c r="N38" s="17" t="s">
        <v>383</v>
      </c>
    </row>
    <row r="39">
      <c r="A39" s="9" t="s">
        <v>138</v>
      </c>
      <c r="B39" s="10" t="s">
        <v>139</v>
      </c>
      <c r="C39" s="15" t="str">
        <f>HYPERLINK("https://android-cret.corp.google.com/#fusion:id=com.google.android.videos","com.google.android.videos")</f>
        <v>com.google.android.videos</v>
      </c>
      <c r="D39" s="52" t="s">
        <v>384</v>
      </c>
      <c r="E39" s="16" t="s">
        <v>384</v>
      </c>
      <c r="F39" s="16" t="s">
        <v>384</v>
      </c>
      <c r="G39" s="17" t="s">
        <v>385</v>
      </c>
      <c r="H39" s="17" t="s">
        <v>386</v>
      </c>
      <c r="I39" s="17" t="s">
        <v>387</v>
      </c>
      <c r="J39" s="17" t="s">
        <v>388</v>
      </c>
      <c r="K39" s="16" t="s">
        <v>388</v>
      </c>
      <c r="L39" s="16" t="s">
        <v>388</v>
      </c>
      <c r="M39" s="17" t="s">
        <v>140</v>
      </c>
      <c r="N39" s="17" t="s">
        <v>389</v>
      </c>
    </row>
    <row r="40">
      <c r="A40" s="9" t="s">
        <v>142</v>
      </c>
      <c r="B40" s="10" t="s">
        <v>143</v>
      </c>
      <c r="C40" s="15" t="str">
        <f>HYPERLINK("https://android-cret.corp.google.com/#fusion:id=com.google.android.webview","com.google.android.webview")</f>
        <v>com.google.android.webview</v>
      </c>
      <c r="D40" s="52" t="s">
        <v>343</v>
      </c>
      <c r="E40" s="16" t="s">
        <v>343</v>
      </c>
      <c r="F40" s="16" t="s">
        <v>343</v>
      </c>
      <c r="G40" s="17" t="s">
        <v>344</v>
      </c>
      <c r="H40" s="17" t="s">
        <v>345</v>
      </c>
      <c r="I40" s="17" t="s">
        <v>346</v>
      </c>
      <c r="J40" s="17" t="s">
        <v>347</v>
      </c>
      <c r="K40" s="16" t="s">
        <v>347</v>
      </c>
      <c r="L40" s="16" t="s">
        <v>347</v>
      </c>
      <c r="M40" s="17" t="s">
        <v>115</v>
      </c>
      <c r="N40" s="17" t="s">
        <v>348</v>
      </c>
    </row>
    <row r="41">
      <c r="A41" s="9" t="s">
        <v>145</v>
      </c>
      <c r="B41" s="10" t="s">
        <v>145</v>
      </c>
      <c r="C41" s="15" t="str">
        <f>HYPERLINK("https://android-cret.corp.google.com/#fusion:id=com.google.android.youtube","com.google.android.youtube")</f>
        <v>com.google.android.youtube</v>
      </c>
      <c r="D41" s="52" t="s">
        <v>390</v>
      </c>
      <c r="E41" s="16" t="s">
        <v>390</v>
      </c>
      <c r="F41" s="16" t="s">
        <v>390</v>
      </c>
      <c r="G41" s="17" t="s">
        <v>391</v>
      </c>
      <c r="H41" s="17" t="s">
        <v>392</v>
      </c>
      <c r="I41" s="17" t="s">
        <v>393</v>
      </c>
      <c r="J41" s="17" t="s">
        <v>394</v>
      </c>
      <c r="K41" s="16" t="s">
        <v>394</v>
      </c>
      <c r="L41" s="16" t="s">
        <v>394</v>
      </c>
      <c r="M41" s="17" t="s">
        <v>147</v>
      </c>
      <c r="N41" s="16" t="s">
        <v>147</v>
      </c>
    </row>
    <row r="42">
      <c r="A42" s="9" t="s">
        <v>148</v>
      </c>
      <c r="B42" s="10" t="s">
        <v>149</v>
      </c>
      <c r="C42" s="11" t="s">
        <v>150</v>
      </c>
      <c r="D42" s="52" t="s">
        <v>395</v>
      </c>
      <c r="E42" s="16" t="s">
        <v>395</v>
      </c>
      <c r="F42" s="16" t="s">
        <v>395</v>
      </c>
      <c r="G42" s="17" t="s">
        <v>396</v>
      </c>
      <c r="H42" s="17" t="s">
        <v>397</v>
      </c>
      <c r="I42" s="17" t="s">
        <v>398</v>
      </c>
      <c r="J42" s="17" t="s">
        <v>399</v>
      </c>
      <c r="K42" s="16" t="s">
        <v>399</v>
      </c>
      <c r="L42" s="16" t="s">
        <v>399</v>
      </c>
      <c r="M42" s="17" t="s">
        <v>400</v>
      </c>
      <c r="N42" s="17" t="s">
        <v>401</v>
      </c>
    </row>
    <row r="43">
      <c r="A43" s="9" t="s">
        <v>153</v>
      </c>
      <c r="B43" s="10" t="s">
        <v>154</v>
      </c>
      <c r="C43" s="15" t="str">
        <f>HYPERLINK("https://android-cret.corp.google.com/#fusion:id=com.google.android.tts","com.google.android.tts")</f>
        <v>com.google.android.tts</v>
      </c>
      <c r="D43" s="51" t="s">
        <v>155</v>
      </c>
      <c r="E43" s="12" t="s">
        <v>155</v>
      </c>
      <c r="F43" s="12" t="s">
        <v>155</v>
      </c>
      <c r="G43" s="12" t="s">
        <v>155</v>
      </c>
      <c r="H43" s="12" t="s">
        <v>155</v>
      </c>
      <c r="I43" s="12" t="s">
        <v>155</v>
      </c>
      <c r="J43" s="12" t="s">
        <v>155</v>
      </c>
      <c r="K43" s="12" t="s">
        <v>155</v>
      </c>
      <c r="L43" s="12" t="s">
        <v>155</v>
      </c>
      <c r="M43" s="12" t="s">
        <v>155</v>
      </c>
      <c r="N43" s="12" t="s">
        <v>155</v>
      </c>
    </row>
    <row r="44">
      <c r="A44" s="27" t="s">
        <v>157</v>
      </c>
      <c r="B44" s="28" t="s">
        <v>158</v>
      </c>
      <c r="C44" s="11" t="s">
        <v>159</v>
      </c>
      <c r="D44" s="52" t="s">
        <v>402</v>
      </c>
      <c r="E44" s="31" t="s">
        <v>403</v>
      </c>
      <c r="F44" s="16" t="s">
        <v>403</v>
      </c>
      <c r="G44" s="16" t="s">
        <v>403</v>
      </c>
      <c r="H44" s="16" t="s">
        <v>403</v>
      </c>
      <c r="I44" s="17" t="s">
        <v>160</v>
      </c>
      <c r="J44" s="16" t="s">
        <v>160</v>
      </c>
      <c r="K44" s="16" t="s">
        <v>160</v>
      </c>
      <c r="L44" s="16" t="s">
        <v>160</v>
      </c>
      <c r="M44" s="16" t="s">
        <v>160</v>
      </c>
      <c r="N44" s="17" t="s">
        <v>404</v>
      </c>
    </row>
    <row r="45">
      <c r="A45" s="27" t="s">
        <v>162</v>
      </c>
      <c r="B45" s="28" t="s">
        <v>163</v>
      </c>
      <c r="C45" s="15" t="str">
        <f>HYPERLINK("https://android-cret.corp.google.com/#fusion:id=com.google.android.calendar","com.google.android.calendar")</f>
        <v>com.google.android.calendar</v>
      </c>
      <c r="D45" s="52" t="s">
        <v>405</v>
      </c>
      <c r="E45" s="16" t="s">
        <v>405</v>
      </c>
      <c r="F45" s="16" t="s">
        <v>405</v>
      </c>
      <c r="G45" s="17" t="s">
        <v>406</v>
      </c>
      <c r="H45" s="17" t="s">
        <v>407</v>
      </c>
      <c r="I45" s="17" t="s">
        <v>408</v>
      </c>
      <c r="J45" s="17" t="s">
        <v>409</v>
      </c>
      <c r="K45" s="16" t="s">
        <v>409</v>
      </c>
      <c r="L45" s="16" t="s">
        <v>409</v>
      </c>
      <c r="M45" s="17" t="s">
        <v>410</v>
      </c>
      <c r="N45" s="17" t="s">
        <v>411</v>
      </c>
    </row>
    <row r="46">
      <c r="A46" s="27" t="s">
        <v>166</v>
      </c>
      <c r="B46" s="28" t="s">
        <v>167</v>
      </c>
      <c r="C46" s="32" t="s">
        <v>168</v>
      </c>
      <c r="D46" s="52" t="s">
        <v>169</v>
      </c>
      <c r="E46" s="59" t="s">
        <v>169</v>
      </c>
      <c r="F46" s="17" t="s">
        <v>169</v>
      </c>
      <c r="G46" s="60" t="s">
        <v>169</v>
      </c>
      <c r="H46" s="60" t="s">
        <v>169</v>
      </c>
      <c r="I46" s="61" t="s">
        <v>412</v>
      </c>
      <c r="J46" s="60" t="s">
        <v>169</v>
      </c>
      <c r="K46" s="60" t="s">
        <v>169</v>
      </c>
      <c r="L46" s="60" t="s">
        <v>169</v>
      </c>
      <c r="M46" s="60" t="s">
        <v>169</v>
      </c>
      <c r="N46" s="17" t="s">
        <v>170</v>
      </c>
    </row>
    <row r="47">
      <c r="A47" s="33" t="s">
        <v>171</v>
      </c>
      <c r="B47" s="33" t="s">
        <v>171</v>
      </c>
      <c r="C47" s="34" t="s">
        <v>172</v>
      </c>
      <c r="D47" s="62" t="s">
        <v>413</v>
      </c>
      <c r="E47" s="16" t="s">
        <v>413</v>
      </c>
      <c r="F47" s="16" t="s">
        <v>413</v>
      </c>
      <c r="G47" s="17" t="s">
        <v>414</v>
      </c>
      <c r="H47" s="17" t="s">
        <v>415</v>
      </c>
      <c r="I47" s="17" t="s">
        <v>173</v>
      </c>
      <c r="J47" s="16" t="s">
        <v>173</v>
      </c>
      <c r="K47" s="16" t="s">
        <v>173</v>
      </c>
      <c r="L47" s="16" t="s">
        <v>173</v>
      </c>
      <c r="M47" s="16" t="s">
        <v>173</v>
      </c>
      <c r="N47" s="17" t="s">
        <v>416</v>
      </c>
    </row>
    <row r="48">
      <c r="A48" s="33" t="s">
        <v>175</v>
      </c>
      <c r="B48" s="33" t="s">
        <v>175</v>
      </c>
      <c r="C48" s="32" t="s">
        <v>176</v>
      </c>
      <c r="D48" s="52" t="s">
        <v>417</v>
      </c>
      <c r="E48" s="16" t="s">
        <v>417</v>
      </c>
      <c r="F48" s="16" t="s">
        <v>417</v>
      </c>
      <c r="G48" s="16" t="s">
        <v>417</v>
      </c>
      <c r="H48" s="16" t="s">
        <v>417</v>
      </c>
      <c r="I48" s="16" t="s">
        <v>417</v>
      </c>
      <c r="J48" s="16" t="s">
        <v>417</v>
      </c>
      <c r="K48" s="16" t="s">
        <v>417</v>
      </c>
      <c r="L48" s="16" t="s">
        <v>417</v>
      </c>
      <c r="M48" s="16" t="s">
        <v>417</v>
      </c>
      <c r="N48" s="16" t="s">
        <v>417</v>
      </c>
    </row>
    <row r="49">
      <c r="A49" s="33" t="s">
        <v>179</v>
      </c>
      <c r="B49" s="33" t="s">
        <v>180</v>
      </c>
      <c r="C49" s="15" t="str">
        <f>HYPERLINK("https://android-cret.corp.google.com/#fusion:id=com.google.android.deskclock","com.google.android.deskclock")</f>
        <v>com.google.android.deskclock</v>
      </c>
      <c r="D49" s="52" t="s">
        <v>418</v>
      </c>
      <c r="E49" s="16" t="s">
        <v>418</v>
      </c>
      <c r="F49" s="16" t="s">
        <v>418</v>
      </c>
      <c r="G49" s="17" t="s">
        <v>419</v>
      </c>
      <c r="H49" s="16" t="s">
        <v>419</v>
      </c>
      <c r="I49" s="17" t="s">
        <v>420</v>
      </c>
      <c r="J49" s="17" t="s">
        <v>181</v>
      </c>
      <c r="K49" s="16" t="s">
        <v>181</v>
      </c>
      <c r="L49" s="16" t="s">
        <v>181</v>
      </c>
      <c r="M49" s="17" t="s">
        <v>182</v>
      </c>
      <c r="N49" s="17" t="s">
        <v>421</v>
      </c>
    </row>
    <row r="50">
      <c r="A50" s="33" t="s">
        <v>183</v>
      </c>
      <c r="B50" s="33" t="s">
        <v>184</v>
      </c>
      <c r="C50" s="35" t="s">
        <v>185</v>
      </c>
      <c r="D50" s="52" t="s">
        <v>422</v>
      </c>
      <c r="E50" s="16" t="s">
        <v>422</v>
      </c>
      <c r="F50" s="16" t="s">
        <v>422</v>
      </c>
      <c r="G50" s="17" t="s">
        <v>423</v>
      </c>
      <c r="H50" s="16" t="s">
        <v>423</v>
      </c>
      <c r="I50" s="16" t="s">
        <v>423</v>
      </c>
      <c r="J50" s="17" t="s">
        <v>186</v>
      </c>
      <c r="K50" s="16" t="s">
        <v>186</v>
      </c>
      <c r="L50" s="16" t="s">
        <v>186</v>
      </c>
      <c r="M50" s="16" t="s">
        <v>186</v>
      </c>
      <c r="N50" s="16" t="s">
        <v>186</v>
      </c>
    </row>
    <row r="51">
      <c r="A51" s="33" t="s">
        <v>187</v>
      </c>
      <c r="B51" s="33" t="s">
        <v>188</v>
      </c>
      <c r="C51" s="15" t="str">
        <f>HYPERLINK("https://android-cret.corp.google.com/#fusion:id=com.google.android.contacts","com.google.android.contacts")</f>
        <v>com.google.android.contacts</v>
      </c>
      <c r="D51" s="52" t="s">
        <v>424</v>
      </c>
      <c r="E51" s="16" t="s">
        <v>424</v>
      </c>
      <c r="F51" s="17" t="s">
        <v>425</v>
      </c>
      <c r="G51" s="17" t="s">
        <v>426</v>
      </c>
      <c r="H51" s="17" t="s">
        <v>427</v>
      </c>
      <c r="I51" s="17" t="s">
        <v>428</v>
      </c>
      <c r="J51" s="17" t="s">
        <v>429</v>
      </c>
      <c r="K51" s="16" t="s">
        <v>429</v>
      </c>
      <c r="L51" s="16" t="s">
        <v>429</v>
      </c>
      <c r="M51" s="17" t="s">
        <v>189</v>
      </c>
      <c r="N51" s="17" t="s">
        <v>430</v>
      </c>
    </row>
    <row r="52">
      <c r="A52" s="27" t="s">
        <v>191</v>
      </c>
      <c r="B52" s="28" t="s">
        <v>191</v>
      </c>
      <c r="C52" s="15" t="str">
        <f>HYPERLINK("https://android-cret.corp.google.com/#fusion:id=com.google.android.keep","com.google.android.keep")</f>
        <v>com.google.android.keep</v>
      </c>
      <c r="D52" s="52" t="s">
        <v>431</v>
      </c>
      <c r="E52" s="16" t="s">
        <v>431</v>
      </c>
      <c r="F52" s="16" t="s">
        <v>431</v>
      </c>
      <c r="G52" s="17" t="s">
        <v>432</v>
      </c>
      <c r="H52" s="17" t="s">
        <v>433</v>
      </c>
      <c r="I52" s="17" t="s">
        <v>434</v>
      </c>
      <c r="J52" s="17" t="s">
        <v>435</v>
      </c>
      <c r="K52" s="16" t="s">
        <v>435</v>
      </c>
      <c r="L52" s="16" t="s">
        <v>435</v>
      </c>
      <c r="M52" s="17" t="s">
        <v>436</v>
      </c>
      <c r="N52" s="17" t="s">
        <v>437</v>
      </c>
    </row>
    <row r="53">
      <c r="A53" s="27" t="s">
        <v>194</v>
      </c>
      <c r="B53" s="28" t="s">
        <v>195</v>
      </c>
      <c r="C53" s="15" t="str">
        <f>HYPERLINK("https://android-cret.corp.google.com/#fusion:id=com.google.android.inputmethod.latin","com.google.android.inputmethod.latin")</f>
        <v>com.google.android.inputmethod.latin</v>
      </c>
      <c r="D53" s="52" t="s">
        <v>438</v>
      </c>
      <c r="E53" s="16" t="s">
        <v>438</v>
      </c>
      <c r="F53" s="16" t="s">
        <v>438</v>
      </c>
      <c r="G53" s="17" t="s">
        <v>439</v>
      </c>
      <c r="H53" s="17" t="s">
        <v>440</v>
      </c>
      <c r="I53" s="17" t="s">
        <v>441</v>
      </c>
      <c r="J53" s="17" t="s">
        <v>442</v>
      </c>
      <c r="K53" s="16" t="s">
        <v>442</v>
      </c>
      <c r="L53" s="16" t="s">
        <v>442</v>
      </c>
      <c r="M53" s="17" t="s">
        <v>196</v>
      </c>
      <c r="N53" s="17" t="s">
        <v>443</v>
      </c>
    </row>
    <row r="54">
      <c r="A54" s="27" t="s">
        <v>198</v>
      </c>
      <c r="B54" s="28" t="s">
        <v>199</v>
      </c>
      <c r="C54" s="15" t="str">
        <f>HYPERLINK("https://android-cret.corp.google.com/#fusion:id=com.google.android.marvin.talkback","com.google.android.marvin.talkback")</f>
        <v>com.google.android.marvin.talkback</v>
      </c>
      <c r="D54" s="52" t="s">
        <v>444</v>
      </c>
      <c r="E54" s="16" t="s">
        <v>444</v>
      </c>
      <c r="F54" s="16" t="s">
        <v>444</v>
      </c>
      <c r="G54" s="17" t="s">
        <v>445</v>
      </c>
      <c r="H54" s="17" t="s">
        <v>446</v>
      </c>
      <c r="I54" s="16" t="s">
        <v>446</v>
      </c>
      <c r="J54" s="17" t="s">
        <v>447</v>
      </c>
      <c r="K54" s="16" t="s">
        <v>447</v>
      </c>
      <c r="L54" s="16" t="s">
        <v>447</v>
      </c>
      <c r="M54" s="17" t="s">
        <v>448</v>
      </c>
      <c r="N54" s="17" t="s">
        <v>449</v>
      </c>
    </row>
    <row r="55">
      <c r="A55" s="27" t="s">
        <v>202</v>
      </c>
      <c r="B55" s="28" t="s">
        <v>202</v>
      </c>
      <c r="C55" s="15" t="str">
        <f>HYPERLINK("https://android-cret.corp.google.com/#fusion:id=com.google.android.apps.messaging","com.google.android.apps.messaging")</f>
        <v>com.google.android.apps.messaging</v>
      </c>
      <c r="D55" s="51" t="s">
        <v>450</v>
      </c>
      <c r="E55" s="12" t="s">
        <v>450</v>
      </c>
      <c r="F55" s="12" t="s">
        <v>450</v>
      </c>
      <c r="G55" s="13" t="s">
        <v>451</v>
      </c>
      <c r="H55" s="13" t="s">
        <v>452</v>
      </c>
      <c r="I55" s="13" t="s">
        <v>453</v>
      </c>
      <c r="J55" s="13" t="s">
        <v>454</v>
      </c>
      <c r="K55" s="12" t="s">
        <v>454</v>
      </c>
      <c r="L55" s="12" t="s">
        <v>454</v>
      </c>
      <c r="M55" s="13" t="s">
        <v>203</v>
      </c>
      <c r="N55" s="12" t="s">
        <v>203</v>
      </c>
    </row>
    <row r="56">
      <c r="A56" s="36" t="s">
        <v>205</v>
      </c>
      <c r="B56" s="37" t="s">
        <v>206</v>
      </c>
      <c r="C56" s="37" t="s">
        <v>207</v>
      </c>
      <c r="D56" s="51" t="s">
        <v>169</v>
      </c>
      <c r="E56" s="53" t="s">
        <v>169</v>
      </c>
      <c r="F56" s="12" t="s">
        <v>169</v>
      </c>
      <c r="G56" s="12" t="s">
        <v>169</v>
      </c>
      <c r="H56" s="12" t="s">
        <v>169</v>
      </c>
      <c r="I56" s="12" t="s">
        <v>169</v>
      </c>
      <c r="J56" s="12" t="s">
        <v>169</v>
      </c>
      <c r="K56" s="12" t="s">
        <v>169</v>
      </c>
      <c r="L56" s="12" t="s">
        <v>169</v>
      </c>
      <c r="M56" s="12" t="s">
        <v>169</v>
      </c>
      <c r="N56" s="12" t="s">
        <v>169</v>
      </c>
    </row>
    <row r="57">
      <c r="A57" s="36" t="s">
        <v>208</v>
      </c>
      <c r="B57" s="37" t="s">
        <v>209</v>
      </c>
      <c r="C57" s="37" t="s">
        <v>210</v>
      </c>
      <c r="D57" s="52" t="s">
        <v>211</v>
      </c>
      <c r="E57" s="12" t="s">
        <v>211</v>
      </c>
      <c r="F57" s="12" t="s">
        <v>211</v>
      </c>
      <c r="G57" s="12" t="s">
        <v>211</v>
      </c>
      <c r="H57" s="12" t="s">
        <v>211</v>
      </c>
      <c r="I57" s="12" t="s">
        <v>211</v>
      </c>
      <c r="J57" s="12" t="s">
        <v>211</v>
      </c>
      <c r="K57" s="12" t="s">
        <v>211</v>
      </c>
      <c r="L57" s="12" t="s">
        <v>211</v>
      </c>
      <c r="M57" s="12" t="s">
        <v>211</v>
      </c>
      <c r="N57" s="12" t="s">
        <v>211</v>
      </c>
    </row>
    <row r="58">
      <c r="A58" s="36"/>
      <c r="B58" s="37"/>
      <c r="C58" s="37"/>
      <c r="D58" s="5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212</v>
      </c>
    </row>
    <row r="59">
      <c r="A59" s="48" t="s">
        <v>213</v>
      </c>
      <c r="B59" s="5"/>
      <c r="C59" s="58"/>
      <c r="D59" s="63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>
      <c r="A60" s="40" t="s">
        <v>214</v>
      </c>
      <c r="B60" s="41" t="s">
        <v>215</v>
      </c>
      <c r="C60" s="15" t="str">
        <f>HYPERLINK("https://android-cret.corp.google.com/#fusion:id=com.google.android.apps.assistant","com.google.android.apps.assistant")</f>
        <v>com.google.android.apps.assistant</v>
      </c>
      <c r="D60" s="52" t="s">
        <v>271</v>
      </c>
      <c r="E60" s="16" t="s">
        <v>271</v>
      </c>
      <c r="F60" s="16" t="s">
        <v>271</v>
      </c>
      <c r="G60" s="17" t="s">
        <v>46</v>
      </c>
      <c r="H60" s="16" t="s">
        <v>46</v>
      </c>
      <c r="I60" s="16" t="s">
        <v>46</v>
      </c>
      <c r="J60" s="16" t="s">
        <v>46</v>
      </c>
      <c r="K60" s="16" t="s">
        <v>46</v>
      </c>
      <c r="L60" s="16" t="s">
        <v>46</v>
      </c>
      <c r="M60" s="16" t="s">
        <v>46</v>
      </c>
      <c r="N60" s="17" t="s">
        <v>455</v>
      </c>
    </row>
    <row r="61">
      <c r="A61" s="40" t="s">
        <v>217</v>
      </c>
      <c r="B61" s="41" t="s">
        <v>218</v>
      </c>
      <c r="C61" s="15" t="str">
        <f>HYPERLINK("https://android-cret.corp.google.com/#fusion:id=com.google.android.apps.tachyon","com.google.android.apps.tachyon")</f>
        <v>com.google.android.apps.tachyon</v>
      </c>
      <c r="D61" s="52" t="s">
        <v>356</v>
      </c>
      <c r="E61" s="16" t="s">
        <v>356</v>
      </c>
      <c r="F61" s="16" t="s">
        <v>356</v>
      </c>
      <c r="G61" s="17" t="s">
        <v>357</v>
      </c>
      <c r="H61" s="17" t="s">
        <v>358</v>
      </c>
      <c r="I61" s="17" t="s">
        <v>359</v>
      </c>
      <c r="J61" s="17" t="s">
        <v>360</v>
      </c>
      <c r="K61" s="16" t="s">
        <v>360</v>
      </c>
      <c r="L61" s="16" t="s">
        <v>360</v>
      </c>
      <c r="M61" s="17" t="s">
        <v>361</v>
      </c>
      <c r="N61" s="17" t="s">
        <v>362</v>
      </c>
    </row>
    <row r="62">
      <c r="A62" s="40" t="s">
        <v>219</v>
      </c>
      <c r="B62" s="41" t="s">
        <v>220</v>
      </c>
      <c r="C62" s="15" t="str">
        <f>HYPERLINK("https://android-cret.corp.google.com/#fusion:id=com.google.android.apps.nbu.files","com.google.android.apps.nbu.files")</f>
        <v>com.google.android.apps.nbu.files</v>
      </c>
      <c r="D62" s="51" t="s">
        <v>456</v>
      </c>
      <c r="E62" s="12" t="s">
        <v>456</v>
      </c>
      <c r="F62" s="12" t="s">
        <v>456</v>
      </c>
      <c r="G62" s="13" t="s">
        <v>457</v>
      </c>
      <c r="H62" s="13" t="s">
        <v>458</v>
      </c>
      <c r="I62" s="12" t="s">
        <v>458</v>
      </c>
      <c r="J62" s="13" t="s">
        <v>459</v>
      </c>
      <c r="K62" s="12" t="s">
        <v>459</v>
      </c>
      <c r="L62" s="12" t="s">
        <v>459</v>
      </c>
      <c r="M62" s="13" t="s">
        <v>460</v>
      </c>
      <c r="N62" s="13" t="s">
        <v>461</v>
      </c>
    </row>
    <row r="63">
      <c r="A63" s="40" t="s">
        <v>223</v>
      </c>
      <c r="B63" s="41" t="s">
        <v>224</v>
      </c>
      <c r="C63" s="15" t="str">
        <f>HYPERLINK("https://android-cret.corp.google.com/#fusion:id=com.google.android.apps.photosgo","com.google.android.apps.photosgo")</f>
        <v>com.google.android.apps.photosgo</v>
      </c>
      <c r="D63" s="51" t="s">
        <v>225</v>
      </c>
      <c r="E63" s="12" t="s">
        <v>225</v>
      </c>
      <c r="F63" s="12" t="s">
        <v>225</v>
      </c>
      <c r="G63" s="12" t="s">
        <v>225</v>
      </c>
      <c r="H63" s="12" t="s">
        <v>225</v>
      </c>
      <c r="I63" s="12" t="s">
        <v>225</v>
      </c>
      <c r="J63" s="12" t="s">
        <v>225</v>
      </c>
      <c r="K63" s="12" t="s">
        <v>225</v>
      </c>
      <c r="L63" s="12" t="s">
        <v>225</v>
      </c>
      <c r="M63" s="12" t="s">
        <v>225</v>
      </c>
      <c r="N63" s="13" t="s">
        <v>462</v>
      </c>
    </row>
    <row r="64">
      <c r="A64" s="40" t="s">
        <v>226</v>
      </c>
      <c r="B64" s="41" t="s">
        <v>227</v>
      </c>
      <c r="C64" s="15" t="str">
        <f>HYPERLINK("https://android-cret.corp.google.com/#fusion:id=com.google.android.gms","com.google.android.gms")</f>
        <v>com.google.android.gms</v>
      </c>
      <c r="D64" s="52" t="s">
        <v>463</v>
      </c>
      <c r="E64" s="17" t="s">
        <v>464</v>
      </c>
      <c r="F64" s="17" t="s">
        <v>465</v>
      </c>
      <c r="G64" s="17" t="s">
        <v>466</v>
      </c>
      <c r="H64" s="17" t="s">
        <v>467</v>
      </c>
      <c r="I64" s="17" t="s">
        <v>468</v>
      </c>
      <c r="J64" s="17" t="s">
        <v>469</v>
      </c>
      <c r="K64" s="16" t="s">
        <v>469</v>
      </c>
      <c r="L64" s="16" t="s">
        <v>469</v>
      </c>
      <c r="M64" s="17" t="s">
        <v>470</v>
      </c>
      <c r="N64" s="17" t="s">
        <v>471</v>
      </c>
    </row>
    <row r="65">
      <c r="A65" s="40" t="s">
        <v>229</v>
      </c>
      <c r="B65" s="41" t="s">
        <v>230</v>
      </c>
      <c r="C65" s="15" t="str">
        <f>HYPERLINK("https://android-cret.corp.google.com/#fusion:id=com.google.android.apps.searchlite","com.google.android.apps.searchlite")</f>
        <v>com.google.android.apps.searchlite</v>
      </c>
      <c r="D65" s="52" t="s">
        <v>472</v>
      </c>
      <c r="E65" s="16" t="s">
        <v>472</v>
      </c>
      <c r="F65" s="16" t="s">
        <v>472</v>
      </c>
      <c r="G65" s="17" t="s">
        <v>473</v>
      </c>
      <c r="H65" s="16" t="s">
        <v>473</v>
      </c>
      <c r="I65" s="17" t="s">
        <v>474</v>
      </c>
      <c r="J65" s="16" t="s">
        <v>474</v>
      </c>
      <c r="K65" s="16" t="s">
        <v>474</v>
      </c>
      <c r="L65" s="16" t="s">
        <v>474</v>
      </c>
      <c r="M65" s="17" t="s">
        <v>475</v>
      </c>
      <c r="N65" s="17" t="s">
        <v>476</v>
      </c>
    </row>
    <row r="66">
      <c r="A66" s="40" t="s">
        <v>233</v>
      </c>
      <c r="B66" s="41" t="s">
        <v>234</v>
      </c>
      <c r="C66" s="15" t="str">
        <f>HYPERLINK("https://android-cret.corp.google.com/#fusion:id=com.google.android.inputmethod.latin","com.google.android.inputmethod.latin")</f>
        <v>com.google.android.inputmethod.latin</v>
      </c>
      <c r="D66" s="52" t="s">
        <v>438</v>
      </c>
      <c r="E66" s="16" t="s">
        <v>438</v>
      </c>
      <c r="F66" s="16" t="s">
        <v>438</v>
      </c>
      <c r="G66" s="17" t="s">
        <v>439</v>
      </c>
      <c r="H66" s="17" t="s">
        <v>440</v>
      </c>
      <c r="I66" s="17" t="s">
        <v>441</v>
      </c>
      <c r="J66" s="17" t="s">
        <v>442</v>
      </c>
      <c r="K66" s="16" t="s">
        <v>442</v>
      </c>
      <c r="L66" s="16" t="s">
        <v>442</v>
      </c>
      <c r="M66" s="17" t="s">
        <v>196</v>
      </c>
      <c r="N66" s="17" t="s">
        <v>443</v>
      </c>
    </row>
    <row r="67">
      <c r="A67" s="40" t="s">
        <v>235</v>
      </c>
      <c r="B67" s="41" t="s">
        <v>236</v>
      </c>
      <c r="C67" s="15" t="str">
        <f>HYPERLINK("https://android-cret.corp.google.com/#fusion:id=com.google.android.apps.messaging","com.google.android.apps.messaging")</f>
        <v>com.google.android.apps.messaging</v>
      </c>
      <c r="D67" s="52" t="s">
        <v>450</v>
      </c>
      <c r="E67" s="16" t="s">
        <v>450</v>
      </c>
      <c r="F67" s="16" t="s">
        <v>450</v>
      </c>
      <c r="G67" s="17" t="s">
        <v>451</v>
      </c>
      <c r="H67" s="17" t="s">
        <v>452</v>
      </c>
      <c r="I67" s="17" t="s">
        <v>453</v>
      </c>
      <c r="J67" s="17" t="s">
        <v>454</v>
      </c>
      <c r="K67" s="16" t="s">
        <v>454</v>
      </c>
      <c r="L67" s="16" t="s">
        <v>454</v>
      </c>
      <c r="M67" s="17" t="s">
        <v>203</v>
      </c>
      <c r="N67" s="17" t="s">
        <v>477</v>
      </c>
    </row>
    <row r="68">
      <c r="D68" s="64"/>
      <c r="E68" s="43"/>
      <c r="F68" s="43"/>
      <c r="G68" s="43"/>
      <c r="H68" s="43"/>
      <c r="I68" s="43"/>
      <c r="J68" s="43"/>
      <c r="K68" s="43"/>
      <c r="L68" s="43"/>
      <c r="M68" s="43"/>
      <c r="N68" s="43"/>
    </row>
    <row r="69">
      <c r="D69" s="65"/>
      <c r="E69" s="42"/>
      <c r="F69" s="42"/>
      <c r="G69" s="42"/>
      <c r="H69" s="42"/>
      <c r="I69" s="42"/>
      <c r="J69" s="42"/>
      <c r="K69" s="42"/>
      <c r="L69" s="42"/>
      <c r="M69" s="42"/>
      <c r="N69" s="42"/>
    </row>
    <row r="70">
      <c r="D70" s="64"/>
      <c r="E70" s="43"/>
      <c r="F70" s="43"/>
      <c r="G70" s="43"/>
      <c r="H70" s="43"/>
      <c r="I70" s="43"/>
      <c r="J70" s="43"/>
      <c r="K70" s="43"/>
      <c r="L70" s="43"/>
      <c r="M70" s="43"/>
      <c r="N70" s="43"/>
    </row>
    <row r="71">
      <c r="D71" s="64"/>
      <c r="E71" s="43"/>
      <c r="F71" s="43"/>
      <c r="G71" s="43"/>
      <c r="H71" s="43"/>
      <c r="I71" s="43"/>
      <c r="J71" s="43"/>
      <c r="K71" s="43"/>
      <c r="L71" s="43"/>
      <c r="M71" s="43"/>
      <c r="N71" s="43"/>
    </row>
    <row r="72">
      <c r="D72" s="64"/>
      <c r="E72" s="43"/>
      <c r="F72" s="43"/>
      <c r="G72" s="43"/>
      <c r="H72" s="43"/>
      <c r="I72" s="43"/>
      <c r="J72" s="43"/>
      <c r="K72" s="43"/>
      <c r="L72" s="43"/>
      <c r="M72" s="43"/>
      <c r="N72" s="43"/>
    </row>
    <row r="73">
      <c r="D73" s="64"/>
      <c r="E73" s="43"/>
      <c r="F73" s="43"/>
      <c r="G73" s="43"/>
      <c r="H73" s="43"/>
      <c r="I73" s="43"/>
      <c r="J73" s="43"/>
      <c r="K73" s="43"/>
      <c r="L73" s="43"/>
      <c r="M73" s="43"/>
      <c r="N73" s="43"/>
    </row>
    <row r="74">
      <c r="D74" s="64"/>
      <c r="E74" s="43"/>
      <c r="F74" s="43"/>
      <c r="G74" s="43"/>
      <c r="H74" s="43"/>
      <c r="I74" s="43"/>
      <c r="J74" s="43"/>
      <c r="K74" s="43"/>
      <c r="L74" s="43"/>
      <c r="M74" s="43"/>
      <c r="N74" s="43"/>
    </row>
    <row r="75">
      <c r="D75" s="64"/>
      <c r="E75" s="43"/>
      <c r="F75" s="43"/>
      <c r="G75" s="43"/>
      <c r="H75" s="43"/>
      <c r="I75" s="43"/>
      <c r="J75" s="43"/>
      <c r="K75" s="43"/>
      <c r="L75" s="43"/>
      <c r="M75" s="43"/>
      <c r="N75" s="43"/>
    </row>
    <row r="76">
      <c r="D76" s="64"/>
      <c r="E76" s="43"/>
      <c r="F76" s="43"/>
      <c r="G76" s="43"/>
      <c r="H76" s="43"/>
      <c r="I76" s="43"/>
      <c r="J76" s="43"/>
      <c r="K76" s="43"/>
      <c r="L76" s="43"/>
      <c r="M76" s="43"/>
      <c r="N76" s="43"/>
    </row>
    <row r="77">
      <c r="D77" s="64"/>
      <c r="E77" s="43"/>
      <c r="F77" s="43"/>
      <c r="G77" s="43"/>
      <c r="H77" s="43"/>
      <c r="I77" s="43"/>
      <c r="J77" s="43"/>
      <c r="K77" s="43"/>
      <c r="L77" s="43"/>
      <c r="M77" s="43"/>
      <c r="N77" s="43"/>
    </row>
    <row r="78">
      <c r="D78" s="64"/>
      <c r="E78" s="43"/>
      <c r="F78" s="43"/>
      <c r="G78" s="43"/>
      <c r="H78" s="43"/>
      <c r="I78" s="43"/>
      <c r="J78" s="43"/>
      <c r="K78" s="43"/>
      <c r="L78" s="43"/>
      <c r="M78" s="43"/>
      <c r="N78" s="43"/>
    </row>
    <row r="79">
      <c r="D79" s="64"/>
      <c r="E79" s="43"/>
      <c r="F79" s="43"/>
      <c r="G79" s="43"/>
      <c r="H79" s="43"/>
      <c r="I79" s="43"/>
      <c r="J79" s="43"/>
      <c r="K79" s="43"/>
      <c r="L79" s="43"/>
      <c r="M79" s="43"/>
      <c r="N79" s="43"/>
    </row>
    <row r="80">
      <c r="D80" s="64"/>
      <c r="E80" s="43"/>
      <c r="F80" s="43"/>
      <c r="G80" s="43"/>
      <c r="H80" s="43"/>
      <c r="I80" s="43"/>
      <c r="J80" s="43"/>
      <c r="K80" s="43"/>
      <c r="L80" s="43"/>
      <c r="M80" s="43"/>
      <c r="N80" s="43"/>
    </row>
    <row r="81">
      <c r="D81" s="64"/>
      <c r="E81" s="43"/>
      <c r="F81" s="43"/>
      <c r="G81" s="43"/>
      <c r="H81" s="43"/>
      <c r="I81" s="43"/>
      <c r="J81" s="43"/>
      <c r="K81" s="43"/>
      <c r="L81" s="43"/>
      <c r="M81" s="43"/>
      <c r="N81" s="43"/>
    </row>
    <row r="82">
      <c r="D82" s="64"/>
      <c r="E82" s="43"/>
      <c r="F82" s="43"/>
      <c r="G82" s="43"/>
      <c r="H82" s="43"/>
      <c r="I82" s="43"/>
      <c r="J82" s="43"/>
      <c r="K82" s="43"/>
      <c r="L82" s="43"/>
      <c r="M82" s="43"/>
      <c r="N82" s="43"/>
    </row>
    <row r="83">
      <c r="D83" s="64"/>
      <c r="E83" s="43"/>
      <c r="F83" s="43"/>
      <c r="G83" s="43"/>
      <c r="H83" s="43"/>
      <c r="I83" s="43"/>
      <c r="J83" s="43"/>
      <c r="K83" s="43"/>
      <c r="L83" s="43"/>
      <c r="M83" s="43"/>
      <c r="N83" s="43"/>
    </row>
    <row r="84">
      <c r="D84" s="64"/>
      <c r="E84" s="43"/>
      <c r="F84" s="43"/>
      <c r="G84" s="43"/>
      <c r="H84" s="43"/>
      <c r="I84" s="43"/>
      <c r="J84" s="43"/>
      <c r="K84" s="43"/>
      <c r="L84" s="43"/>
      <c r="M84" s="43"/>
      <c r="N84" s="43"/>
    </row>
    <row r="85">
      <c r="D85" s="64"/>
      <c r="E85" s="43"/>
      <c r="F85" s="43"/>
      <c r="G85" s="43"/>
      <c r="H85" s="43"/>
      <c r="I85" s="43"/>
      <c r="J85" s="43"/>
      <c r="K85" s="43"/>
      <c r="L85" s="43"/>
      <c r="M85" s="43"/>
      <c r="N85" s="43"/>
    </row>
    <row r="86">
      <c r="D86" s="64"/>
      <c r="E86" s="43"/>
      <c r="F86" s="43"/>
      <c r="G86" s="43"/>
      <c r="H86" s="43"/>
      <c r="I86" s="43"/>
      <c r="J86" s="43"/>
      <c r="K86" s="43"/>
      <c r="L86" s="43"/>
      <c r="M86" s="43"/>
      <c r="N86" s="43"/>
    </row>
    <row r="87">
      <c r="D87" s="64"/>
      <c r="E87" s="43"/>
      <c r="F87" s="43"/>
      <c r="G87" s="43"/>
      <c r="H87" s="43"/>
      <c r="I87" s="43"/>
      <c r="J87" s="43"/>
      <c r="K87" s="43"/>
      <c r="L87" s="43"/>
      <c r="M87" s="43"/>
      <c r="N87" s="43"/>
    </row>
    <row r="88">
      <c r="D88" s="64"/>
      <c r="E88" s="43"/>
      <c r="F88" s="43"/>
      <c r="G88" s="43"/>
      <c r="H88" s="43"/>
      <c r="I88" s="43"/>
      <c r="J88" s="43"/>
      <c r="K88" s="43"/>
      <c r="L88" s="43"/>
      <c r="M88" s="43"/>
      <c r="N88" s="43"/>
    </row>
    <row r="89">
      <c r="D89" s="64"/>
      <c r="E89" s="43"/>
      <c r="F89" s="43"/>
      <c r="G89" s="43"/>
      <c r="H89" s="43"/>
      <c r="I89" s="43"/>
      <c r="J89" s="43"/>
      <c r="K89" s="43"/>
      <c r="L89" s="43"/>
      <c r="M89" s="43"/>
      <c r="N89" s="43"/>
    </row>
    <row r="90">
      <c r="D90" s="64"/>
      <c r="E90" s="43"/>
      <c r="F90" s="43"/>
      <c r="G90" s="43"/>
      <c r="H90" s="43"/>
      <c r="I90" s="43"/>
      <c r="J90" s="43"/>
      <c r="K90" s="43"/>
      <c r="L90" s="43"/>
      <c r="M90" s="43"/>
      <c r="N90" s="43"/>
    </row>
    <row r="91">
      <c r="D91" s="64"/>
      <c r="E91" s="43"/>
      <c r="F91" s="43"/>
      <c r="G91" s="43"/>
      <c r="H91" s="43"/>
      <c r="I91" s="43"/>
      <c r="J91" s="43"/>
      <c r="K91" s="43"/>
      <c r="L91" s="43"/>
      <c r="M91" s="43"/>
      <c r="N91" s="43"/>
    </row>
    <row r="92">
      <c r="D92" s="64"/>
      <c r="E92" s="43"/>
      <c r="F92" s="43"/>
      <c r="G92" s="43"/>
      <c r="H92" s="43"/>
      <c r="I92" s="43"/>
      <c r="J92" s="43"/>
      <c r="K92" s="43"/>
      <c r="L92" s="43"/>
      <c r="M92" s="43"/>
      <c r="N92" s="43"/>
    </row>
    <row r="93">
      <c r="D93" s="64"/>
      <c r="E93" s="43"/>
      <c r="F93" s="43"/>
      <c r="G93" s="43"/>
      <c r="H93" s="43"/>
      <c r="I93" s="43"/>
      <c r="J93" s="43"/>
      <c r="K93" s="43"/>
      <c r="L93" s="43"/>
      <c r="M93" s="43"/>
      <c r="N93" s="43"/>
    </row>
    <row r="94">
      <c r="D94" s="64"/>
      <c r="E94" s="43"/>
      <c r="F94" s="43"/>
      <c r="G94" s="43"/>
      <c r="H94" s="43"/>
      <c r="I94" s="43"/>
      <c r="J94" s="43"/>
      <c r="K94" s="43"/>
      <c r="L94" s="43"/>
      <c r="M94" s="43"/>
      <c r="N94" s="43"/>
    </row>
    <row r="95">
      <c r="D95" s="64"/>
      <c r="E95" s="43"/>
      <c r="F95" s="43"/>
      <c r="G95" s="43"/>
      <c r="H95" s="43"/>
      <c r="I95" s="43"/>
      <c r="J95" s="43"/>
      <c r="K95" s="43"/>
      <c r="L95" s="43"/>
      <c r="M95" s="43"/>
      <c r="N95" s="43"/>
    </row>
    <row r="96">
      <c r="D96" s="64"/>
      <c r="E96" s="43"/>
      <c r="F96" s="43"/>
      <c r="G96" s="43"/>
      <c r="H96" s="43"/>
      <c r="I96" s="43"/>
      <c r="J96" s="43"/>
      <c r="K96" s="43"/>
      <c r="L96" s="43"/>
      <c r="M96" s="43"/>
      <c r="N96" s="43"/>
    </row>
    <row r="97">
      <c r="D97" s="64"/>
      <c r="E97" s="43"/>
      <c r="F97" s="43"/>
      <c r="G97" s="43"/>
      <c r="H97" s="43"/>
      <c r="I97" s="43"/>
      <c r="J97" s="43"/>
      <c r="K97" s="43"/>
      <c r="L97" s="43"/>
      <c r="M97" s="43"/>
      <c r="N97" s="43"/>
    </row>
    <row r="98">
      <c r="D98" s="64"/>
      <c r="E98" s="43"/>
      <c r="F98" s="43"/>
      <c r="G98" s="43"/>
      <c r="H98" s="43"/>
      <c r="I98" s="43"/>
      <c r="J98" s="43"/>
      <c r="K98" s="43"/>
      <c r="L98" s="43"/>
      <c r="M98" s="43"/>
      <c r="N98" s="43"/>
    </row>
    <row r="99">
      <c r="D99" s="64"/>
      <c r="E99" s="43"/>
      <c r="F99" s="43"/>
      <c r="G99" s="43"/>
      <c r="H99" s="43"/>
      <c r="I99" s="43"/>
      <c r="J99" s="43"/>
      <c r="K99" s="43"/>
      <c r="L99" s="43"/>
      <c r="M99" s="43"/>
      <c r="N99" s="43"/>
    </row>
    <row r="100">
      <c r="D100" s="64"/>
      <c r="E100" s="43"/>
      <c r="F100" s="43"/>
      <c r="G100" s="43"/>
      <c r="H100" s="43"/>
      <c r="I100" s="43"/>
      <c r="J100" s="43"/>
      <c r="K100" s="43"/>
      <c r="L100" s="43"/>
      <c r="M100" s="43"/>
      <c r="N100" s="43"/>
    </row>
    <row r="101">
      <c r="D101" s="64"/>
      <c r="E101" s="43"/>
      <c r="F101" s="43"/>
      <c r="G101" s="43"/>
      <c r="H101" s="43"/>
      <c r="I101" s="43"/>
      <c r="J101" s="43"/>
      <c r="K101" s="43"/>
      <c r="L101" s="43"/>
      <c r="M101" s="43"/>
      <c r="N101" s="43"/>
    </row>
    <row r="102">
      <c r="D102" s="64"/>
      <c r="E102" s="43"/>
      <c r="F102" s="43"/>
      <c r="G102" s="43"/>
      <c r="H102" s="43"/>
      <c r="I102" s="43"/>
      <c r="J102" s="43"/>
      <c r="K102" s="43"/>
      <c r="L102" s="43"/>
      <c r="M102" s="43"/>
      <c r="N102" s="43"/>
    </row>
    <row r="103">
      <c r="D103" s="64"/>
      <c r="E103" s="43"/>
      <c r="F103" s="43"/>
      <c r="G103" s="43"/>
      <c r="H103" s="43"/>
      <c r="I103" s="43"/>
      <c r="J103" s="43"/>
      <c r="K103" s="43"/>
      <c r="L103" s="43"/>
      <c r="M103" s="43"/>
      <c r="N103" s="43"/>
    </row>
    <row r="104">
      <c r="D104" s="64"/>
      <c r="E104" s="43"/>
      <c r="F104" s="43"/>
      <c r="G104" s="43"/>
      <c r="H104" s="43"/>
      <c r="I104" s="43"/>
      <c r="J104" s="43"/>
      <c r="K104" s="43"/>
      <c r="L104" s="43"/>
      <c r="M104" s="43"/>
      <c r="N104" s="43"/>
    </row>
    <row r="105">
      <c r="D105" s="64"/>
      <c r="E105" s="43"/>
      <c r="F105" s="43"/>
      <c r="G105" s="43"/>
      <c r="H105" s="43"/>
      <c r="I105" s="43"/>
      <c r="J105" s="43"/>
      <c r="K105" s="43"/>
      <c r="L105" s="43"/>
      <c r="M105" s="43"/>
      <c r="N105" s="43"/>
    </row>
    <row r="106">
      <c r="D106" s="64"/>
      <c r="E106" s="43"/>
      <c r="F106" s="43"/>
      <c r="G106" s="43"/>
      <c r="H106" s="43"/>
      <c r="I106" s="43"/>
      <c r="J106" s="43"/>
      <c r="K106" s="43"/>
      <c r="L106" s="43"/>
      <c r="M106" s="43"/>
      <c r="N106" s="43"/>
    </row>
    <row r="107">
      <c r="D107" s="64"/>
      <c r="E107" s="43"/>
      <c r="F107" s="43"/>
      <c r="G107" s="43"/>
      <c r="H107" s="43"/>
      <c r="I107" s="43"/>
      <c r="J107" s="43"/>
      <c r="K107" s="43"/>
      <c r="L107" s="43"/>
      <c r="M107" s="43"/>
      <c r="N107" s="43"/>
    </row>
    <row r="108">
      <c r="D108" s="64"/>
      <c r="E108" s="43"/>
      <c r="F108" s="43"/>
      <c r="G108" s="43"/>
      <c r="H108" s="43"/>
      <c r="I108" s="43"/>
      <c r="J108" s="43"/>
      <c r="K108" s="43"/>
      <c r="L108" s="43"/>
      <c r="M108" s="43"/>
      <c r="N108" s="43"/>
    </row>
    <row r="109">
      <c r="D109" s="64"/>
      <c r="E109" s="43"/>
      <c r="F109" s="43"/>
      <c r="G109" s="43"/>
      <c r="H109" s="43"/>
      <c r="I109" s="43"/>
      <c r="J109" s="43"/>
      <c r="K109" s="43"/>
      <c r="L109" s="43"/>
      <c r="M109" s="43"/>
      <c r="N109" s="43"/>
    </row>
    <row r="110">
      <c r="D110" s="64"/>
      <c r="E110" s="43"/>
      <c r="F110" s="43"/>
      <c r="G110" s="43"/>
      <c r="H110" s="43"/>
      <c r="I110" s="43"/>
      <c r="J110" s="43"/>
      <c r="K110" s="43"/>
      <c r="L110" s="43"/>
      <c r="M110" s="43"/>
      <c r="N110" s="43"/>
    </row>
    <row r="111">
      <c r="D111" s="64"/>
      <c r="E111" s="43"/>
      <c r="F111" s="43"/>
      <c r="G111" s="43"/>
      <c r="H111" s="43"/>
      <c r="I111" s="43"/>
      <c r="J111" s="43"/>
      <c r="K111" s="43"/>
      <c r="L111" s="43"/>
      <c r="M111" s="43"/>
      <c r="N111" s="43"/>
    </row>
    <row r="112">
      <c r="D112" s="64"/>
      <c r="E112" s="43"/>
      <c r="F112" s="43"/>
      <c r="G112" s="43"/>
      <c r="H112" s="43"/>
      <c r="I112" s="43"/>
      <c r="J112" s="43"/>
      <c r="K112" s="43"/>
      <c r="L112" s="43"/>
      <c r="M112" s="43"/>
      <c r="N112" s="43"/>
    </row>
    <row r="113">
      <c r="D113" s="64"/>
      <c r="E113" s="43"/>
      <c r="F113" s="43"/>
      <c r="G113" s="43"/>
      <c r="H113" s="43"/>
      <c r="I113" s="43"/>
      <c r="J113" s="43"/>
      <c r="K113" s="43"/>
      <c r="L113" s="43"/>
      <c r="M113" s="43"/>
      <c r="N113" s="43"/>
    </row>
    <row r="114">
      <c r="D114" s="64"/>
      <c r="E114" s="43"/>
      <c r="F114" s="43"/>
      <c r="G114" s="43"/>
      <c r="H114" s="43"/>
      <c r="I114" s="43"/>
      <c r="J114" s="43"/>
      <c r="K114" s="43"/>
      <c r="L114" s="43"/>
      <c r="M114" s="43"/>
      <c r="N114" s="43"/>
    </row>
    <row r="115">
      <c r="D115" s="64"/>
      <c r="E115" s="43"/>
      <c r="F115" s="43"/>
      <c r="G115" s="43"/>
      <c r="H115" s="43"/>
      <c r="I115" s="43"/>
      <c r="J115" s="43"/>
      <c r="K115" s="43"/>
      <c r="L115" s="43"/>
      <c r="M115" s="43"/>
      <c r="N115" s="43"/>
    </row>
    <row r="116">
      <c r="D116" s="64"/>
      <c r="E116" s="43"/>
      <c r="F116" s="43"/>
      <c r="G116" s="43"/>
      <c r="H116" s="43"/>
      <c r="I116" s="43"/>
      <c r="J116" s="43"/>
      <c r="K116" s="43"/>
      <c r="L116" s="43"/>
      <c r="M116" s="43"/>
      <c r="N116" s="43"/>
    </row>
    <row r="117">
      <c r="D117" s="64"/>
      <c r="E117" s="43"/>
      <c r="F117" s="43"/>
      <c r="G117" s="43"/>
      <c r="H117" s="43"/>
      <c r="I117" s="43"/>
      <c r="J117" s="43"/>
      <c r="K117" s="43"/>
      <c r="L117" s="43"/>
      <c r="M117" s="43"/>
      <c r="N117" s="43"/>
    </row>
    <row r="118">
      <c r="D118" s="64"/>
      <c r="E118" s="43"/>
      <c r="F118" s="43"/>
      <c r="G118" s="43"/>
      <c r="H118" s="43"/>
      <c r="I118" s="43"/>
      <c r="J118" s="43"/>
      <c r="K118" s="43"/>
      <c r="L118" s="43"/>
      <c r="M118" s="43"/>
      <c r="N118" s="43"/>
    </row>
    <row r="119">
      <c r="D119" s="64"/>
      <c r="E119" s="43"/>
      <c r="F119" s="43"/>
      <c r="G119" s="43"/>
      <c r="H119" s="43"/>
      <c r="I119" s="43"/>
      <c r="J119" s="43"/>
      <c r="K119" s="43"/>
      <c r="L119" s="43"/>
      <c r="M119" s="43"/>
      <c r="N119" s="43"/>
    </row>
    <row r="120">
      <c r="D120" s="64"/>
      <c r="E120" s="43"/>
      <c r="F120" s="43"/>
      <c r="G120" s="43"/>
      <c r="H120" s="43"/>
      <c r="I120" s="43"/>
      <c r="J120" s="43"/>
      <c r="K120" s="43"/>
      <c r="L120" s="43"/>
      <c r="M120" s="43"/>
      <c r="N120" s="43"/>
    </row>
    <row r="121">
      <c r="D121" s="64"/>
      <c r="E121" s="43"/>
      <c r="F121" s="43"/>
      <c r="G121" s="43"/>
      <c r="H121" s="43"/>
      <c r="I121" s="43"/>
      <c r="J121" s="43"/>
      <c r="K121" s="43"/>
      <c r="L121" s="43"/>
      <c r="M121" s="43"/>
      <c r="N121" s="43"/>
    </row>
    <row r="122">
      <c r="D122" s="64"/>
      <c r="E122" s="43"/>
      <c r="F122" s="43"/>
      <c r="G122" s="43"/>
      <c r="H122" s="43"/>
      <c r="I122" s="43"/>
      <c r="J122" s="43"/>
      <c r="K122" s="43"/>
      <c r="L122" s="43"/>
      <c r="M122" s="43"/>
      <c r="N122" s="43"/>
    </row>
    <row r="123">
      <c r="D123" s="64"/>
      <c r="E123" s="43"/>
      <c r="F123" s="43"/>
      <c r="G123" s="43"/>
      <c r="H123" s="43"/>
      <c r="I123" s="43"/>
      <c r="J123" s="43"/>
      <c r="K123" s="43"/>
      <c r="L123" s="43"/>
      <c r="M123" s="43"/>
      <c r="N123" s="43"/>
    </row>
    <row r="124">
      <c r="D124" s="64"/>
      <c r="E124" s="43"/>
      <c r="F124" s="43"/>
      <c r="G124" s="43"/>
      <c r="H124" s="43"/>
      <c r="I124" s="43"/>
      <c r="J124" s="43"/>
      <c r="K124" s="43"/>
      <c r="L124" s="43"/>
      <c r="M124" s="43"/>
      <c r="N124" s="43"/>
    </row>
    <row r="125">
      <c r="D125" s="64"/>
      <c r="E125" s="43"/>
      <c r="F125" s="43"/>
      <c r="G125" s="43"/>
      <c r="H125" s="43"/>
      <c r="I125" s="43"/>
      <c r="J125" s="43"/>
      <c r="K125" s="43"/>
      <c r="L125" s="43"/>
      <c r="M125" s="43"/>
      <c r="N125" s="43"/>
    </row>
    <row r="126">
      <c r="D126" s="64"/>
      <c r="E126" s="43"/>
      <c r="F126" s="43"/>
      <c r="G126" s="43"/>
      <c r="H126" s="43"/>
      <c r="I126" s="43"/>
      <c r="J126" s="43"/>
      <c r="K126" s="43"/>
      <c r="L126" s="43"/>
      <c r="M126" s="43"/>
      <c r="N126" s="43"/>
    </row>
    <row r="127">
      <c r="D127" s="64"/>
      <c r="E127" s="43"/>
      <c r="F127" s="43"/>
      <c r="G127" s="43"/>
      <c r="H127" s="43"/>
      <c r="I127" s="43"/>
      <c r="J127" s="43"/>
      <c r="K127" s="43"/>
      <c r="L127" s="43"/>
      <c r="M127" s="43"/>
      <c r="N127" s="43"/>
    </row>
    <row r="128">
      <c r="D128" s="64"/>
      <c r="E128" s="43"/>
      <c r="F128" s="43"/>
      <c r="G128" s="43"/>
      <c r="H128" s="43"/>
      <c r="I128" s="43"/>
      <c r="J128" s="43"/>
      <c r="K128" s="43"/>
      <c r="L128" s="43"/>
      <c r="M128" s="43"/>
      <c r="N128" s="43"/>
    </row>
    <row r="129">
      <c r="D129" s="64"/>
      <c r="E129" s="43"/>
      <c r="F129" s="43"/>
      <c r="G129" s="43"/>
      <c r="H129" s="43"/>
      <c r="I129" s="43"/>
      <c r="J129" s="43"/>
      <c r="K129" s="43"/>
      <c r="L129" s="43"/>
      <c r="M129" s="43"/>
      <c r="N129" s="43"/>
    </row>
    <row r="130">
      <c r="D130" s="64"/>
      <c r="E130" s="43"/>
      <c r="F130" s="43"/>
      <c r="G130" s="43"/>
      <c r="H130" s="43"/>
      <c r="I130" s="43"/>
      <c r="J130" s="43"/>
      <c r="K130" s="43"/>
      <c r="L130" s="43"/>
      <c r="M130" s="43"/>
      <c r="N130" s="43"/>
    </row>
    <row r="131">
      <c r="D131" s="64"/>
      <c r="E131" s="43"/>
      <c r="F131" s="43"/>
      <c r="G131" s="43"/>
      <c r="H131" s="43"/>
      <c r="I131" s="43"/>
      <c r="J131" s="43"/>
      <c r="K131" s="43"/>
      <c r="L131" s="43"/>
      <c r="M131" s="43"/>
      <c r="N131" s="43"/>
    </row>
    <row r="132">
      <c r="D132" s="64"/>
      <c r="E132" s="43"/>
      <c r="F132" s="43"/>
      <c r="G132" s="43"/>
      <c r="H132" s="43"/>
      <c r="I132" s="43"/>
      <c r="J132" s="43"/>
      <c r="K132" s="43"/>
      <c r="L132" s="43"/>
      <c r="M132" s="43"/>
      <c r="N132" s="43"/>
    </row>
    <row r="133">
      <c r="D133" s="64"/>
      <c r="E133" s="43"/>
      <c r="F133" s="43"/>
      <c r="G133" s="43"/>
      <c r="H133" s="43"/>
      <c r="I133" s="43"/>
      <c r="J133" s="43"/>
      <c r="K133" s="43"/>
      <c r="L133" s="43"/>
      <c r="M133" s="43"/>
      <c r="N133" s="43"/>
    </row>
    <row r="134">
      <c r="D134" s="64"/>
      <c r="E134" s="43"/>
      <c r="F134" s="43"/>
      <c r="G134" s="43"/>
      <c r="H134" s="43"/>
      <c r="I134" s="43"/>
      <c r="J134" s="43"/>
      <c r="K134" s="43"/>
      <c r="L134" s="43"/>
      <c r="M134" s="43"/>
      <c r="N134" s="43"/>
    </row>
    <row r="135">
      <c r="D135" s="64"/>
      <c r="E135" s="43"/>
      <c r="F135" s="43"/>
      <c r="G135" s="43"/>
      <c r="H135" s="43"/>
      <c r="I135" s="43"/>
      <c r="J135" s="43"/>
      <c r="K135" s="43"/>
      <c r="L135" s="43"/>
      <c r="M135" s="43"/>
      <c r="N135" s="43"/>
    </row>
    <row r="136">
      <c r="D136" s="64"/>
      <c r="E136" s="43"/>
      <c r="F136" s="43"/>
      <c r="G136" s="43"/>
      <c r="H136" s="43"/>
      <c r="I136" s="43"/>
      <c r="J136" s="43"/>
      <c r="K136" s="43"/>
      <c r="L136" s="43"/>
      <c r="M136" s="43"/>
      <c r="N136" s="43"/>
    </row>
    <row r="137">
      <c r="D137" s="64"/>
      <c r="E137" s="43"/>
      <c r="F137" s="43"/>
      <c r="G137" s="43"/>
      <c r="H137" s="43"/>
      <c r="I137" s="43"/>
      <c r="J137" s="43"/>
      <c r="K137" s="43"/>
      <c r="L137" s="43"/>
      <c r="M137" s="43"/>
      <c r="N137" s="43"/>
    </row>
    <row r="138">
      <c r="D138" s="64"/>
      <c r="E138" s="43"/>
      <c r="F138" s="43"/>
      <c r="G138" s="43"/>
      <c r="H138" s="43"/>
      <c r="I138" s="43"/>
      <c r="J138" s="43"/>
      <c r="K138" s="43"/>
      <c r="L138" s="43"/>
      <c r="M138" s="43"/>
      <c r="N138" s="43"/>
    </row>
    <row r="139">
      <c r="D139" s="64"/>
      <c r="E139" s="43"/>
      <c r="F139" s="43"/>
      <c r="G139" s="43"/>
      <c r="H139" s="43"/>
      <c r="I139" s="43"/>
      <c r="J139" s="43"/>
      <c r="K139" s="43"/>
      <c r="L139" s="43"/>
      <c r="M139" s="43"/>
      <c r="N139" s="43"/>
    </row>
    <row r="140">
      <c r="D140" s="64"/>
      <c r="E140" s="43"/>
      <c r="F140" s="43"/>
      <c r="G140" s="43"/>
      <c r="H140" s="43"/>
      <c r="I140" s="43"/>
      <c r="J140" s="43"/>
      <c r="K140" s="43"/>
      <c r="L140" s="43"/>
      <c r="M140" s="43"/>
      <c r="N140" s="43"/>
    </row>
    <row r="141">
      <c r="D141" s="64"/>
      <c r="E141" s="43"/>
      <c r="F141" s="43"/>
      <c r="G141" s="43"/>
      <c r="H141" s="43"/>
      <c r="I141" s="43"/>
      <c r="J141" s="43"/>
      <c r="K141" s="43"/>
      <c r="L141" s="43"/>
      <c r="M141" s="43"/>
      <c r="N141" s="43"/>
    </row>
    <row r="142">
      <c r="D142" s="64"/>
      <c r="E142" s="43"/>
      <c r="F142" s="43"/>
      <c r="G142" s="43"/>
      <c r="H142" s="43"/>
      <c r="I142" s="43"/>
      <c r="J142" s="43"/>
      <c r="K142" s="43"/>
      <c r="L142" s="43"/>
      <c r="M142" s="43"/>
      <c r="N142" s="43"/>
    </row>
    <row r="143">
      <c r="D143" s="64"/>
      <c r="E143" s="43"/>
      <c r="F143" s="43"/>
      <c r="G143" s="43"/>
      <c r="H143" s="43"/>
      <c r="I143" s="43"/>
      <c r="J143" s="43"/>
      <c r="K143" s="43"/>
      <c r="L143" s="43"/>
      <c r="M143" s="43"/>
      <c r="N143" s="43"/>
    </row>
    <row r="144">
      <c r="D144" s="64"/>
      <c r="E144" s="43"/>
      <c r="F144" s="43"/>
      <c r="G144" s="43"/>
      <c r="H144" s="43"/>
      <c r="I144" s="43"/>
      <c r="J144" s="43"/>
      <c r="K144" s="43"/>
      <c r="L144" s="43"/>
      <c r="M144" s="43"/>
      <c r="N144" s="43"/>
    </row>
    <row r="145">
      <c r="D145" s="64"/>
      <c r="E145" s="43"/>
      <c r="F145" s="43"/>
      <c r="G145" s="43"/>
      <c r="H145" s="43"/>
      <c r="I145" s="43"/>
      <c r="J145" s="43"/>
      <c r="K145" s="43"/>
      <c r="L145" s="43"/>
      <c r="M145" s="43"/>
      <c r="N145" s="43"/>
    </row>
    <row r="146">
      <c r="D146" s="64"/>
      <c r="E146" s="43"/>
      <c r="F146" s="43"/>
      <c r="G146" s="43"/>
      <c r="H146" s="43"/>
      <c r="I146" s="43"/>
      <c r="J146" s="43"/>
      <c r="K146" s="43"/>
      <c r="L146" s="43"/>
      <c r="M146" s="43"/>
      <c r="N146" s="43"/>
    </row>
    <row r="147">
      <c r="D147" s="64"/>
      <c r="E147" s="43"/>
      <c r="F147" s="43"/>
      <c r="G147" s="43"/>
      <c r="H147" s="43"/>
      <c r="I147" s="43"/>
      <c r="J147" s="43"/>
      <c r="K147" s="43"/>
      <c r="L147" s="43"/>
      <c r="M147" s="43"/>
      <c r="N147" s="43"/>
    </row>
    <row r="148">
      <c r="D148" s="64"/>
      <c r="E148" s="43"/>
      <c r="F148" s="43"/>
      <c r="G148" s="43"/>
      <c r="H148" s="43"/>
      <c r="I148" s="43"/>
      <c r="J148" s="43"/>
      <c r="K148" s="43"/>
      <c r="L148" s="43"/>
      <c r="M148" s="43"/>
      <c r="N148" s="43"/>
    </row>
    <row r="149">
      <c r="D149" s="64"/>
      <c r="E149" s="43"/>
      <c r="F149" s="43"/>
      <c r="G149" s="43"/>
      <c r="H149" s="43"/>
      <c r="I149" s="43"/>
      <c r="J149" s="43"/>
      <c r="K149" s="43"/>
      <c r="L149" s="43"/>
      <c r="M149" s="43"/>
      <c r="N149" s="43"/>
    </row>
    <row r="150">
      <c r="D150" s="64"/>
      <c r="E150" s="43"/>
      <c r="F150" s="43"/>
      <c r="G150" s="43"/>
      <c r="H150" s="43"/>
      <c r="I150" s="43"/>
      <c r="J150" s="43"/>
      <c r="K150" s="43"/>
      <c r="L150" s="43"/>
      <c r="M150" s="43"/>
      <c r="N150" s="43"/>
    </row>
    <row r="151">
      <c r="D151" s="64"/>
      <c r="E151" s="43"/>
      <c r="F151" s="43"/>
      <c r="G151" s="43"/>
      <c r="H151" s="43"/>
      <c r="I151" s="43"/>
      <c r="J151" s="43"/>
      <c r="K151" s="43"/>
      <c r="L151" s="43"/>
      <c r="M151" s="43"/>
      <c r="N151" s="43"/>
    </row>
    <row r="152">
      <c r="D152" s="64"/>
      <c r="E152" s="43"/>
      <c r="F152" s="43"/>
      <c r="G152" s="43"/>
      <c r="H152" s="43"/>
      <c r="I152" s="43"/>
      <c r="J152" s="43"/>
      <c r="K152" s="43"/>
      <c r="L152" s="43"/>
      <c r="M152" s="43"/>
      <c r="N152" s="43"/>
    </row>
    <row r="153">
      <c r="D153" s="64"/>
      <c r="E153" s="43"/>
      <c r="F153" s="43"/>
      <c r="G153" s="43"/>
      <c r="H153" s="43"/>
      <c r="I153" s="43"/>
      <c r="J153" s="43"/>
      <c r="K153" s="43"/>
      <c r="L153" s="43"/>
      <c r="M153" s="43"/>
      <c r="N153" s="43"/>
    </row>
    <row r="154">
      <c r="D154" s="64"/>
      <c r="E154" s="43"/>
      <c r="F154" s="43"/>
      <c r="G154" s="43"/>
      <c r="H154" s="43"/>
      <c r="I154" s="43"/>
      <c r="J154" s="43"/>
      <c r="K154" s="43"/>
      <c r="L154" s="43"/>
      <c r="M154" s="43"/>
      <c r="N154" s="43"/>
    </row>
    <row r="155">
      <c r="D155" s="64"/>
      <c r="E155" s="43"/>
      <c r="F155" s="43"/>
      <c r="G155" s="43"/>
      <c r="H155" s="43"/>
      <c r="I155" s="43"/>
      <c r="J155" s="43"/>
      <c r="K155" s="43"/>
      <c r="L155" s="43"/>
      <c r="M155" s="43"/>
      <c r="N155" s="43"/>
    </row>
    <row r="156">
      <c r="D156" s="64"/>
      <c r="E156" s="43"/>
      <c r="F156" s="43"/>
      <c r="G156" s="43"/>
      <c r="H156" s="43"/>
      <c r="I156" s="43"/>
      <c r="J156" s="43"/>
      <c r="K156" s="43"/>
      <c r="L156" s="43"/>
      <c r="M156" s="43"/>
      <c r="N156" s="43"/>
    </row>
    <row r="157">
      <c r="D157" s="64"/>
      <c r="E157" s="43"/>
      <c r="F157" s="43"/>
      <c r="G157" s="43"/>
      <c r="H157" s="43"/>
      <c r="I157" s="43"/>
      <c r="J157" s="43"/>
      <c r="K157" s="43"/>
      <c r="L157" s="43"/>
      <c r="M157" s="43"/>
      <c r="N157" s="43"/>
    </row>
    <row r="158">
      <c r="D158" s="64"/>
      <c r="E158" s="43"/>
      <c r="F158" s="43"/>
      <c r="G158" s="43"/>
      <c r="H158" s="43"/>
      <c r="I158" s="43"/>
      <c r="J158" s="43"/>
      <c r="K158" s="43"/>
      <c r="L158" s="43"/>
      <c r="M158" s="43"/>
      <c r="N158" s="43"/>
    </row>
    <row r="159">
      <c r="D159" s="64"/>
      <c r="E159" s="43"/>
      <c r="F159" s="43"/>
      <c r="G159" s="43"/>
      <c r="H159" s="43"/>
      <c r="I159" s="43"/>
      <c r="J159" s="43"/>
      <c r="K159" s="43"/>
      <c r="L159" s="43"/>
      <c r="M159" s="43"/>
      <c r="N159" s="43"/>
    </row>
    <row r="160">
      <c r="D160" s="64"/>
      <c r="E160" s="43"/>
      <c r="F160" s="43"/>
      <c r="G160" s="43"/>
      <c r="H160" s="43"/>
      <c r="I160" s="43"/>
      <c r="J160" s="43"/>
      <c r="K160" s="43"/>
      <c r="L160" s="43"/>
      <c r="M160" s="43"/>
      <c r="N160" s="43"/>
    </row>
    <row r="161">
      <c r="D161" s="64"/>
      <c r="E161" s="43"/>
      <c r="F161" s="43"/>
      <c r="G161" s="43"/>
      <c r="H161" s="43"/>
      <c r="I161" s="43"/>
      <c r="J161" s="43"/>
      <c r="K161" s="43"/>
      <c r="L161" s="43"/>
      <c r="M161" s="43"/>
      <c r="N161" s="43"/>
    </row>
    <row r="162">
      <c r="D162" s="64"/>
      <c r="E162" s="43"/>
      <c r="F162" s="43"/>
      <c r="G162" s="43"/>
      <c r="H162" s="43"/>
      <c r="I162" s="43"/>
      <c r="J162" s="43"/>
      <c r="K162" s="43"/>
      <c r="L162" s="43"/>
      <c r="M162" s="43"/>
      <c r="N162" s="43"/>
    </row>
    <row r="163">
      <c r="D163" s="64"/>
      <c r="E163" s="43"/>
      <c r="F163" s="43"/>
      <c r="G163" s="43"/>
      <c r="H163" s="43"/>
      <c r="I163" s="43"/>
      <c r="J163" s="43"/>
      <c r="K163" s="43"/>
      <c r="L163" s="43"/>
      <c r="M163" s="43"/>
      <c r="N163" s="43"/>
    </row>
    <row r="164">
      <c r="D164" s="64"/>
      <c r="E164" s="43"/>
      <c r="F164" s="43"/>
      <c r="G164" s="43"/>
      <c r="H164" s="43"/>
      <c r="I164" s="43"/>
      <c r="J164" s="43"/>
      <c r="K164" s="43"/>
      <c r="L164" s="43"/>
      <c r="M164" s="43"/>
      <c r="N164" s="43"/>
    </row>
    <row r="165">
      <c r="D165" s="64"/>
      <c r="E165" s="43"/>
      <c r="F165" s="43"/>
      <c r="G165" s="43"/>
      <c r="H165" s="43"/>
      <c r="I165" s="43"/>
      <c r="J165" s="43"/>
      <c r="K165" s="43"/>
      <c r="L165" s="43"/>
      <c r="M165" s="43"/>
      <c r="N165" s="43"/>
    </row>
    <row r="166">
      <c r="D166" s="64"/>
      <c r="E166" s="43"/>
      <c r="F166" s="43"/>
      <c r="G166" s="43"/>
      <c r="H166" s="43"/>
      <c r="I166" s="43"/>
      <c r="J166" s="43"/>
      <c r="K166" s="43"/>
      <c r="L166" s="43"/>
      <c r="M166" s="43"/>
      <c r="N166" s="43"/>
    </row>
    <row r="167">
      <c r="D167" s="64"/>
      <c r="E167" s="43"/>
      <c r="F167" s="43"/>
      <c r="G167" s="43"/>
      <c r="H167" s="43"/>
      <c r="I167" s="43"/>
      <c r="J167" s="43"/>
      <c r="K167" s="43"/>
      <c r="L167" s="43"/>
      <c r="M167" s="43"/>
      <c r="N167" s="43"/>
    </row>
    <row r="168">
      <c r="D168" s="64"/>
      <c r="E168" s="43"/>
      <c r="F168" s="43"/>
      <c r="G168" s="43"/>
      <c r="H168" s="43"/>
      <c r="I168" s="43"/>
      <c r="J168" s="43"/>
      <c r="K168" s="43"/>
      <c r="L168" s="43"/>
      <c r="M168" s="43"/>
      <c r="N168" s="43"/>
    </row>
    <row r="169">
      <c r="D169" s="64"/>
      <c r="E169" s="43"/>
      <c r="F169" s="43"/>
      <c r="G169" s="43"/>
      <c r="H169" s="43"/>
      <c r="I169" s="43"/>
      <c r="J169" s="43"/>
      <c r="K169" s="43"/>
      <c r="L169" s="43"/>
      <c r="M169" s="43"/>
      <c r="N169" s="43"/>
    </row>
    <row r="170">
      <c r="D170" s="64"/>
      <c r="E170" s="43"/>
      <c r="F170" s="43"/>
      <c r="G170" s="43"/>
      <c r="H170" s="43"/>
      <c r="I170" s="43"/>
      <c r="J170" s="43"/>
      <c r="K170" s="43"/>
      <c r="L170" s="43"/>
      <c r="M170" s="43"/>
      <c r="N170" s="43"/>
    </row>
    <row r="171">
      <c r="D171" s="64"/>
      <c r="E171" s="43"/>
      <c r="F171" s="43"/>
      <c r="G171" s="43"/>
      <c r="H171" s="43"/>
      <c r="I171" s="43"/>
      <c r="J171" s="43"/>
      <c r="K171" s="43"/>
      <c r="L171" s="43"/>
      <c r="M171" s="43"/>
      <c r="N171" s="43"/>
    </row>
    <row r="172">
      <c r="D172" s="64"/>
      <c r="E172" s="43"/>
      <c r="F172" s="43"/>
      <c r="G172" s="43"/>
      <c r="H172" s="43"/>
      <c r="I172" s="43"/>
      <c r="J172" s="43"/>
      <c r="K172" s="43"/>
      <c r="L172" s="43"/>
      <c r="M172" s="43"/>
      <c r="N172" s="43"/>
    </row>
    <row r="173">
      <c r="D173" s="64"/>
      <c r="E173" s="43"/>
      <c r="F173" s="43"/>
      <c r="G173" s="43"/>
      <c r="H173" s="43"/>
      <c r="I173" s="43"/>
      <c r="J173" s="43"/>
      <c r="K173" s="43"/>
      <c r="L173" s="43"/>
      <c r="M173" s="43"/>
      <c r="N173" s="43"/>
    </row>
    <row r="174">
      <c r="D174" s="64"/>
      <c r="E174" s="43"/>
      <c r="F174" s="43"/>
      <c r="G174" s="43"/>
      <c r="H174" s="43"/>
      <c r="I174" s="43"/>
      <c r="J174" s="43"/>
      <c r="K174" s="43"/>
      <c r="L174" s="43"/>
      <c r="M174" s="43"/>
      <c r="N174" s="43"/>
    </row>
    <row r="175">
      <c r="D175" s="64"/>
      <c r="E175" s="43"/>
      <c r="F175" s="43"/>
      <c r="G175" s="43"/>
      <c r="H175" s="43"/>
      <c r="I175" s="43"/>
      <c r="J175" s="43"/>
      <c r="K175" s="43"/>
      <c r="L175" s="43"/>
      <c r="M175" s="43"/>
      <c r="N175" s="43"/>
    </row>
    <row r="176">
      <c r="D176" s="64"/>
      <c r="E176" s="43"/>
      <c r="F176" s="43"/>
      <c r="G176" s="43"/>
      <c r="H176" s="43"/>
      <c r="I176" s="43"/>
      <c r="J176" s="43"/>
      <c r="K176" s="43"/>
      <c r="L176" s="43"/>
      <c r="M176" s="43"/>
      <c r="N176" s="43"/>
    </row>
    <row r="177">
      <c r="D177" s="64"/>
      <c r="E177" s="43"/>
      <c r="F177" s="43"/>
      <c r="G177" s="43"/>
      <c r="H177" s="43"/>
      <c r="I177" s="43"/>
      <c r="J177" s="43"/>
      <c r="K177" s="43"/>
      <c r="L177" s="43"/>
      <c r="M177" s="43"/>
      <c r="N177" s="43"/>
    </row>
    <row r="178">
      <c r="D178" s="64"/>
      <c r="E178" s="43"/>
      <c r="F178" s="43"/>
      <c r="G178" s="43"/>
      <c r="H178" s="43"/>
      <c r="I178" s="43"/>
      <c r="J178" s="43"/>
      <c r="K178" s="43"/>
      <c r="L178" s="43"/>
      <c r="M178" s="43"/>
      <c r="N178" s="43"/>
    </row>
    <row r="179">
      <c r="D179" s="64"/>
      <c r="E179" s="43"/>
      <c r="F179" s="43"/>
      <c r="G179" s="43"/>
      <c r="H179" s="43"/>
      <c r="I179" s="43"/>
      <c r="J179" s="43"/>
      <c r="K179" s="43"/>
      <c r="L179" s="43"/>
      <c r="M179" s="43"/>
      <c r="N179" s="43"/>
    </row>
    <row r="180">
      <c r="D180" s="64"/>
      <c r="E180" s="43"/>
      <c r="F180" s="43"/>
      <c r="G180" s="43"/>
      <c r="H180" s="43"/>
      <c r="I180" s="43"/>
      <c r="J180" s="43"/>
      <c r="K180" s="43"/>
      <c r="L180" s="43"/>
      <c r="M180" s="43"/>
      <c r="N180" s="43"/>
    </row>
    <row r="181">
      <c r="D181" s="64"/>
      <c r="E181" s="43"/>
      <c r="F181" s="43"/>
      <c r="G181" s="43"/>
      <c r="H181" s="43"/>
      <c r="I181" s="43"/>
      <c r="J181" s="43"/>
      <c r="K181" s="43"/>
      <c r="L181" s="43"/>
      <c r="M181" s="43"/>
      <c r="N181" s="43"/>
    </row>
    <row r="182">
      <c r="D182" s="64"/>
      <c r="E182" s="43"/>
      <c r="F182" s="43"/>
      <c r="G182" s="43"/>
      <c r="H182" s="43"/>
      <c r="I182" s="43"/>
      <c r="J182" s="43"/>
      <c r="K182" s="43"/>
      <c r="L182" s="43"/>
      <c r="M182" s="43"/>
      <c r="N182" s="43"/>
    </row>
    <row r="183">
      <c r="D183" s="64"/>
      <c r="E183" s="43"/>
      <c r="F183" s="43"/>
      <c r="G183" s="43"/>
      <c r="H183" s="43"/>
      <c r="I183" s="43"/>
      <c r="J183" s="43"/>
      <c r="K183" s="43"/>
      <c r="L183" s="43"/>
      <c r="M183" s="43"/>
      <c r="N183" s="43"/>
    </row>
    <row r="184">
      <c r="D184" s="64"/>
      <c r="E184" s="43"/>
      <c r="F184" s="43"/>
      <c r="G184" s="43"/>
      <c r="H184" s="43"/>
      <c r="I184" s="43"/>
      <c r="J184" s="43"/>
      <c r="K184" s="43"/>
      <c r="L184" s="43"/>
      <c r="M184" s="43"/>
      <c r="N184" s="43"/>
    </row>
    <row r="185">
      <c r="D185" s="64"/>
      <c r="E185" s="43"/>
      <c r="F185" s="43"/>
      <c r="G185" s="43"/>
      <c r="H185" s="43"/>
      <c r="I185" s="43"/>
      <c r="J185" s="43"/>
      <c r="K185" s="43"/>
      <c r="L185" s="43"/>
      <c r="M185" s="43"/>
      <c r="N185" s="43"/>
    </row>
    <row r="186">
      <c r="D186" s="64"/>
      <c r="E186" s="43"/>
      <c r="F186" s="43"/>
      <c r="G186" s="43"/>
      <c r="H186" s="43"/>
      <c r="I186" s="43"/>
      <c r="J186" s="43"/>
      <c r="K186" s="43"/>
      <c r="L186" s="43"/>
      <c r="M186" s="43"/>
      <c r="N186" s="43"/>
    </row>
    <row r="187">
      <c r="D187" s="64"/>
      <c r="E187" s="43"/>
      <c r="F187" s="43"/>
      <c r="G187" s="43"/>
      <c r="H187" s="43"/>
      <c r="I187" s="43"/>
      <c r="J187" s="43"/>
      <c r="K187" s="43"/>
      <c r="L187" s="43"/>
      <c r="M187" s="43"/>
      <c r="N187" s="43"/>
    </row>
    <row r="188">
      <c r="D188" s="64"/>
      <c r="E188" s="43"/>
      <c r="F188" s="43"/>
      <c r="G188" s="43"/>
      <c r="H188" s="43"/>
      <c r="I188" s="43"/>
      <c r="J188" s="43"/>
      <c r="K188" s="43"/>
      <c r="L188" s="43"/>
      <c r="M188" s="43"/>
      <c r="N188" s="43"/>
    </row>
    <row r="189">
      <c r="D189" s="64"/>
      <c r="E189" s="43"/>
      <c r="F189" s="43"/>
      <c r="G189" s="43"/>
      <c r="H189" s="43"/>
      <c r="I189" s="43"/>
      <c r="J189" s="43"/>
      <c r="K189" s="43"/>
      <c r="L189" s="43"/>
      <c r="M189" s="43"/>
      <c r="N189" s="43"/>
    </row>
    <row r="190">
      <c r="D190" s="64"/>
      <c r="E190" s="43"/>
      <c r="F190" s="43"/>
      <c r="G190" s="43"/>
      <c r="H190" s="43"/>
      <c r="I190" s="43"/>
      <c r="J190" s="43"/>
      <c r="K190" s="43"/>
      <c r="L190" s="43"/>
      <c r="M190" s="43"/>
      <c r="N190" s="43"/>
    </row>
    <row r="191">
      <c r="D191" s="64"/>
      <c r="E191" s="43"/>
      <c r="F191" s="43"/>
      <c r="G191" s="43"/>
      <c r="H191" s="43"/>
      <c r="I191" s="43"/>
      <c r="J191" s="43"/>
      <c r="K191" s="43"/>
      <c r="L191" s="43"/>
      <c r="M191" s="43"/>
      <c r="N191" s="43"/>
    </row>
    <row r="192">
      <c r="D192" s="64"/>
      <c r="E192" s="43"/>
      <c r="F192" s="43"/>
      <c r="G192" s="43"/>
      <c r="H192" s="43"/>
      <c r="I192" s="43"/>
      <c r="J192" s="43"/>
      <c r="K192" s="43"/>
      <c r="L192" s="43"/>
      <c r="M192" s="43"/>
      <c r="N192" s="43"/>
    </row>
    <row r="193">
      <c r="D193" s="64"/>
      <c r="E193" s="43"/>
      <c r="F193" s="43"/>
      <c r="G193" s="43"/>
      <c r="H193" s="43"/>
      <c r="I193" s="43"/>
      <c r="J193" s="43"/>
      <c r="K193" s="43"/>
      <c r="L193" s="43"/>
      <c r="M193" s="43"/>
      <c r="N193" s="43"/>
    </row>
    <row r="194">
      <c r="D194" s="64"/>
      <c r="E194" s="43"/>
      <c r="F194" s="43"/>
      <c r="G194" s="43"/>
      <c r="H194" s="43"/>
      <c r="I194" s="43"/>
      <c r="J194" s="43"/>
      <c r="K194" s="43"/>
      <c r="L194" s="43"/>
      <c r="M194" s="43"/>
      <c r="N194" s="43"/>
    </row>
    <row r="195">
      <c r="D195" s="64"/>
      <c r="E195" s="43"/>
      <c r="F195" s="43"/>
      <c r="G195" s="43"/>
      <c r="H195" s="43"/>
      <c r="I195" s="43"/>
      <c r="J195" s="43"/>
      <c r="K195" s="43"/>
      <c r="L195" s="43"/>
      <c r="M195" s="43"/>
      <c r="N195" s="43"/>
    </row>
    <row r="196">
      <c r="D196" s="64"/>
      <c r="E196" s="43"/>
      <c r="F196" s="43"/>
      <c r="G196" s="43"/>
      <c r="H196" s="43"/>
      <c r="I196" s="43"/>
      <c r="J196" s="43"/>
      <c r="K196" s="43"/>
      <c r="L196" s="43"/>
      <c r="M196" s="43"/>
      <c r="N196" s="43"/>
    </row>
    <row r="197">
      <c r="D197" s="64"/>
      <c r="E197" s="43"/>
      <c r="F197" s="43"/>
      <c r="G197" s="43"/>
      <c r="H197" s="43"/>
      <c r="I197" s="43"/>
      <c r="J197" s="43"/>
      <c r="K197" s="43"/>
      <c r="L197" s="43"/>
      <c r="M197" s="43"/>
      <c r="N197" s="43"/>
    </row>
    <row r="198">
      <c r="D198" s="64"/>
      <c r="E198" s="43"/>
      <c r="F198" s="43"/>
      <c r="G198" s="43"/>
      <c r="H198" s="43"/>
      <c r="I198" s="43"/>
      <c r="J198" s="43"/>
      <c r="K198" s="43"/>
      <c r="L198" s="43"/>
      <c r="M198" s="43"/>
      <c r="N198" s="43"/>
    </row>
    <row r="199">
      <c r="D199" s="64"/>
      <c r="E199" s="43"/>
      <c r="F199" s="43"/>
      <c r="G199" s="43"/>
      <c r="H199" s="43"/>
      <c r="I199" s="43"/>
      <c r="J199" s="43"/>
      <c r="K199" s="43"/>
      <c r="L199" s="43"/>
      <c r="M199" s="43"/>
      <c r="N199" s="43"/>
    </row>
    <row r="200">
      <c r="D200" s="64"/>
      <c r="E200" s="43"/>
      <c r="F200" s="43"/>
      <c r="G200" s="43"/>
      <c r="H200" s="43"/>
      <c r="I200" s="43"/>
      <c r="J200" s="43"/>
      <c r="K200" s="43"/>
      <c r="L200" s="43"/>
      <c r="M200" s="43"/>
      <c r="N200" s="43"/>
    </row>
    <row r="201">
      <c r="D201" s="64"/>
      <c r="E201" s="43"/>
      <c r="F201" s="43"/>
      <c r="G201" s="43"/>
      <c r="H201" s="43"/>
      <c r="I201" s="43"/>
      <c r="J201" s="43"/>
      <c r="K201" s="43"/>
      <c r="L201" s="43"/>
      <c r="M201" s="43"/>
      <c r="N201" s="43"/>
    </row>
    <row r="202">
      <c r="D202" s="64"/>
      <c r="E202" s="43"/>
      <c r="F202" s="43"/>
      <c r="G202" s="43"/>
      <c r="H202" s="43"/>
      <c r="I202" s="43"/>
      <c r="J202" s="43"/>
      <c r="K202" s="43"/>
      <c r="L202" s="43"/>
      <c r="M202" s="43"/>
      <c r="N202" s="43"/>
    </row>
    <row r="203">
      <c r="D203" s="64"/>
      <c r="E203" s="43"/>
      <c r="F203" s="43"/>
      <c r="G203" s="43"/>
      <c r="H203" s="43"/>
      <c r="I203" s="43"/>
      <c r="J203" s="43"/>
      <c r="K203" s="43"/>
      <c r="L203" s="43"/>
      <c r="M203" s="43"/>
      <c r="N203" s="43"/>
    </row>
    <row r="204">
      <c r="D204" s="64"/>
      <c r="E204" s="43"/>
      <c r="F204" s="43"/>
      <c r="G204" s="43"/>
      <c r="H204" s="43"/>
      <c r="I204" s="43"/>
      <c r="J204" s="43"/>
      <c r="K204" s="43"/>
      <c r="L204" s="43"/>
      <c r="M204" s="43"/>
      <c r="N204" s="43"/>
    </row>
    <row r="205">
      <c r="D205" s="64"/>
      <c r="E205" s="43"/>
      <c r="F205" s="43"/>
      <c r="G205" s="43"/>
      <c r="H205" s="43"/>
      <c r="I205" s="43"/>
      <c r="J205" s="43"/>
      <c r="K205" s="43"/>
      <c r="L205" s="43"/>
      <c r="M205" s="43"/>
      <c r="N205" s="43"/>
    </row>
    <row r="206">
      <c r="D206" s="64"/>
      <c r="E206" s="43"/>
      <c r="F206" s="43"/>
      <c r="G206" s="43"/>
      <c r="H206" s="43"/>
      <c r="I206" s="43"/>
      <c r="J206" s="43"/>
      <c r="K206" s="43"/>
      <c r="L206" s="43"/>
      <c r="M206" s="43"/>
      <c r="N206" s="43"/>
    </row>
    <row r="207">
      <c r="D207" s="64"/>
      <c r="E207" s="43"/>
      <c r="F207" s="43"/>
      <c r="G207" s="43"/>
      <c r="H207" s="43"/>
      <c r="I207" s="43"/>
      <c r="J207" s="43"/>
      <c r="K207" s="43"/>
      <c r="L207" s="43"/>
      <c r="M207" s="43"/>
      <c r="N207" s="43"/>
    </row>
    <row r="208">
      <c r="D208" s="64"/>
      <c r="E208" s="43"/>
      <c r="F208" s="43"/>
      <c r="G208" s="43"/>
      <c r="H208" s="43"/>
      <c r="I208" s="43"/>
      <c r="J208" s="43"/>
      <c r="K208" s="43"/>
      <c r="L208" s="43"/>
      <c r="M208" s="43"/>
      <c r="N208" s="43"/>
    </row>
    <row r="209">
      <c r="D209" s="64"/>
      <c r="E209" s="43"/>
      <c r="F209" s="43"/>
      <c r="G209" s="43"/>
      <c r="H209" s="43"/>
      <c r="I209" s="43"/>
      <c r="J209" s="43"/>
      <c r="K209" s="43"/>
      <c r="L209" s="43"/>
      <c r="M209" s="43"/>
      <c r="N209" s="43"/>
    </row>
    <row r="210">
      <c r="D210" s="64"/>
      <c r="E210" s="43"/>
      <c r="F210" s="43"/>
      <c r="G210" s="43"/>
      <c r="H210" s="43"/>
      <c r="I210" s="43"/>
      <c r="J210" s="43"/>
      <c r="K210" s="43"/>
      <c r="L210" s="43"/>
      <c r="M210" s="43"/>
      <c r="N210" s="43"/>
    </row>
    <row r="211">
      <c r="D211" s="64"/>
      <c r="E211" s="43"/>
      <c r="F211" s="43"/>
      <c r="G211" s="43"/>
      <c r="H211" s="43"/>
      <c r="I211" s="43"/>
      <c r="J211" s="43"/>
      <c r="K211" s="43"/>
      <c r="L211" s="43"/>
      <c r="M211" s="43"/>
      <c r="N211" s="43"/>
    </row>
    <row r="212">
      <c r="D212" s="64"/>
      <c r="E212" s="43"/>
      <c r="F212" s="43"/>
      <c r="G212" s="43"/>
      <c r="H212" s="43"/>
      <c r="I212" s="43"/>
      <c r="J212" s="43"/>
      <c r="K212" s="43"/>
      <c r="L212" s="43"/>
      <c r="M212" s="43"/>
      <c r="N212" s="43"/>
    </row>
    <row r="213">
      <c r="D213" s="64"/>
      <c r="E213" s="43"/>
      <c r="F213" s="43"/>
      <c r="G213" s="43"/>
      <c r="H213" s="43"/>
      <c r="I213" s="43"/>
      <c r="J213" s="43"/>
      <c r="K213" s="43"/>
      <c r="L213" s="43"/>
      <c r="M213" s="43"/>
      <c r="N213" s="43"/>
    </row>
    <row r="214">
      <c r="D214" s="64"/>
      <c r="E214" s="43"/>
      <c r="F214" s="43"/>
      <c r="G214" s="43"/>
      <c r="H214" s="43"/>
      <c r="I214" s="43"/>
      <c r="J214" s="43"/>
      <c r="K214" s="43"/>
      <c r="L214" s="43"/>
      <c r="M214" s="43"/>
      <c r="N214" s="43"/>
    </row>
    <row r="215">
      <c r="D215" s="64"/>
      <c r="E215" s="43"/>
      <c r="F215" s="43"/>
      <c r="G215" s="43"/>
      <c r="H215" s="43"/>
      <c r="I215" s="43"/>
      <c r="J215" s="43"/>
      <c r="K215" s="43"/>
      <c r="L215" s="43"/>
      <c r="M215" s="43"/>
      <c r="N215" s="43"/>
    </row>
    <row r="216">
      <c r="D216" s="64"/>
      <c r="E216" s="43"/>
      <c r="F216" s="43"/>
      <c r="G216" s="43"/>
      <c r="H216" s="43"/>
      <c r="I216" s="43"/>
      <c r="J216" s="43"/>
      <c r="K216" s="43"/>
      <c r="L216" s="43"/>
      <c r="M216" s="43"/>
      <c r="N216" s="43"/>
    </row>
    <row r="217">
      <c r="D217" s="64"/>
      <c r="E217" s="43"/>
      <c r="F217" s="43"/>
      <c r="G217" s="43"/>
      <c r="H217" s="43"/>
      <c r="I217" s="43"/>
      <c r="J217" s="43"/>
      <c r="K217" s="43"/>
      <c r="L217" s="43"/>
      <c r="M217" s="43"/>
      <c r="N217" s="43"/>
    </row>
    <row r="218">
      <c r="D218" s="64"/>
      <c r="E218" s="43"/>
      <c r="F218" s="43"/>
      <c r="G218" s="43"/>
      <c r="H218" s="43"/>
      <c r="I218" s="43"/>
      <c r="J218" s="43"/>
      <c r="K218" s="43"/>
      <c r="L218" s="43"/>
      <c r="M218" s="43"/>
      <c r="N218" s="43"/>
    </row>
    <row r="219">
      <c r="D219" s="64"/>
      <c r="E219" s="43"/>
      <c r="F219" s="43"/>
      <c r="G219" s="43"/>
      <c r="H219" s="43"/>
      <c r="I219" s="43"/>
      <c r="J219" s="43"/>
      <c r="K219" s="43"/>
      <c r="L219" s="43"/>
      <c r="M219" s="43"/>
      <c r="N219" s="43"/>
    </row>
    <row r="220">
      <c r="D220" s="64"/>
      <c r="E220" s="43"/>
      <c r="F220" s="43"/>
      <c r="G220" s="43"/>
      <c r="H220" s="43"/>
      <c r="I220" s="43"/>
      <c r="J220" s="43"/>
      <c r="K220" s="43"/>
      <c r="L220" s="43"/>
      <c r="M220" s="43"/>
      <c r="N220" s="43"/>
    </row>
    <row r="221">
      <c r="D221" s="64"/>
      <c r="E221" s="43"/>
      <c r="F221" s="43"/>
      <c r="G221" s="43"/>
      <c r="H221" s="43"/>
      <c r="I221" s="43"/>
      <c r="J221" s="43"/>
      <c r="K221" s="43"/>
      <c r="L221" s="43"/>
      <c r="M221" s="43"/>
      <c r="N221" s="43"/>
    </row>
    <row r="222">
      <c r="D222" s="64"/>
      <c r="E222" s="43"/>
      <c r="F222" s="43"/>
      <c r="G222" s="43"/>
      <c r="H222" s="43"/>
      <c r="I222" s="43"/>
      <c r="J222" s="43"/>
      <c r="K222" s="43"/>
      <c r="L222" s="43"/>
      <c r="M222" s="43"/>
      <c r="N222" s="43"/>
    </row>
    <row r="223">
      <c r="D223" s="64"/>
      <c r="E223" s="43"/>
      <c r="F223" s="43"/>
      <c r="G223" s="43"/>
      <c r="H223" s="43"/>
      <c r="I223" s="43"/>
      <c r="J223" s="43"/>
      <c r="K223" s="43"/>
      <c r="L223" s="43"/>
      <c r="M223" s="43"/>
      <c r="N223" s="43"/>
    </row>
    <row r="224">
      <c r="D224" s="64"/>
      <c r="E224" s="43"/>
      <c r="F224" s="43"/>
      <c r="G224" s="43"/>
      <c r="H224" s="43"/>
      <c r="I224" s="43"/>
      <c r="J224" s="43"/>
      <c r="K224" s="43"/>
      <c r="L224" s="43"/>
      <c r="M224" s="43"/>
      <c r="N224" s="43"/>
    </row>
    <row r="225">
      <c r="D225" s="64"/>
      <c r="E225" s="43"/>
      <c r="F225" s="43"/>
      <c r="G225" s="43"/>
      <c r="H225" s="43"/>
      <c r="I225" s="43"/>
      <c r="J225" s="43"/>
      <c r="K225" s="43"/>
      <c r="L225" s="43"/>
      <c r="M225" s="43"/>
      <c r="N225" s="43"/>
    </row>
    <row r="226">
      <c r="D226" s="64"/>
      <c r="E226" s="43"/>
      <c r="F226" s="43"/>
      <c r="G226" s="43"/>
      <c r="H226" s="43"/>
      <c r="I226" s="43"/>
      <c r="J226" s="43"/>
      <c r="K226" s="43"/>
      <c r="L226" s="43"/>
      <c r="M226" s="43"/>
      <c r="N226" s="43"/>
    </row>
    <row r="227">
      <c r="D227" s="64"/>
      <c r="E227" s="43"/>
      <c r="F227" s="43"/>
      <c r="G227" s="43"/>
      <c r="H227" s="43"/>
      <c r="I227" s="43"/>
      <c r="J227" s="43"/>
      <c r="K227" s="43"/>
      <c r="L227" s="43"/>
      <c r="M227" s="43"/>
      <c r="N227" s="43"/>
    </row>
    <row r="228">
      <c r="D228" s="64"/>
      <c r="E228" s="43"/>
      <c r="F228" s="43"/>
      <c r="G228" s="43"/>
      <c r="H228" s="43"/>
      <c r="I228" s="43"/>
      <c r="J228" s="43"/>
      <c r="K228" s="43"/>
      <c r="L228" s="43"/>
      <c r="M228" s="43"/>
      <c r="N228" s="43"/>
    </row>
    <row r="229">
      <c r="D229" s="64"/>
      <c r="E229" s="43"/>
      <c r="F229" s="43"/>
      <c r="G229" s="43"/>
      <c r="H229" s="43"/>
      <c r="I229" s="43"/>
      <c r="J229" s="43"/>
      <c r="K229" s="43"/>
      <c r="L229" s="43"/>
      <c r="M229" s="43"/>
      <c r="N229" s="43"/>
    </row>
    <row r="230">
      <c r="D230" s="64"/>
      <c r="E230" s="43"/>
      <c r="F230" s="43"/>
      <c r="G230" s="43"/>
      <c r="H230" s="43"/>
      <c r="I230" s="43"/>
      <c r="J230" s="43"/>
      <c r="K230" s="43"/>
      <c r="L230" s="43"/>
      <c r="M230" s="43"/>
      <c r="N230" s="43"/>
    </row>
    <row r="231">
      <c r="D231" s="64"/>
      <c r="E231" s="43"/>
      <c r="F231" s="43"/>
      <c r="G231" s="43"/>
      <c r="H231" s="43"/>
      <c r="I231" s="43"/>
      <c r="J231" s="43"/>
      <c r="K231" s="43"/>
      <c r="L231" s="43"/>
      <c r="M231" s="43"/>
      <c r="N231" s="43"/>
    </row>
    <row r="232">
      <c r="D232" s="64"/>
      <c r="E232" s="43"/>
      <c r="F232" s="43"/>
      <c r="G232" s="43"/>
      <c r="H232" s="43"/>
      <c r="I232" s="43"/>
      <c r="J232" s="43"/>
      <c r="K232" s="43"/>
      <c r="L232" s="43"/>
      <c r="M232" s="43"/>
      <c r="N232" s="43"/>
    </row>
    <row r="233">
      <c r="D233" s="64"/>
      <c r="E233" s="43"/>
      <c r="F233" s="43"/>
      <c r="G233" s="43"/>
      <c r="H233" s="43"/>
      <c r="I233" s="43"/>
      <c r="J233" s="43"/>
      <c r="K233" s="43"/>
      <c r="L233" s="43"/>
      <c r="M233" s="43"/>
      <c r="N233" s="43"/>
    </row>
    <row r="234">
      <c r="D234" s="64"/>
      <c r="E234" s="43"/>
      <c r="F234" s="43"/>
      <c r="G234" s="43"/>
      <c r="H234" s="43"/>
      <c r="I234" s="43"/>
      <c r="J234" s="43"/>
      <c r="K234" s="43"/>
      <c r="L234" s="43"/>
      <c r="M234" s="43"/>
      <c r="N234" s="43"/>
    </row>
    <row r="235">
      <c r="D235" s="64"/>
      <c r="E235" s="43"/>
      <c r="F235" s="43"/>
      <c r="G235" s="43"/>
      <c r="H235" s="43"/>
      <c r="I235" s="43"/>
      <c r="J235" s="43"/>
      <c r="K235" s="43"/>
      <c r="L235" s="43"/>
      <c r="M235" s="43"/>
      <c r="N235" s="43"/>
    </row>
    <row r="236">
      <c r="D236" s="64"/>
      <c r="E236" s="43"/>
      <c r="F236" s="43"/>
      <c r="G236" s="43"/>
      <c r="H236" s="43"/>
      <c r="I236" s="43"/>
      <c r="J236" s="43"/>
      <c r="K236" s="43"/>
      <c r="L236" s="43"/>
      <c r="M236" s="43"/>
      <c r="N236" s="43"/>
    </row>
    <row r="237">
      <c r="D237" s="64"/>
      <c r="E237" s="43"/>
      <c r="F237" s="43"/>
      <c r="G237" s="43"/>
      <c r="H237" s="43"/>
      <c r="I237" s="43"/>
      <c r="J237" s="43"/>
      <c r="K237" s="43"/>
      <c r="L237" s="43"/>
      <c r="M237" s="43"/>
      <c r="N237" s="43"/>
    </row>
    <row r="238">
      <c r="D238" s="64"/>
      <c r="E238" s="43"/>
      <c r="F238" s="43"/>
      <c r="G238" s="43"/>
      <c r="H238" s="43"/>
      <c r="I238" s="43"/>
      <c r="J238" s="43"/>
      <c r="K238" s="43"/>
      <c r="L238" s="43"/>
      <c r="M238" s="43"/>
      <c r="N238" s="43"/>
    </row>
    <row r="239">
      <c r="D239" s="64"/>
      <c r="E239" s="43"/>
      <c r="F239" s="43"/>
      <c r="G239" s="43"/>
      <c r="H239" s="43"/>
      <c r="I239" s="43"/>
      <c r="J239" s="43"/>
      <c r="K239" s="43"/>
      <c r="L239" s="43"/>
      <c r="M239" s="43"/>
      <c r="N239" s="43"/>
    </row>
    <row r="240">
      <c r="D240" s="64"/>
      <c r="E240" s="43"/>
      <c r="F240" s="43"/>
      <c r="G240" s="43"/>
      <c r="H240" s="43"/>
      <c r="I240" s="43"/>
      <c r="J240" s="43"/>
      <c r="K240" s="43"/>
      <c r="L240" s="43"/>
      <c r="M240" s="43"/>
      <c r="N240" s="43"/>
    </row>
    <row r="241">
      <c r="D241" s="64"/>
      <c r="E241" s="43"/>
      <c r="F241" s="43"/>
      <c r="G241" s="43"/>
      <c r="H241" s="43"/>
      <c r="I241" s="43"/>
      <c r="J241" s="43"/>
      <c r="K241" s="43"/>
      <c r="L241" s="43"/>
      <c r="M241" s="43"/>
      <c r="N241" s="43"/>
    </row>
    <row r="242">
      <c r="D242" s="64"/>
      <c r="E242" s="43"/>
      <c r="F242" s="43"/>
      <c r="G242" s="43"/>
      <c r="H242" s="43"/>
      <c r="I242" s="43"/>
      <c r="J242" s="43"/>
      <c r="K242" s="43"/>
      <c r="L242" s="43"/>
      <c r="M242" s="43"/>
      <c r="N242" s="43"/>
    </row>
    <row r="243">
      <c r="D243" s="64"/>
      <c r="E243" s="43"/>
      <c r="F243" s="43"/>
      <c r="G243" s="43"/>
      <c r="H243" s="43"/>
      <c r="I243" s="43"/>
      <c r="J243" s="43"/>
      <c r="K243" s="43"/>
      <c r="L243" s="43"/>
      <c r="M243" s="43"/>
      <c r="N243" s="43"/>
    </row>
    <row r="244">
      <c r="D244" s="64"/>
      <c r="E244" s="43"/>
      <c r="F244" s="43"/>
      <c r="G244" s="43"/>
      <c r="H244" s="43"/>
      <c r="I244" s="43"/>
      <c r="J244" s="43"/>
      <c r="K244" s="43"/>
      <c r="L244" s="43"/>
      <c r="M244" s="43"/>
      <c r="N244" s="43"/>
    </row>
    <row r="245">
      <c r="D245" s="64"/>
      <c r="E245" s="43"/>
      <c r="F245" s="43"/>
      <c r="G245" s="43"/>
      <c r="H245" s="43"/>
      <c r="I245" s="43"/>
      <c r="J245" s="43"/>
      <c r="K245" s="43"/>
      <c r="L245" s="43"/>
      <c r="M245" s="43"/>
      <c r="N245" s="43"/>
    </row>
    <row r="246">
      <c r="D246" s="64"/>
      <c r="E246" s="43"/>
      <c r="F246" s="43"/>
      <c r="G246" s="43"/>
      <c r="H246" s="43"/>
      <c r="I246" s="43"/>
      <c r="J246" s="43"/>
      <c r="K246" s="43"/>
      <c r="L246" s="43"/>
      <c r="M246" s="43"/>
      <c r="N246" s="43"/>
    </row>
    <row r="247">
      <c r="D247" s="64"/>
      <c r="E247" s="43"/>
      <c r="F247" s="43"/>
      <c r="G247" s="43"/>
      <c r="H247" s="43"/>
      <c r="I247" s="43"/>
      <c r="J247" s="43"/>
      <c r="K247" s="43"/>
      <c r="L247" s="43"/>
      <c r="M247" s="43"/>
      <c r="N247" s="43"/>
    </row>
    <row r="248">
      <c r="D248" s="64"/>
      <c r="E248" s="43"/>
      <c r="F248" s="43"/>
      <c r="G248" s="43"/>
      <c r="H248" s="43"/>
      <c r="I248" s="43"/>
      <c r="J248" s="43"/>
      <c r="K248" s="43"/>
      <c r="L248" s="43"/>
      <c r="M248" s="43"/>
      <c r="N248" s="43"/>
    </row>
    <row r="249">
      <c r="D249" s="64"/>
      <c r="E249" s="43"/>
      <c r="F249" s="43"/>
      <c r="G249" s="43"/>
      <c r="H249" s="43"/>
      <c r="I249" s="43"/>
      <c r="J249" s="43"/>
      <c r="K249" s="43"/>
      <c r="L249" s="43"/>
      <c r="M249" s="43"/>
      <c r="N249" s="43"/>
    </row>
    <row r="250">
      <c r="D250" s="64"/>
      <c r="E250" s="43"/>
      <c r="F250" s="43"/>
      <c r="G250" s="43"/>
      <c r="H250" s="43"/>
      <c r="I250" s="43"/>
      <c r="J250" s="43"/>
      <c r="K250" s="43"/>
      <c r="L250" s="43"/>
      <c r="M250" s="43"/>
      <c r="N250" s="43"/>
    </row>
    <row r="251">
      <c r="D251" s="64"/>
      <c r="E251" s="43"/>
      <c r="F251" s="43"/>
      <c r="G251" s="43"/>
      <c r="H251" s="43"/>
      <c r="I251" s="43"/>
      <c r="J251" s="43"/>
      <c r="K251" s="43"/>
      <c r="L251" s="43"/>
      <c r="M251" s="43"/>
      <c r="N251" s="43"/>
    </row>
    <row r="252">
      <c r="D252" s="64"/>
      <c r="E252" s="43"/>
      <c r="F252" s="43"/>
      <c r="G252" s="43"/>
      <c r="H252" s="43"/>
      <c r="I252" s="43"/>
      <c r="J252" s="43"/>
      <c r="K252" s="43"/>
      <c r="L252" s="43"/>
      <c r="M252" s="43"/>
      <c r="N252" s="43"/>
    </row>
    <row r="253">
      <c r="D253" s="64"/>
      <c r="E253" s="43"/>
      <c r="F253" s="43"/>
      <c r="G253" s="43"/>
      <c r="H253" s="43"/>
      <c r="I253" s="43"/>
      <c r="J253" s="43"/>
      <c r="K253" s="43"/>
      <c r="L253" s="43"/>
      <c r="M253" s="43"/>
      <c r="N253" s="43"/>
    </row>
    <row r="254">
      <c r="D254" s="64"/>
      <c r="E254" s="43"/>
      <c r="F254" s="43"/>
      <c r="G254" s="43"/>
      <c r="H254" s="43"/>
      <c r="I254" s="43"/>
      <c r="J254" s="43"/>
      <c r="K254" s="43"/>
      <c r="L254" s="43"/>
      <c r="M254" s="43"/>
      <c r="N254" s="43"/>
    </row>
    <row r="255">
      <c r="D255" s="64"/>
      <c r="E255" s="43"/>
      <c r="F255" s="43"/>
      <c r="G255" s="43"/>
      <c r="H255" s="43"/>
      <c r="I255" s="43"/>
      <c r="J255" s="43"/>
      <c r="K255" s="43"/>
      <c r="L255" s="43"/>
      <c r="M255" s="43"/>
      <c r="N255" s="43"/>
    </row>
    <row r="256">
      <c r="D256" s="64"/>
      <c r="E256" s="43"/>
      <c r="F256" s="43"/>
      <c r="G256" s="43"/>
      <c r="H256" s="43"/>
      <c r="I256" s="43"/>
      <c r="J256" s="43"/>
      <c r="K256" s="43"/>
      <c r="L256" s="43"/>
      <c r="M256" s="43"/>
      <c r="N256" s="43"/>
    </row>
    <row r="257">
      <c r="D257" s="64"/>
      <c r="E257" s="43"/>
      <c r="F257" s="43"/>
      <c r="G257" s="43"/>
      <c r="H257" s="43"/>
      <c r="I257" s="43"/>
      <c r="J257" s="43"/>
      <c r="K257" s="43"/>
      <c r="L257" s="43"/>
      <c r="M257" s="43"/>
      <c r="N257" s="43"/>
    </row>
    <row r="258">
      <c r="D258" s="64"/>
      <c r="E258" s="43"/>
      <c r="F258" s="43"/>
      <c r="G258" s="43"/>
      <c r="H258" s="43"/>
      <c r="I258" s="43"/>
      <c r="J258" s="43"/>
      <c r="K258" s="43"/>
      <c r="L258" s="43"/>
      <c r="M258" s="43"/>
      <c r="N258" s="43"/>
    </row>
    <row r="259">
      <c r="D259" s="64"/>
      <c r="E259" s="43"/>
      <c r="F259" s="43"/>
      <c r="G259" s="43"/>
      <c r="H259" s="43"/>
      <c r="I259" s="43"/>
      <c r="J259" s="43"/>
      <c r="K259" s="43"/>
      <c r="L259" s="43"/>
      <c r="M259" s="43"/>
      <c r="N259" s="43"/>
    </row>
    <row r="260">
      <c r="D260" s="64"/>
      <c r="E260" s="43"/>
      <c r="F260" s="43"/>
      <c r="G260" s="43"/>
      <c r="H260" s="43"/>
      <c r="I260" s="43"/>
      <c r="J260" s="43"/>
      <c r="K260" s="43"/>
      <c r="L260" s="43"/>
      <c r="M260" s="43"/>
      <c r="N260" s="43"/>
    </row>
    <row r="261">
      <c r="D261" s="64"/>
      <c r="E261" s="43"/>
      <c r="F261" s="43"/>
      <c r="G261" s="43"/>
      <c r="H261" s="43"/>
      <c r="I261" s="43"/>
      <c r="J261" s="43"/>
      <c r="K261" s="43"/>
      <c r="L261" s="43"/>
      <c r="M261" s="43"/>
      <c r="N261" s="43"/>
    </row>
    <row r="262">
      <c r="D262" s="64"/>
      <c r="E262" s="43"/>
      <c r="F262" s="43"/>
      <c r="G262" s="43"/>
      <c r="H262" s="43"/>
      <c r="I262" s="43"/>
      <c r="J262" s="43"/>
      <c r="K262" s="43"/>
      <c r="L262" s="43"/>
      <c r="M262" s="43"/>
      <c r="N262" s="43"/>
    </row>
    <row r="263">
      <c r="D263" s="64"/>
      <c r="E263" s="43"/>
      <c r="F263" s="43"/>
      <c r="G263" s="43"/>
      <c r="H263" s="43"/>
      <c r="I263" s="43"/>
      <c r="J263" s="43"/>
      <c r="K263" s="43"/>
      <c r="L263" s="43"/>
      <c r="M263" s="43"/>
      <c r="N263" s="43"/>
    </row>
    <row r="264">
      <c r="D264" s="64"/>
      <c r="E264" s="43"/>
      <c r="F264" s="43"/>
      <c r="G264" s="43"/>
      <c r="H264" s="43"/>
      <c r="I264" s="43"/>
      <c r="J264" s="43"/>
      <c r="K264" s="43"/>
      <c r="L264" s="43"/>
      <c r="M264" s="43"/>
      <c r="N264" s="43"/>
    </row>
    <row r="265">
      <c r="D265" s="64"/>
      <c r="E265" s="43"/>
      <c r="F265" s="43"/>
      <c r="G265" s="43"/>
      <c r="H265" s="43"/>
      <c r="I265" s="43"/>
      <c r="J265" s="43"/>
      <c r="K265" s="43"/>
      <c r="L265" s="43"/>
      <c r="M265" s="43"/>
      <c r="N265" s="43"/>
    </row>
    <row r="266">
      <c r="D266" s="64"/>
      <c r="E266" s="43"/>
      <c r="F266" s="43"/>
      <c r="G266" s="43"/>
      <c r="H266" s="43"/>
      <c r="I266" s="43"/>
      <c r="J266" s="43"/>
      <c r="K266" s="43"/>
      <c r="L266" s="43"/>
      <c r="M266" s="43"/>
      <c r="N266" s="43"/>
    </row>
    <row r="267">
      <c r="D267" s="64"/>
      <c r="E267" s="43"/>
      <c r="F267" s="43"/>
      <c r="G267" s="43"/>
      <c r="H267" s="43"/>
      <c r="I267" s="43"/>
      <c r="J267" s="43"/>
      <c r="K267" s="43"/>
      <c r="L267" s="43"/>
      <c r="M267" s="43"/>
      <c r="N267" s="43"/>
    </row>
    <row r="268">
      <c r="D268" s="64"/>
      <c r="E268" s="43"/>
      <c r="F268" s="43"/>
      <c r="G268" s="43"/>
      <c r="H268" s="43"/>
      <c r="I268" s="43"/>
      <c r="J268" s="43"/>
      <c r="K268" s="43"/>
      <c r="L268" s="43"/>
      <c r="M268" s="43"/>
      <c r="N268" s="43"/>
    </row>
    <row r="269">
      <c r="D269" s="64"/>
      <c r="E269" s="43"/>
      <c r="F269" s="43"/>
      <c r="G269" s="43"/>
      <c r="H269" s="43"/>
      <c r="I269" s="43"/>
      <c r="J269" s="43"/>
      <c r="K269" s="43"/>
      <c r="L269" s="43"/>
      <c r="M269" s="43"/>
      <c r="N269" s="43"/>
    </row>
    <row r="270">
      <c r="D270" s="64"/>
      <c r="E270" s="43"/>
      <c r="F270" s="43"/>
      <c r="G270" s="43"/>
      <c r="H270" s="43"/>
      <c r="I270" s="43"/>
      <c r="J270" s="43"/>
      <c r="K270" s="43"/>
      <c r="L270" s="43"/>
      <c r="M270" s="43"/>
      <c r="N270" s="43"/>
    </row>
    <row r="271">
      <c r="D271" s="64"/>
      <c r="E271" s="43"/>
      <c r="F271" s="43"/>
      <c r="G271" s="43"/>
      <c r="H271" s="43"/>
      <c r="I271" s="43"/>
      <c r="J271" s="43"/>
      <c r="K271" s="43"/>
      <c r="L271" s="43"/>
      <c r="M271" s="43"/>
      <c r="N271" s="43"/>
    </row>
    <row r="272">
      <c r="D272" s="64"/>
      <c r="E272" s="43"/>
      <c r="F272" s="43"/>
      <c r="G272" s="43"/>
      <c r="H272" s="43"/>
      <c r="I272" s="43"/>
      <c r="J272" s="43"/>
      <c r="K272" s="43"/>
      <c r="L272" s="43"/>
      <c r="M272" s="43"/>
      <c r="N272" s="43"/>
    </row>
    <row r="273">
      <c r="D273" s="64"/>
      <c r="E273" s="43"/>
      <c r="F273" s="43"/>
      <c r="G273" s="43"/>
      <c r="H273" s="43"/>
      <c r="I273" s="43"/>
      <c r="J273" s="43"/>
      <c r="K273" s="43"/>
      <c r="L273" s="43"/>
      <c r="M273" s="43"/>
      <c r="N273" s="43"/>
    </row>
    <row r="274">
      <c r="D274" s="64"/>
      <c r="E274" s="43"/>
      <c r="F274" s="43"/>
      <c r="G274" s="43"/>
      <c r="H274" s="43"/>
      <c r="I274" s="43"/>
      <c r="J274" s="43"/>
      <c r="K274" s="43"/>
      <c r="L274" s="43"/>
      <c r="M274" s="43"/>
      <c r="N274" s="43"/>
    </row>
    <row r="275">
      <c r="D275" s="64"/>
      <c r="E275" s="43"/>
      <c r="F275" s="43"/>
      <c r="G275" s="43"/>
      <c r="H275" s="43"/>
      <c r="I275" s="43"/>
      <c r="J275" s="43"/>
      <c r="K275" s="43"/>
      <c r="L275" s="43"/>
      <c r="M275" s="43"/>
      <c r="N275" s="43"/>
    </row>
    <row r="276">
      <c r="D276" s="64"/>
      <c r="E276" s="43"/>
      <c r="F276" s="43"/>
      <c r="G276" s="43"/>
      <c r="H276" s="43"/>
      <c r="I276" s="43"/>
      <c r="J276" s="43"/>
      <c r="K276" s="43"/>
      <c r="L276" s="43"/>
      <c r="M276" s="43"/>
      <c r="N276" s="43"/>
    </row>
    <row r="277">
      <c r="D277" s="64"/>
      <c r="E277" s="43"/>
      <c r="F277" s="43"/>
      <c r="G277" s="43"/>
      <c r="H277" s="43"/>
      <c r="I277" s="43"/>
      <c r="J277" s="43"/>
      <c r="K277" s="43"/>
      <c r="L277" s="43"/>
      <c r="M277" s="43"/>
      <c r="N277" s="43"/>
    </row>
    <row r="278">
      <c r="D278" s="64"/>
      <c r="E278" s="43"/>
      <c r="F278" s="43"/>
      <c r="G278" s="43"/>
      <c r="H278" s="43"/>
      <c r="I278" s="43"/>
      <c r="J278" s="43"/>
      <c r="K278" s="43"/>
      <c r="L278" s="43"/>
      <c r="M278" s="43"/>
      <c r="N278" s="43"/>
    </row>
    <row r="279">
      <c r="D279" s="64"/>
      <c r="E279" s="43"/>
      <c r="F279" s="43"/>
      <c r="G279" s="43"/>
      <c r="H279" s="43"/>
      <c r="I279" s="43"/>
      <c r="J279" s="43"/>
      <c r="K279" s="43"/>
      <c r="L279" s="43"/>
      <c r="M279" s="43"/>
      <c r="N279" s="43"/>
    </row>
    <row r="280">
      <c r="D280" s="64"/>
      <c r="E280" s="43"/>
      <c r="F280" s="43"/>
      <c r="G280" s="43"/>
      <c r="H280" s="43"/>
      <c r="I280" s="43"/>
      <c r="J280" s="43"/>
      <c r="K280" s="43"/>
      <c r="L280" s="43"/>
      <c r="M280" s="43"/>
      <c r="N280" s="43"/>
    </row>
    <row r="281">
      <c r="D281" s="64"/>
      <c r="E281" s="43"/>
      <c r="F281" s="43"/>
      <c r="G281" s="43"/>
      <c r="H281" s="43"/>
      <c r="I281" s="43"/>
      <c r="J281" s="43"/>
      <c r="K281" s="43"/>
      <c r="L281" s="43"/>
      <c r="M281" s="43"/>
      <c r="N281" s="43"/>
    </row>
    <row r="282">
      <c r="D282" s="64"/>
      <c r="E282" s="43"/>
      <c r="F282" s="43"/>
      <c r="G282" s="43"/>
      <c r="H282" s="43"/>
      <c r="I282" s="43"/>
      <c r="J282" s="43"/>
      <c r="K282" s="43"/>
      <c r="L282" s="43"/>
      <c r="M282" s="43"/>
      <c r="N282" s="43"/>
    </row>
    <row r="283">
      <c r="D283" s="64"/>
      <c r="E283" s="43"/>
      <c r="F283" s="43"/>
      <c r="G283" s="43"/>
      <c r="H283" s="43"/>
      <c r="I283" s="43"/>
      <c r="J283" s="43"/>
      <c r="K283" s="43"/>
      <c r="L283" s="43"/>
      <c r="M283" s="43"/>
      <c r="N283" s="43"/>
    </row>
    <row r="284">
      <c r="D284" s="64"/>
      <c r="E284" s="43"/>
      <c r="F284" s="43"/>
      <c r="G284" s="43"/>
      <c r="H284" s="43"/>
      <c r="I284" s="43"/>
      <c r="J284" s="43"/>
      <c r="K284" s="43"/>
      <c r="L284" s="43"/>
      <c r="M284" s="43"/>
      <c r="N284" s="43"/>
    </row>
    <row r="285">
      <c r="D285" s="64"/>
      <c r="E285" s="43"/>
      <c r="F285" s="43"/>
      <c r="G285" s="43"/>
      <c r="H285" s="43"/>
      <c r="I285" s="43"/>
      <c r="J285" s="43"/>
      <c r="K285" s="43"/>
      <c r="L285" s="43"/>
      <c r="M285" s="43"/>
      <c r="N285" s="43"/>
    </row>
    <row r="286">
      <c r="D286" s="64"/>
      <c r="E286" s="43"/>
      <c r="F286" s="43"/>
      <c r="G286" s="43"/>
      <c r="H286" s="43"/>
      <c r="I286" s="43"/>
      <c r="J286" s="43"/>
      <c r="K286" s="43"/>
      <c r="L286" s="43"/>
      <c r="M286" s="43"/>
      <c r="N286" s="43"/>
    </row>
    <row r="287">
      <c r="D287" s="64"/>
      <c r="E287" s="43"/>
      <c r="F287" s="43"/>
      <c r="G287" s="43"/>
      <c r="H287" s="43"/>
      <c r="I287" s="43"/>
      <c r="J287" s="43"/>
      <c r="K287" s="43"/>
      <c r="L287" s="43"/>
      <c r="M287" s="43"/>
      <c r="N287" s="43"/>
    </row>
    <row r="288">
      <c r="D288" s="64"/>
      <c r="E288" s="43"/>
      <c r="F288" s="43"/>
      <c r="G288" s="43"/>
      <c r="H288" s="43"/>
      <c r="I288" s="43"/>
      <c r="J288" s="43"/>
      <c r="K288" s="43"/>
      <c r="L288" s="43"/>
      <c r="M288" s="43"/>
      <c r="N288" s="43"/>
    </row>
    <row r="289">
      <c r="D289" s="64"/>
      <c r="E289" s="43"/>
      <c r="F289" s="43"/>
      <c r="G289" s="43"/>
      <c r="H289" s="43"/>
      <c r="I289" s="43"/>
      <c r="J289" s="43"/>
      <c r="K289" s="43"/>
      <c r="L289" s="43"/>
      <c r="M289" s="43"/>
      <c r="N289" s="43"/>
    </row>
    <row r="290">
      <c r="D290" s="64"/>
      <c r="E290" s="43"/>
      <c r="F290" s="43"/>
      <c r="G290" s="43"/>
      <c r="H290" s="43"/>
      <c r="I290" s="43"/>
      <c r="J290" s="43"/>
      <c r="K290" s="43"/>
      <c r="L290" s="43"/>
      <c r="M290" s="43"/>
      <c r="N290" s="43"/>
    </row>
    <row r="291">
      <c r="D291" s="64"/>
      <c r="E291" s="43"/>
      <c r="F291" s="43"/>
      <c r="G291" s="43"/>
      <c r="H291" s="43"/>
      <c r="I291" s="43"/>
      <c r="J291" s="43"/>
      <c r="K291" s="43"/>
      <c r="L291" s="43"/>
      <c r="M291" s="43"/>
      <c r="N291" s="43"/>
    </row>
    <row r="292">
      <c r="D292" s="64"/>
      <c r="E292" s="43"/>
      <c r="F292" s="43"/>
      <c r="G292" s="43"/>
      <c r="H292" s="43"/>
      <c r="I292" s="43"/>
      <c r="J292" s="43"/>
      <c r="K292" s="43"/>
      <c r="L292" s="43"/>
      <c r="M292" s="43"/>
      <c r="N292" s="43"/>
    </row>
    <row r="293">
      <c r="D293" s="64"/>
      <c r="E293" s="43"/>
      <c r="F293" s="43"/>
      <c r="G293" s="43"/>
      <c r="H293" s="43"/>
      <c r="I293" s="43"/>
      <c r="J293" s="43"/>
      <c r="K293" s="43"/>
      <c r="L293" s="43"/>
      <c r="M293" s="43"/>
      <c r="N293" s="43"/>
    </row>
    <row r="294">
      <c r="D294" s="64"/>
      <c r="E294" s="43"/>
      <c r="F294" s="43"/>
      <c r="G294" s="43"/>
      <c r="H294" s="43"/>
      <c r="I294" s="43"/>
      <c r="J294" s="43"/>
      <c r="K294" s="43"/>
      <c r="L294" s="43"/>
      <c r="M294" s="43"/>
      <c r="N294" s="43"/>
    </row>
    <row r="295">
      <c r="D295" s="64"/>
      <c r="E295" s="43"/>
      <c r="F295" s="43"/>
      <c r="G295" s="43"/>
      <c r="H295" s="43"/>
      <c r="I295" s="43"/>
      <c r="J295" s="43"/>
      <c r="K295" s="43"/>
      <c r="L295" s="43"/>
      <c r="M295" s="43"/>
      <c r="N295" s="43"/>
    </row>
    <row r="296">
      <c r="D296" s="64"/>
      <c r="E296" s="43"/>
      <c r="F296" s="43"/>
      <c r="G296" s="43"/>
      <c r="H296" s="43"/>
      <c r="I296" s="43"/>
      <c r="J296" s="43"/>
      <c r="K296" s="43"/>
      <c r="L296" s="43"/>
      <c r="M296" s="43"/>
      <c r="N296" s="43"/>
    </row>
    <row r="297">
      <c r="D297" s="64"/>
      <c r="E297" s="43"/>
      <c r="F297" s="43"/>
      <c r="G297" s="43"/>
      <c r="H297" s="43"/>
      <c r="I297" s="43"/>
      <c r="J297" s="43"/>
      <c r="K297" s="43"/>
      <c r="L297" s="43"/>
      <c r="M297" s="43"/>
      <c r="N297" s="43"/>
    </row>
    <row r="298">
      <c r="D298" s="64"/>
      <c r="E298" s="43"/>
      <c r="F298" s="43"/>
      <c r="G298" s="43"/>
      <c r="H298" s="43"/>
      <c r="I298" s="43"/>
      <c r="J298" s="43"/>
      <c r="K298" s="43"/>
      <c r="L298" s="43"/>
      <c r="M298" s="43"/>
      <c r="N298" s="43"/>
    </row>
    <row r="299">
      <c r="D299" s="64"/>
      <c r="E299" s="43"/>
      <c r="F299" s="43"/>
      <c r="G299" s="43"/>
      <c r="H299" s="43"/>
      <c r="I299" s="43"/>
      <c r="J299" s="43"/>
      <c r="K299" s="43"/>
      <c r="L299" s="43"/>
      <c r="M299" s="43"/>
      <c r="N299" s="43"/>
    </row>
    <row r="300">
      <c r="D300" s="64"/>
      <c r="E300" s="43"/>
      <c r="F300" s="43"/>
      <c r="G300" s="43"/>
      <c r="H300" s="43"/>
      <c r="I300" s="43"/>
      <c r="J300" s="43"/>
      <c r="K300" s="43"/>
      <c r="L300" s="43"/>
      <c r="M300" s="43"/>
      <c r="N300" s="43"/>
    </row>
    <row r="301">
      <c r="D301" s="64"/>
      <c r="E301" s="43"/>
      <c r="F301" s="43"/>
      <c r="G301" s="43"/>
      <c r="H301" s="43"/>
      <c r="I301" s="43"/>
      <c r="J301" s="43"/>
      <c r="K301" s="43"/>
      <c r="L301" s="43"/>
      <c r="M301" s="43"/>
      <c r="N301" s="43"/>
    </row>
    <row r="302">
      <c r="D302" s="64"/>
      <c r="E302" s="43"/>
      <c r="F302" s="43"/>
      <c r="G302" s="43"/>
      <c r="H302" s="43"/>
      <c r="I302" s="43"/>
      <c r="J302" s="43"/>
      <c r="K302" s="43"/>
      <c r="L302" s="43"/>
      <c r="M302" s="43"/>
      <c r="N302" s="43"/>
    </row>
    <row r="303">
      <c r="D303" s="64"/>
      <c r="E303" s="43"/>
      <c r="F303" s="43"/>
      <c r="G303" s="43"/>
      <c r="H303" s="43"/>
      <c r="I303" s="43"/>
      <c r="J303" s="43"/>
      <c r="K303" s="43"/>
      <c r="L303" s="43"/>
      <c r="M303" s="43"/>
      <c r="N303" s="43"/>
    </row>
    <row r="304">
      <c r="D304" s="64"/>
      <c r="E304" s="43"/>
      <c r="F304" s="43"/>
      <c r="G304" s="43"/>
      <c r="H304" s="43"/>
      <c r="I304" s="43"/>
      <c r="J304" s="43"/>
      <c r="K304" s="43"/>
      <c r="L304" s="43"/>
      <c r="M304" s="43"/>
      <c r="N304" s="43"/>
    </row>
    <row r="305">
      <c r="D305" s="64"/>
      <c r="E305" s="43"/>
      <c r="F305" s="43"/>
      <c r="G305" s="43"/>
      <c r="H305" s="43"/>
      <c r="I305" s="43"/>
      <c r="J305" s="43"/>
      <c r="K305" s="43"/>
      <c r="L305" s="43"/>
      <c r="M305" s="43"/>
      <c r="N305" s="43"/>
    </row>
    <row r="306">
      <c r="D306" s="64"/>
      <c r="E306" s="43"/>
      <c r="F306" s="43"/>
      <c r="G306" s="43"/>
      <c r="H306" s="43"/>
      <c r="I306" s="43"/>
      <c r="J306" s="43"/>
      <c r="K306" s="43"/>
      <c r="L306" s="43"/>
      <c r="M306" s="43"/>
      <c r="N306" s="43"/>
    </row>
    <row r="307">
      <c r="D307" s="64"/>
      <c r="E307" s="43"/>
      <c r="F307" s="43"/>
      <c r="G307" s="43"/>
      <c r="H307" s="43"/>
      <c r="I307" s="43"/>
      <c r="J307" s="43"/>
      <c r="K307" s="43"/>
      <c r="L307" s="43"/>
      <c r="M307" s="43"/>
      <c r="N307" s="43"/>
    </row>
    <row r="308">
      <c r="D308" s="64"/>
      <c r="E308" s="43"/>
      <c r="F308" s="43"/>
      <c r="G308" s="43"/>
      <c r="H308" s="43"/>
      <c r="I308" s="43"/>
      <c r="J308" s="43"/>
      <c r="K308" s="43"/>
      <c r="L308" s="43"/>
      <c r="M308" s="43"/>
      <c r="N308" s="43"/>
    </row>
    <row r="309">
      <c r="D309" s="64"/>
      <c r="E309" s="43"/>
      <c r="F309" s="43"/>
      <c r="G309" s="43"/>
      <c r="H309" s="43"/>
      <c r="I309" s="43"/>
      <c r="J309" s="43"/>
      <c r="K309" s="43"/>
      <c r="L309" s="43"/>
      <c r="M309" s="43"/>
      <c r="N309" s="43"/>
    </row>
    <row r="310">
      <c r="D310" s="64"/>
      <c r="E310" s="43"/>
      <c r="F310" s="43"/>
      <c r="G310" s="43"/>
      <c r="H310" s="43"/>
      <c r="I310" s="43"/>
      <c r="J310" s="43"/>
      <c r="K310" s="43"/>
      <c r="L310" s="43"/>
      <c r="M310" s="43"/>
      <c r="N310" s="43"/>
    </row>
    <row r="311">
      <c r="D311" s="64"/>
      <c r="E311" s="43"/>
      <c r="F311" s="43"/>
      <c r="G311" s="43"/>
      <c r="H311" s="43"/>
      <c r="I311" s="43"/>
      <c r="J311" s="43"/>
      <c r="K311" s="43"/>
      <c r="L311" s="43"/>
      <c r="M311" s="43"/>
      <c r="N311" s="43"/>
    </row>
    <row r="312">
      <c r="D312" s="64"/>
      <c r="E312" s="43"/>
      <c r="F312" s="43"/>
      <c r="G312" s="43"/>
      <c r="H312" s="43"/>
      <c r="I312" s="43"/>
      <c r="J312" s="43"/>
      <c r="K312" s="43"/>
      <c r="L312" s="43"/>
      <c r="M312" s="43"/>
      <c r="N312" s="43"/>
    </row>
    <row r="313">
      <c r="D313" s="64"/>
      <c r="E313" s="43"/>
      <c r="F313" s="43"/>
      <c r="G313" s="43"/>
      <c r="H313" s="43"/>
      <c r="I313" s="43"/>
      <c r="J313" s="43"/>
      <c r="K313" s="43"/>
      <c r="L313" s="43"/>
      <c r="M313" s="43"/>
      <c r="N313" s="43"/>
    </row>
    <row r="314">
      <c r="D314" s="64"/>
      <c r="E314" s="43"/>
      <c r="F314" s="43"/>
      <c r="G314" s="43"/>
      <c r="H314" s="43"/>
      <c r="I314" s="43"/>
      <c r="J314" s="43"/>
      <c r="K314" s="43"/>
      <c r="L314" s="43"/>
      <c r="M314" s="43"/>
      <c r="N314" s="43"/>
    </row>
    <row r="315">
      <c r="D315" s="64"/>
      <c r="E315" s="43"/>
      <c r="F315" s="43"/>
      <c r="G315" s="43"/>
      <c r="H315" s="43"/>
      <c r="I315" s="43"/>
      <c r="J315" s="43"/>
      <c r="K315" s="43"/>
      <c r="L315" s="43"/>
      <c r="M315" s="43"/>
      <c r="N315" s="43"/>
    </row>
    <row r="316">
      <c r="D316" s="64"/>
      <c r="E316" s="43"/>
      <c r="F316" s="43"/>
      <c r="G316" s="43"/>
      <c r="H316" s="43"/>
      <c r="I316" s="43"/>
      <c r="J316" s="43"/>
      <c r="K316" s="43"/>
      <c r="L316" s="43"/>
      <c r="M316" s="43"/>
      <c r="N316" s="43"/>
    </row>
    <row r="317">
      <c r="D317" s="64"/>
      <c r="E317" s="43"/>
      <c r="F317" s="43"/>
      <c r="G317" s="43"/>
      <c r="H317" s="43"/>
      <c r="I317" s="43"/>
      <c r="J317" s="43"/>
      <c r="K317" s="43"/>
      <c r="L317" s="43"/>
      <c r="M317" s="43"/>
      <c r="N317" s="43"/>
    </row>
    <row r="318">
      <c r="D318" s="64"/>
      <c r="E318" s="43"/>
      <c r="F318" s="43"/>
      <c r="G318" s="43"/>
      <c r="H318" s="43"/>
      <c r="I318" s="43"/>
      <c r="J318" s="43"/>
      <c r="K318" s="43"/>
      <c r="L318" s="43"/>
      <c r="M318" s="43"/>
      <c r="N318" s="43"/>
    </row>
    <row r="319">
      <c r="D319" s="64"/>
      <c r="E319" s="43"/>
      <c r="F319" s="43"/>
      <c r="G319" s="43"/>
      <c r="H319" s="43"/>
      <c r="I319" s="43"/>
      <c r="J319" s="43"/>
      <c r="K319" s="43"/>
      <c r="L319" s="43"/>
      <c r="M319" s="43"/>
      <c r="N319" s="43"/>
    </row>
    <row r="320">
      <c r="D320" s="64"/>
      <c r="E320" s="43"/>
      <c r="F320" s="43"/>
      <c r="G320" s="43"/>
      <c r="H320" s="43"/>
      <c r="I320" s="43"/>
      <c r="J320" s="43"/>
      <c r="K320" s="43"/>
      <c r="L320" s="43"/>
      <c r="M320" s="43"/>
      <c r="N320" s="43"/>
    </row>
    <row r="321">
      <c r="D321" s="64"/>
      <c r="E321" s="43"/>
      <c r="F321" s="43"/>
      <c r="G321" s="43"/>
      <c r="H321" s="43"/>
      <c r="I321" s="43"/>
      <c r="J321" s="43"/>
      <c r="K321" s="43"/>
      <c r="L321" s="43"/>
      <c r="M321" s="43"/>
      <c r="N321" s="43"/>
    </row>
    <row r="322">
      <c r="D322" s="64"/>
      <c r="E322" s="43"/>
      <c r="F322" s="43"/>
      <c r="G322" s="43"/>
      <c r="H322" s="43"/>
      <c r="I322" s="43"/>
      <c r="J322" s="43"/>
      <c r="K322" s="43"/>
      <c r="L322" s="43"/>
      <c r="M322" s="43"/>
      <c r="N322" s="43"/>
    </row>
    <row r="323">
      <c r="D323" s="64"/>
      <c r="E323" s="43"/>
      <c r="F323" s="43"/>
      <c r="G323" s="43"/>
      <c r="H323" s="43"/>
      <c r="I323" s="43"/>
      <c r="J323" s="43"/>
      <c r="K323" s="43"/>
      <c r="L323" s="43"/>
      <c r="M323" s="43"/>
      <c r="N323" s="43"/>
    </row>
    <row r="324">
      <c r="D324" s="64"/>
      <c r="E324" s="43"/>
      <c r="F324" s="43"/>
      <c r="G324" s="43"/>
      <c r="H324" s="43"/>
      <c r="I324" s="43"/>
      <c r="J324" s="43"/>
      <c r="K324" s="43"/>
      <c r="L324" s="43"/>
      <c r="M324" s="43"/>
      <c r="N324" s="43"/>
    </row>
    <row r="325">
      <c r="D325" s="64"/>
      <c r="E325" s="43"/>
      <c r="F325" s="43"/>
      <c r="G325" s="43"/>
      <c r="H325" s="43"/>
      <c r="I325" s="43"/>
      <c r="J325" s="43"/>
      <c r="K325" s="43"/>
      <c r="L325" s="43"/>
      <c r="M325" s="43"/>
      <c r="N325" s="43"/>
    </row>
    <row r="326">
      <c r="D326" s="64"/>
      <c r="E326" s="43"/>
      <c r="F326" s="43"/>
      <c r="G326" s="43"/>
      <c r="H326" s="43"/>
      <c r="I326" s="43"/>
      <c r="J326" s="43"/>
      <c r="K326" s="43"/>
      <c r="L326" s="43"/>
      <c r="M326" s="43"/>
      <c r="N326" s="43"/>
    </row>
    <row r="327">
      <c r="D327" s="64"/>
      <c r="E327" s="43"/>
      <c r="F327" s="43"/>
      <c r="G327" s="43"/>
      <c r="H327" s="43"/>
      <c r="I327" s="43"/>
      <c r="J327" s="43"/>
      <c r="K327" s="43"/>
      <c r="L327" s="43"/>
      <c r="M327" s="43"/>
      <c r="N327" s="43"/>
    </row>
    <row r="328">
      <c r="D328" s="64"/>
      <c r="E328" s="43"/>
      <c r="F328" s="43"/>
      <c r="G328" s="43"/>
      <c r="H328" s="43"/>
      <c r="I328" s="43"/>
      <c r="J328" s="43"/>
      <c r="K328" s="43"/>
      <c r="L328" s="43"/>
      <c r="M328" s="43"/>
      <c r="N328" s="43"/>
    </row>
    <row r="329">
      <c r="D329" s="64"/>
      <c r="E329" s="43"/>
      <c r="F329" s="43"/>
      <c r="G329" s="43"/>
      <c r="H329" s="43"/>
      <c r="I329" s="43"/>
      <c r="J329" s="43"/>
      <c r="K329" s="43"/>
      <c r="L329" s="43"/>
      <c r="M329" s="43"/>
      <c r="N329" s="43"/>
    </row>
    <row r="330">
      <c r="D330" s="64"/>
      <c r="E330" s="43"/>
      <c r="F330" s="43"/>
      <c r="G330" s="43"/>
      <c r="H330" s="43"/>
      <c r="I330" s="43"/>
      <c r="J330" s="43"/>
      <c r="K330" s="43"/>
      <c r="L330" s="43"/>
      <c r="M330" s="43"/>
      <c r="N330" s="43"/>
    </row>
    <row r="331">
      <c r="D331" s="64"/>
      <c r="E331" s="43"/>
      <c r="F331" s="43"/>
      <c r="G331" s="43"/>
      <c r="H331" s="43"/>
      <c r="I331" s="43"/>
      <c r="J331" s="43"/>
      <c r="K331" s="43"/>
      <c r="L331" s="43"/>
      <c r="M331" s="43"/>
      <c r="N331" s="43"/>
    </row>
    <row r="332">
      <c r="D332" s="64"/>
      <c r="E332" s="43"/>
      <c r="F332" s="43"/>
      <c r="G332" s="43"/>
      <c r="H332" s="43"/>
      <c r="I332" s="43"/>
      <c r="J332" s="43"/>
      <c r="K332" s="43"/>
      <c r="L332" s="43"/>
      <c r="M332" s="43"/>
      <c r="N332" s="43"/>
    </row>
    <row r="333">
      <c r="D333" s="64"/>
      <c r="E333" s="43"/>
      <c r="F333" s="43"/>
      <c r="G333" s="43"/>
      <c r="H333" s="43"/>
      <c r="I333" s="43"/>
      <c r="J333" s="43"/>
      <c r="K333" s="43"/>
      <c r="L333" s="43"/>
      <c r="M333" s="43"/>
      <c r="N333" s="43"/>
    </row>
    <row r="334">
      <c r="D334" s="64"/>
      <c r="E334" s="43"/>
      <c r="F334" s="43"/>
      <c r="G334" s="43"/>
      <c r="H334" s="43"/>
      <c r="I334" s="43"/>
      <c r="J334" s="43"/>
      <c r="K334" s="43"/>
      <c r="L334" s="43"/>
      <c r="M334" s="43"/>
      <c r="N334" s="43"/>
    </row>
    <row r="335">
      <c r="D335" s="64"/>
      <c r="E335" s="43"/>
      <c r="F335" s="43"/>
      <c r="G335" s="43"/>
      <c r="H335" s="43"/>
      <c r="I335" s="43"/>
      <c r="J335" s="43"/>
      <c r="K335" s="43"/>
      <c r="L335" s="43"/>
      <c r="M335" s="43"/>
      <c r="N335" s="43"/>
    </row>
    <row r="336">
      <c r="D336" s="64"/>
      <c r="E336" s="43"/>
      <c r="F336" s="43"/>
      <c r="G336" s="43"/>
      <c r="H336" s="43"/>
      <c r="I336" s="43"/>
      <c r="J336" s="43"/>
      <c r="K336" s="43"/>
      <c r="L336" s="43"/>
      <c r="M336" s="43"/>
      <c r="N336" s="43"/>
    </row>
    <row r="337">
      <c r="D337" s="64"/>
      <c r="E337" s="43"/>
      <c r="F337" s="43"/>
      <c r="G337" s="43"/>
      <c r="H337" s="43"/>
      <c r="I337" s="43"/>
      <c r="J337" s="43"/>
      <c r="K337" s="43"/>
      <c r="L337" s="43"/>
      <c r="M337" s="43"/>
      <c r="N337" s="43"/>
    </row>
    <row r="338">
      <c r="D338" s="64"/>
      <c r="E338" s="43"/>
      <c r="F338" s="43"/>
      <c r="G338" s="43"/>
      <c r="H338" s="43"/>
      <c r="I338" s="43"/>
      <c r="J338" s="43"/>
      <c r="K338" s="43"/>
      <c r="L338" s="43"/>
      <c r="M338" s="43"/>
      <c r="N338" s="43"/>
    </row>
    <row r="339">
      <c r="D339" s="64"/>
      <c r="E339" s="43"/>
      <c r="F339" s="43"/>
      <c r="G339" s="43"/>
      <c r="H339" s="43"/>
      <c r="I339" s="43"/>
      <c r="J339" s="43"/>
      <c r="K339" s="43"/>
      <c r="L339" s="43"/>
      <c r="M339" s="43"/>
      <c r="N339" s="43"/>
    </row>
    <row r="340">
      <c r="D340" s="64"/>
      <c r="E340" s="43"/>
      <c r="F340" s="43"/>
      <c r="G340" s="43"/>
      <c r="H340" s="43"/>
      <c r="I340" s="43"/>
      <c r="J340" s="43"/>
      <c r="K340" s="43"/>
      <c r="L340" s="43"/>
      <c r="M340" s="43"/>
      <c r="N340" s="43"/>
    </row>
    <row r="341">
      <c r="D341" s="64"/>
      <c r="E341" s="43"/>
      <c r="F341" s="43"/>
      <c r="G341" s="43"/>
      <c r="H341" s="43"/>
      <c r="I341" s="43"/>
      <c r="J341" s="43"/>
      <c r="K341" s="43"/>
      <c r="L341" s="43"/>
      <c r="M341" s="43"/>
      <c r="N341" s="43"/>
    </row>
    <row r="342">
      <c r="D342" s="64"/>
      <c r="E342" s="43"/>
      <c r="F342" s="43"/>
      <c r="G342" s="43"/>
      <c r="H342" s="43"/>
      <c r="I342" s="43"/>
      <c r="J342" s="43"/>
      <c r="K342" s="43"/>
      <c r="L342" s="43"/>
      <c r="M342" s="43"/>
      <c r="N342" s="43"/>
    </row>
    <row r="343">
      <c r="D343" s="64"/>
      <c r="E343" s="43"/>
      <c r="F343" s="43"/>
      <c r="G343" s="43"/>
      <c r="H343" s="43"/>
      <c r="I343" s="43"/>
      <c r="J343" s="43"/>
      <c r="K343" s="43"/>
      <c r="L343" s="43"/>
      <c r="M343" s="43"/>
      <c r="N343" s="43"/>
    </row>
    <row r="344">
      <c r="D344" s="64"/>
      <c r="E344" s="43"/>
      <c r="F344" s="43"/>
      <c r="G344" s="43"/>
      <c r="H344" s="43"/>
      <c r="I344" s="43"/>
      <c r="J344" s="43"/>
      <c r="K344" s="43"/>
      <c r="L344" s="43"/>
      <c r="M344" s="43"/>
      <c r="N344" s="43"/>
    </row>
    <row r="345">
      <c r="D345" s="64"/>
      <c r="E345" s="43"/>
      <c r="F345" s="43"/>
      <c r="G345" s="43"/>
      <c r="H345" s="43"/>
      <c r="I345" s="43"/>
      <c r="J345" s="43"/>
      <c r="K345" s="43"/>
      <c r="L345" s="43"/>
      <c r="M345" s="43"/>
      <c r="N345" s="43"/>
    </row>
    <row r="346">
      <c r="D346" s="64"/>
      <c r="E346" s="43"/>
      <c r="F346" s="43"/>
      <c r="G346" s="43"/>
      <c r="H346" s="43"/>
      <c r="I346" s="43"/>
      <c r="J346" s="43"/>
      <c r="K346" s="43"/>
      <c r="L346" s="43"/>
      <c r="M346" s="43"/>
      <c r="N346" s="43"/>
    </row>
    <row r="347">
      <c r="D347" s="64"/>
      <c r="E347" s="43"/>
      <c r="F347" s="43"/>
      <c r="G347" s="43"/>
      <c r="H347" s="43"/>
      <c r="I347" s="43"/>
      <c r="J347" s="43"/>
      <c r="K347" s="43"/>
      <c r="L347" s="43"/>
      <c r="M347" s="43"/>
      <c r="N347" s="43"/>
    </row>
    <row r="348">
      <c r="D348" s="64"/>
      <c r="E348" s="43"/>
      <c r="F348" s="43"/>
      <c r="G348" s="43"/>
      <c r="H348" s="43"/>
      <c r="I348" s="43"/>
      <c r="J348" s="43"/>
      <c r="K348" s="43"/>
      <c r="L348" s="43"/>
      <c r="M348" s="43"/>
      <c r="N348" s="43"/>
    </row>
    <row r="349">
      <c r="D349" s="64"/>
      <c r="E349" s="43"/>
      <c r="F349" s="43"/>
      <c r="G349" s="43"/>
      <c r="H349" s="43"/>
      <c r="I349" s="43"/>
      <c r="J349" s="43"/>
      <c r="K349" s="43"/>
      <c r="L349" s="43"/>
      <c r="M349" s="43"/>
      <c r="N349" s="43"/>
    </row>
    <row r="350">
      <c r="D350" s="64"/>
      <c r="E350" s="43"/>
      <c r="F350" s="43"/>
      <c r="G350" s="43"/>
      <c r="H350" s="43"/>
      <c r="I350" s="43"/>
      <c r="J350" s="43"/>
      <c r="K350" s="43"/>
      <c r="L350" s="43"/>
      <c r="M350" s="43"/>
      <c r="N350" s="43"/>
    </row>
    <row r="351">
      <c r="D351" s="64"/>
      <c r="E351" s="43"/>
      <c r="F351" s="43"/>
      <c r="G351" s="43"/>
      <c r="H351" s="43"/>
      <c r="I351" s="43"/>
      <c r="J351" s="43"/>
      <c r="K351" s="43"/>
      <c r="L351" s="43"/>
      <c r="M351" s="43"/>
      <c r="N351" s="43"/>
    </row>
    <row r="352">
      <c r="D352" s="64"/>
      <c r="E352" s="43"/>
      <c r="F352" s="43"/>
      <c r="G352" s="43"/>
      <c r="H352" s="43"/>
      <c r="I352" s="43"/>
      <c r="J352" s="43"/>
      <c r="K352" s="43"/>
      <c r="L352" s="43"/>
      <c r="M352" s="43"/>
      <c r="N352" s="43"/>
    </row>
    <row r="353">
      <c r="D353" s="64"/>
      <c r="E353" s="43"/>
      <c r="F353" s="43"/>
      <c r="G353" s="43"/>
      <c r="H353" s="43"/>
      <c r="I353" s="43"/>
      <c r="J353" s="43"/>
      <c r="K353" s="43"/>
      <c r="L353" s="43"/>
      <c r="M353" s="43"/>
      <c r="N353" s="43"/>
    </row>
    <row r="354">
      <c r="D354" s="64"/>
      <c r="E354" s="43"/>
      <c r="F354" s="43"/>
      <c r="G354" s="43"/>
      <c r="H354" s="43"/>
      <c r="I354" s="43"/>
      <c r="J354" s="43"/>
      <c r="K354" s="43"/>
      <c r="L354" s="43"/>
      <c r="M354" s="43"/>
      <c r="N354" s="43"/>
    </row>
    <row r="355">
      <c r="D355" s="64"/>
      <c r="E355" s="43"/>
      <c r="F355" s="43"/>
      <c r="G355" s="43"/>
      <c r="H355" s="43"/>
      <c r="I355" s="43"/>
      <c r="J355" s="43"/>
      <c r="K355" s="43"/>
      <c r="L355" s="43"/>
      <c r="M355" s="43"/>
      <c r="N355" s="43"/>
    </row>
    <row r="356">
      <c r="D356" s="64"/>
      <c r="E356" s="43"/>
      <c r="F356" s="43"/>
      <c r="G356" s="43"/>
      <c r="H356" s="43"/>
      <c r="I356" s="43"/>
      <c r="J356" s="43"/>
      <c r="K356" s="43"/>
      <c r="L356" s="43"/>
      <c r="M356" s="43"/>
      <c r="N356" s="43"/>
    </row>
    <row r="357">
      <c r="D357" s="64"/>
      <c r="E357" s="43"/>
      <c r="F357" s="43"/>
      <c r="G357" s="43"/>
      <c r="H357" s="43"/>
      <c r="I357" s="43"/>
      <c r="J357" s="43"/>
      <c r="K357" s="43"/>
      <c r="L357" s="43"/>
      <c r="M357" s="43"/>
      <c r="N357" s="43"/>
    </row>
    <row r="358">
      <c r="D358" s="64"/>
      <c r="E358" s="43"/>
      <c r="F358" s="43"/>
      <c r="G358" s="43"/>
      <c r="H358" s="43"/>
      <c r="I358" s="43"/>
      <c r="J358" s="43"/>
      <c r="K358" s="43"/>
      <c r="L358" s="43"/>
      <c r="M358" s="43"/>
      <c r="N358" s="43"/>
    </row>
    <row r="359">
      <c r="D359" s="64"/>
      <c r="E359" s="43"/>
      <c r="F359" s="43"/>
      <c r="G359" s="43"/>
      <c r="H359" s="43"/>
      <c r="I359" s="43"/>
      <c r="J359" s="43"/>
      <c r="K359" s="43"/>
      <c r="L359" s="43"/>
      <c r="M359" s="43"/>
      <c r="N359" s="43"/>
    </row>
    <row r="360">
      <c r="D360" s="64"/>
      <c r="E360" s="43"/>
      <c r="F360" s="43"/>
      <c r="G360" s="43"/>
      <c r="H360" s="43"/>
      <c r="I360" s="43"/>
      <c r="J360" s="43"/>
      <c r="K360" s="43"/>
      <c r="L360" s="43"/>
      <c r="M360" s="43"/>
      <c r="N360" s="43"/>
    </row>
    <row r="361">
      <c r="D361" s="64"/>
      <c r="E361" s="43"/>
      <c r="F361" s="43"/>
      <c r="G361" s="43"/>
      <c r="H361" s="43"/>
      <c r="I361" s="43"/>
      <c r="J361" s="43"/>
      <c r="K361" s="43"/>
      <c r="L361" s="43"/>
      <c r="M361" s="43"/>
      <c r="N361" s="43"/>
    </row>
    <row r="362">
      <c r="D362" s="64"/>
      <c r="E362" s="43"/>
      <c r="F362" s="43"/>
      <c r="G362" s="43"/>
      <c r="H362" s="43"/>
      <c r="I362" s="43"/>
      <c r="J362" s="43"/>
      <c r="K362" s="43"/>
      <c r="L362" s="43"/>
      <c r="M362" s="43"/>
      <c r="N362" s="43"/>
    </row>
    <row r="363">
      <c r="D363" s="64"/>
      <c r="E363" s="43"/>
      <c r="F363" s="43"/>
      <c r="G363" s="43"/>
      <c r="H363" s="43"/>
      <c r="I363" s="43"/>
      <c r="J363" s="43"/>
      <c r="K363" s="43"/>
      <c r="L363" s="43"/>
      <c r="M363" s="43"/>
      <c r="N363" s="43"/>
    </row>
    <row r="364">
      <c r="D364" s="64"/>
      <c r="E364" s="43"/>
      <c r="F364" s="43"/>
      <c r="G364" s="43"/>
      <c r="H364" s="43"/>
      <c r="I364" s="43"/>
      <c r="J364" s="43"/>
      <c r="K364" s="43"/>
      <c r="L364" s="43"/>
      <c r="M364" s="43"/>
      <c r="N364" s="43"/>
    </row>
    <row r="365">
      <c r="D365" s="64"/>
      <c r="E365" s="43"/>
      <c r="F365" s="43"/>
      <c r="G365" s="43"/>
      <c r="H365" s="43"/>
      <c r="I365" s="43"/>
      <c r="J365" s="43"/>
      <c r="K365" s="43"/>
      <c r="L365" s="43"/>
      <c r="M365" s="43"/>
      <c r="N365" s="43"/>
    </row>
    <row r="366">
      <c r="D366" s="64"/>
      <c r="E366" s="43"/>
      <c r="F366" s="43"/>
      <c r="G366" s="43"/>
      <c r="H366" s="43"/>
      <c r="I366" s="43"/>
      <c r="J366" s="43"/>
      <c r="K366" s="43"/>
      <c r="L366" s="43"/>
      <c r="M366" s="43"/>
      <c r="N366" s="43"/>
    </row>
    <row r="367">
      <c r="D367" s="64"/>
      <c r="E367" s="43"/>
      <c r="F367" s="43"/>
      <c r="G367" s="43"/>
      <c r="H367" s="43"/>
      <c r="I367" s="43"/>
      <c r="J367" s="43"/>
      <c r="K367" s="43"/>
      <c r="L367" s="43"/>
      <c r="M367" s="43"/>
      <c r="N367" s="43"/>
    </row>
    <row r="368">
      <c r="D368" s="64"/>
      <c r="E368" s="43"/>
      <c r="F368" s="43"/>
      <c r="G368" s="43"/>
      <c r="H368" s="43"/>
      <c r="I368" s="43"/>
      <c r="J368" s="43"/>
      <c r="K368" s="43"/>
      <c r="L368" s="43"/>
      <c r="M368" s="43"/>
      <c r="N368" s="43"/>
    </row>
    <row r="369">
      <c r="D369" s="64"/>
      <c r="E369" s="43"/>
      <c r="F369" s="43"/>
      <c r="G369" s="43"/>
      <c r="H369" s="43"/>
      <c r="I369" s="43"/>
      <c r="J369" s="43"/>
      <c r="K369" s="43"/>
      <c r="L369" s="43"/>
      <c r="M369" s="43"/>
      <c r="N369" s="43"/>
    </row>
    <row r="370">
      <c r="D370" s="64"/>
      <c r="E370" s="43"/>
      <c r="F370" s="43"/>
      <c r="G370" s="43"/>
      <c r="H370" s="43"/>
      <c r="I370" s="43"/>
      <c r="J370" s="43"/>
      <c r="K370" s="43"/>
      <c r="L370" s="43"/>
      <c r="M370" s="43"/>
      <c r="N370" s="43"/>
    </row>
    <row r="371">
      <c r="D371" s="64"/>
      <c r="E371" s="43"/>
      <c r="F371" s="43"/>
      <c r="G371" s="43"/>
      <c r="H371" s="43"/>
      <c r="I371" s="43"/>
      <c r="J371" s="43"/>
      <c r="K371" s="43"/>
      <c r="L371" s="43"/>
      <c r="M371" s="43"/>
      <c r="N371" s="43"/>
    </row>
    <row r="372">
      <c r="D372" s="64"/>
      <c r="E372" s="43"/>
      <c r="F372" s="43"/>
      <c r="G372" s="43"/>
      <c r="H372" s="43"/>
      <c r="I372" s="43"/>
      <c r="J372" s="43"/>
      <c r="K372" s="43"/>
      <c r="L372" s="43"/>
      <c r="M372" s="43"/>
      <c r="N372" s="43"/>
    </row>
    <row r="373">
      <c r="D373" s="64"/>
      <c r="E373" s="43"/>
      <c r="F373" s="43"/>
      <c r="G373" s="43"/>
      <c r="H373" s="43"/>
      <c r="I373" s="43"/>
      <c r="J373" s="43"/>
      <c r="K373" s="43"/>
      <c r="L373" s="43"/>
      <c r="M373" s="43"/>
      <c r="N373" s="43"/>
    </row>
    <row r="374">
      <c r="D374" s="64"/>
      <c r="E374" s="43"/>
      <c r="F374" s="43"/>
      <c r="G374" s="43"/>
      <c r="H374" s="43"/>
      <c r="I374" s="43"/>
      <c r="J374" s="43"/>
      <c r="K374" s="43"/>
      <c r="L374" s="43"/>
      <c r="M374" s="43"/>
      <c r="N374" s="43"/>
    </row>
    <row r="375">
      <c r="D375" s="64"/>
      <c r="E375" s="43"/>
      <c r="F375" s="43"/>
      <c r="G375" s="43"/>
      <c r="H375" s="43"/>
      <c r="I375" s="43"/>
      <c r="J375" s="43"/>
      <c r="K375" s="43"/>
      <c r="L375" s="43"/>
      <c r="M375" s="43"/>
      <c r="N375" s="43"/>
    </row>
    <row r="376">
      <c r="D376" s="64"/>
      <c r="E376" s="43"/>
      <c r="F376" s="43"/>
      <c r="G376" s="43"/>
      <c r="H376" s="43"/>
      <c r="I376" s="43"/>
      <c r="J376" s="43"/>
      <c r="K376" s="43"/>
      <c r="L376" s="43"/>
      <c r="M376" s="43"/>
      <c r="N376" s="43"/>
    </row>
    <row r="377">
      <c r="D377" s="64"/>
      <c r="E377" s="43"/>
      <c r="F377" s="43"/>
      <c r="G377" s="43"/>
      <c r="H377" s="43"/>
      <c r="I377" s="43"/>
      <c r="J377" s="43"/>
      <c r="K377" s="43"/>
      <c r="L377" s="43"/>
      <c r="M377" s="43"/>
      <c r="N377" s="43"/>
    </row>
    <row r="378">
      <c r="D378" s="64"/>
      <c r="E378" s="43"/>
      <c r="F378" s="43"/>
      <c r="G378" s="43"/>
      <c r="H378" s="43"/>
      <c r="I378" s="43"/>
      <c r="J378" s="43"/>
      <c r="K378" s="43"/>
      <c r="L378" s="43"/>
      <c r="M378" s="43"/>
      <c r="N378" s="43"/>
    </row>
    <row r="379">
      <c r="D379" s="64"/>
      <c r="E379" s="43"/>
      <c r="F379" s="43"/>
      <c r="G379" s="43"/>
      <c r="H379" s="43"/>
      <c r="I379" s="43"/>
      <c r="J379" s="43"/>
      <c r="K379" s="43"/>
      <c r="L379" s="43"/>
      <c r="M379" s="43"/>
      <c r="N379" s="43"/>
    </row>
    <row r="380">
      <c r="D380" s="64"/>
      <c r="E380" s="43"/>
      <c r="F380" s="43"/>
      <c r="G380" s="43"/>
      <c r="H380" s="43"/>
      <c r="I380" s="43"/>
      <c r="J380" s="43"/>
      <c r="K380" s="43"/>
      <c r="L380" s="43"/>
      <c r="M380" s="43"/>
      <c r="N380" s="43"/>
    </row>
    <row r="381">
      <c r="D381" s="64"/>
      <c r="E381" s="43"/>
      <c r="F381" s="43"/>
      <c r="G381" s="43"/>
      <c r="H381" s="43"/>
      <c r="I381" s="43"/>
      <c r="J381" s="43"/>
      <c r="K381" s="43"/>
      <c r="L381" s="43"/>
      <c r="M381" s="43"/>
      <c r="N381" s="43"/>
    </row>
    <row r="382">
      <c r="D382" s="64"/>
      <c r="E382" s="43"/>
      <c r="F382" s="43"/>
      <c r="G382" s="43"/>
      <c r="H382" s="43"/>
      <c r="I382" s="43"/>
      <c r="J382" s="43"/>
      <c r="K382" s="43"/>
      <c r="L382" s="43"/>
      <c r="M382" s="43"/>
      <c r="N382" s="43"/>
    </row>
    <row r="383">
      <c r="D383" s="64"/>
      <c r="E383" s="43"/>
      <c r="F383" s="43"/>
      <c r="G383" s="43"/>
      <c r="H383" s="43"/>
      <c r="I383" s="43"/>
      <c r="J383" s="43"/>
      <c r="K383" s="43"/>
      <c r="L383" s="43"/>
      <c r="M383" s="43"/>
      <c r="N383" s="43"/>
    </row>
    <row r="384">
      <c r="D384" s="64"/>
      <c r="E384" s="43"/>
      <c r="F384" s="43"/>
      <c r="G384" s="43"/>
      <c r="H384" s="43"/>
      <c r="I384" s="43"/>
      <c r="J384" s="43"/>
      <c r="K384" s="43"/>
      <c r="L384" s="43"/>
      <c r="M384" s="43"/>
      <c r="N384" s="43"/>
    </row>
    <row r="385">
      <c r="D385" s="64"/>
      <c r="E385" s="43"/>
      <c r="F385" s="43"/>
      <c r="G385" s="43"/>
      <c r="H385" s="43"/>
      <c r="I385" s="43"/>
      <c r="J385" s="43"/>
      <c r="K385" s="43"/>
      <c r="L385" s="43"/>
      <c r="M385" s="43"/>
      <c r="N385" s="43"/>
    </row>
    <row r="386">
      <c r="D386" s="64"/>
      <c r="E386" s="43"/>
      <c r="F386" s="43"/>
      <c r="G386" s="43"/>
      <c r="H386" s="43"/>
      <c r="I386" s="43"/>
      <c r="J386" s="43"/>
      <c r="K386" s="43"/>
      <c r="L386" s="43"/>
      <c r="M386" s="43"/>
      <c r="N386" s="43"/>
    </row>
    <row r="387">
      <c r="D387" s="64"/>
      <c r="E387" s="43"/>
      <c r="F387" s="43"/>
      <c r="G387" s="43"/>
      <c r="H387" s="43"/>
      <c r="I387" s="43"/>
      <c r="J387" s="43"/>
      <c r="K387" s="43"/>
      <c r="L387" s="43"/>
      <c r="M387" s="43"/>
      <c r="N387" s="43"/>
    </row>
    <row r="388">
      <c r="D388" s="64"/>
      <c r="E388" s="43"/>
      <c r="F388" s="43"/>
      <c r="G388" s="43"/>
      <c r="H388" s="43"/>
      <c r="I388" s="43"/>
      <c r="J388" s="43"/>
      <c r="K388" s="43"/>
      <c r="L388" s="43"/>
      <c r="M388" s="43"/>
      <c r="N388" s="43"/>
    </row>
    <row r="389">
      <c r="D389" s="64"/>
      <c r="E389" s="43"/>
      <c r="F389" s="43"/>
      <c r="G389" s="43"/>
      <c r="H389" s="43"/>
      <c r="I389" s="43"/>
      <c r="J389" s="43"/>
      <c r="K389" s="43"/>
      <c r="L389" s="43"/>
      <c r="M389" s="43"/>
      <c r="N389" s="43"/>
    </row>
    <row r="390">
      <c r="D390" s="64"/>
      <c r="E390" s="43"/>
      <c r="F390" s="43"/>
      <c r="G390" s="43"/>
      <c r="H390" s="43"/>
      <c r="I390" s="43"/>
      <c r="J390" s="43"/>
      <c r="K390" s="43"/>
      <c r="L390" s="43"/>
      <c r="M390" s="43"/>
      <c r="N390" s="43"/>
    </row>
    <row r="391">
      <c r="D391" s="64"/>
      <c r="E391" s="43"/>
      <c r="F391" s="43"/>
      <c r="G391" s="43"/>
      <c r="H391" s="43"/>
      <c r="I391" s="43"/>
      <c r="J391" s="43"/>
      <c r="K391" s="43"/>
      <c r="L391" s="43"/>
      <c r="M391" s="43"/>
      <c r="N391" s="43"/>
    </row>
    <row r="392">
      <c r="D392" s="64"/>
      <c r="E392" s="43"/>
      <c r="F392" s="43"/>
      <c r="G392" s="43"/>
      <c r="H392" s="43"/>
      <c r="I392" s="43"/>
      <c r="J392" s="43"/>
      <c r="K392" s="43"/>
      <c r="L392" s="43"/>
      <c r="M392" s="43"/>
      <c r="N392" s="43"/>
    </row>
    <row r="393">
      <c r="D393" s="64"/>
      <c r="E393" s="43"/>
      <c r="F393" s="43"/>
      <c r="G393" s="43"/>
      <c r="H393" s="43"/>
      <c r="I393" s="43"/>
      <c r="J393" s="43"/>
      <c r="K393" s="43"/>
      <c r="L393" s="43"/>
      <c r="M393" s="43"/>
      <c r="N393" s="43"/>
    </row>
    <row r="394">
      <c r="D394" s="64"/>
      <c r="E394" s="43"/>
      <c r="F394" s="43"/>
      <c r="G394" s="43"/>
      <c r="H394" s="43"/>
      <c r="I394" s="43"/>
      <c r="J394" s="43"/>
      <c r="K394" s="43"/>
      <c r="L394" s="43"/>
      <c r="M394" s="43"/>
      <c r="N394" s="43"/>
    </row>
    <row r="395">
      <c r="D395" s="64"/>
      <c r="E395" s="43"/>
      <c r="F395" s="43"/>
      <c r="G395" s="43"/>
      <c r="H395" s="43"/>
      <c r="I395" s="43"/>
      <c r="J395" s="43"/>
      <c r="K395" s="43"/>
      <c r="L395" s="43"/>
      <c r="M395" s="43"/>
      <c r="N395" s="43"/>
    </row>
    <row r="396">
      <c r="D396" s="64"/>
      <c r="E396" s="43"/>
      <c r="F396" s="43"/>
      <c r="G396" s="43"/>
      <c r="H396" s="43"/>
      <c r="I396" s="43"/>
      <c r="J396" s="43"/>
      <c r="K396" s="43"/>
      <c r="L396" s="43"/>
      <c r="M396" s="43"/>
      <c r="N396" s="43"/>
    </row>
    <row r="397">
      <c r="D397" s="64"/>
      <c r="E397" s="43"/>
      <c r="F397" s="43"/>
      <c r="G397" s="43"/>
      <c r="H397" s="43"/>
      <c r="I397" s="43"/>
      <c r="J397" s="43"/>
      <c r="K397" s="43"/>
      <c r="L397" s="43"/>
      <c r="M397" s="43"/>
      <c r="N397" s="43"/>
    </row>
    <row r="398">
      <c r="D398" s="64"/>
      <c r="E398" s="43"/>
      <c r="F398" s="43"/>
      <c r="G398" s="43"/>
      <c r="H398" s="43"/>
      <c r="I398" s="43"/>
      <c r="J398" s="43"/>
      <c r="K398" s="43"/>
      <c r="L398" s="43"/>
      <c r="M398" s="43"/>
      <c r="N398" s="43"/>
    </row>
    <row r="399">
      <c r="D399" s="64"/>
      <c r="E399" s="43"/>
      <c r="F399" s="43"/>
      <c r="G399" s="43"/>
      <c r="H399" s="43"/>
      <c r="I399" s="43"/>
      <c r="J399" s="43"/>
      <c r="K399" s="43"/>
      <c r="L399" s="43"/>
      <c r="M399" s="43"/>
      <c r="N399" s="43"/>
    </row>
    <row r="400">
      <c r="D400" s="64"/>
      <c r="E400" s="43"/>
      <c r="F400" s="43"/>
      <c r="G400" s="43"/>
      <c r="H400" s="43"/>
      <c r="I400" s="43"/>
      <c r="J400" s="43"/>
      <c r="K400" s="43"/>
      <c r="L400" s="43"/>
      <c r="M400" s="43"/>
      <c r="N400" s="43"/>
    </row>
    <row r="401">
      <c r="D401" s="64"/>
      <c r="E401" s="43"/>
      <c r="F401" s="43"/>
      <c r="G401" s="43"/>
      <c r="H401" s="43"/>
      <c r="I401" s="43"/>
      <c r="J401" s="43"/>
      <c r="K401" s="43"/>
      <c r="L401" s="43"/>
      <c r="M401" s="43"/>
      <c r="N401" s="43"/>
    </row>
    <row r="402">
      <c r="D402" s="64"/>
      <c r="E402" s="43"/>
      <c r="F402" s="43"/>
      <c r="G402" s="43"/>
      <c r="H402" s="43"/>
      <c r="I402" s="43"/>
      <c r="J402" s="43"/>
      <c r="K402" s="43"/>
      <c r="L402" s="43"/>
      <c r="M402" s="43"/>
      <c r="N402" s="43"/>
    </row>
    <row r="403">
      <c r="D403" s="64"/>
      <c r="E403" s="43"/>
      <c r="F403" s="43"/>
      <c r="G403" s="43"/>
      <c r="H403" s="43"/>
      <c r="I403" s="43"/>
      <c r="J403" s="43"/>
      <c r="K403" s="43"/>
      <c r="L403" s="43"/>
      <c r="M403" s="43"/>
      <c r="N403" s="43"/>
    </row>
    <row r="404">
      <c r="D404" s="64"/>
      <c r="E404" s="43"/>
      <c r="F404" s="43"/>
      <c r="G404" s="43"/>
      <c r="H404" s="43"/>
      <c r="I404" s="43"/>
      <c r="J404" s="43"/>
      <c r="K404" s="43"/>
      <c r="L404" s="43"/>
      <c r="M404" s="43"/>
      <c r="N404" s="43"/>
    </row>
    <row r="405">
      <c r="D405" s="64"/>
      <c r="E405" s="43"/>
      <c r="F405" s="43"/>
      <c r="G405" s="43"/>
      <c r="H405" s="43"/>
      <c r="I405" s="43"/>
      <c r="J405" s="43"/>
      <c r="K405" s="43"/>
      <c r="L405" s="43"/>
      <c r="M405" s="43"/>
      <c r="N405" s="43"/>
    </row>
    <row r="406">
      <c r="D406" s="64"/>
      <c r="E406" s="43"/>
      <c r="F406" s="43"/>
      <c r="G406" s="43"/>
      <c r="H406" s="43"/>
      <c r="I406" s="43"/>
      <c r="J406" s="43"/>
      <c r="K406" s="43"/>
      <c r="L406" s="43"/>
      <c r="M406" s="43"/>
      <c r="N406" s="43"/>
    </row>
    <row r="407">
      <c r="D407" s="64"/>
      <c r="E407" s="43"/>
      <c r="F407" s="43"/>
      <c r="G407" s="43"/>
      <c r="H407" s="43"/>
      <c r="I407" s="43"/>
      <c r="J407" s="43"/>
      <c r="K407" s="43"/>
      <c r="L407" s="43"/>
      <c r="M407" s="43"/>
      <c r="N407" s="43"/>
    </row>
    <row r="408">
      <c r="D408" s="64"/>
      <c r="E408" s="43"/>
      <c r="F408" s="43"/>
      <c r="G408" s="43"/>
      <c r="H408" s="43"/>
      <c r="I408" s="43"/>
      <c r="J408" s="43"/>
      <c r="K408" s="43"/>
      <c r="L408" s="43"/>
      <c r="M408" s="43"/>
      <c r="N408" s="43"/>
    </row>
    <row r="409">
      <c r="D409" s="64"/>
      <c r="E409" s="43"/>
      <c r="F409" s="43"/>
      <c r="G409" s="43"/>
      <c r="H409" s="43"/>
      <c r="I409" s="43"/>
      <c r="J409" s="43"/>
      <c r="K409" s="43"/>
      <c r="L409" s="43"/>
      <c r="M409" s="43"/>
      <c r="N409" s="43"/>
    </row>
    <row r="410">
      <c r="D410" s="64"/>
      <c r="E410" s="43"/>
      <c r="F410" s="43"/>
      <c r="G410" s="43"/>
      <c r="H410" s="43"/>
      <c r="I410" s="43"/>
      <c r="J410" s="43"/>
      <c r="K410" s="43"/>
      <c r="L410" s="43"/>
      <c r="M410" s="43"/>
      <c r="N410" s="43"/>
    </row>
    <row r="411">
      <c r="D411" s="64"/>
      <c r="E411" s="43"/>
      <c r="F411" s="43"/>
      <c r="G411" s="43"/>
      <c r="H411" s="43"/>
      <c r="I411" s="43"/>
      <c r="J411" s="43"/>
      <c r="K411" s="43"/>
      <c r="L411" s="43"/>
      <c r="M411" s="43"/>
      <c r="N411" s="43"/>
    </row>
    <row r="412">
      <c r="D412" s="64"/>
      <c r="E412" s="43"/>
      <c r="F412" s="43"/>
      <c r="G412" s="43"/>
      <c r="H412" s="43"/>
      <c r="I412" s="43"/>
      <c r="J412" s="43"/>
      <c r="K412" s="43"/>
      <c r="L412" s="43"/>
      <c r="M412" s="43"/>
      <c r="N412" s="43"/>
    </row>
    <row r="413">
      <c r="D413" s="64"/>
      <c r="E413" s="43"/>
      <c r="F413" s="43"/>
      <c r="G413" s="43"/>
      <c r="H413" s="43"/>
      <c r="I413" s="43"/>
      <c r="J413" s="43"/>
      <c r="K413" s="43"/>
      <c r="L413" s="43"/>
      <c r="M413" s="43"/>
      <c r="N413" s="43"/>
    </row>
    <row r="414">
      <c r="D414" s="64"/>
      <c r="E414" s="43"/>
      <c r="F414" s="43"/>
      <c r="G414" s="43"/>
      <c r="H414" s="43"/>
      <c r="I414" s="43"/>
      <c r="J414" s="43"/>
      <c r="K414" s="43"/>
      <c r="L414" s="43"/>
      <c r="M414" s="43"/>
      <c r="N414" s="43"/>
    </row>
    <row r="415">
      <c r="D415" s="64"/>
      <c r="E415" s="43"/>
      <c r="F415" s="43"/>
      <c r="G415" s="43"/>
      <c r="H415" s="43"/>
      <c r="I415" s="43"/>
      <c r="J415" s="43"/>
      <c r="K415" s="43"/>
      <c r="L415" s="43"/>
      <c r="M415" s="43"/>
      <c r="N415" s="43"/>
    </row>
    <row r="416">
      <c r="D416" s="64"/>
      <c r="E416" s="43"/>
      <c r="F416" s="43"/>
      <c r="G416" s="43"/>
      <c r="H416" s="43"/>
      <c r="I416" s="43"/>
      <c r="J416" s="43"/>
      <c r="K416" s="43"/>
      <c r="L416" s="43"/>
      <c r="M416" s="43"/>
      <c r="N416" s="43"/>
    </row>
    <row r="417">
      <c r="D417" s="64"/>
      <c r="E417" s="43"/>
      <c r="F417" s="43"/>
      <c r="G417" s="43"/>
      <c r="H417" s="43"/>
      <c r="I417" s="43"/>
      <c r="J417" s="43"/>
      <c r="K417" s="43"/>
      <c r="L417" s="43"/>
      <c r="M417" s="43"/>
      <c r="N417" s="43"/>
    </row>
    <row r="418">
      <c r="D418" s="64"/>
      <c r="E418" s="43"/>
      <c r="F418" s="43"/>
      <c r="G418" s="43"/>
      <c r="H418" s="43"/>
      <c r="I418" s="43"/>
      <c r="J418" s="43"/>
      <c r="K418" s="43"/>
      <c r="L418" s="43"/>
      <c r="M418" s="43"/>
      <c r="N418" s="43"/>
    </row>
    <row r="419">
      <c r="D419" s="64"/>
      <c r="E419" s="43"/>
      <c r="F419" s="43"/>
      <c r="G419" s="43"/>
      <c r="H419" s="43"/>
      <c r="I419" s="43"/>
      <c r="J419" s="43"/>
      <c r="K419" s="43"/>
      <c r="L419" s="43"/>
      <c r="M419" s="43"/>
      <c r="N419" s="43"/>
    </row>
    <row r="420">
      <c r="D420" s="64"/>
      <c r="E420" s="43"/>
      <c r="F420" s="43"/>
      <c r="G420" s="43"/>
      <c r="H420" s="43"/>
      <c r="I420" s="43"/>
      <c r="J420" s="43"/>
      <c r="K420" s="43"/>
      <c r="L420" s="43"/>
      <c r="M420" s="43"/>
      <c r="N420" s="43"/>
    </row>
    <row r="421">
      <c r="D421" s="64"/>
      <c r="E421" s="43"/>
      <c r="F421" s="43"/>
      <c r="G421" s="43"/>
      <c r="H421" s="43"/>
      <c r="I421" s="43"/>
      <c r="J421" s="43"/>
      <c r="K421" s="43"/>
      <c r="L421" s="43"/>
      <c r="M421" s="43"/>
      <c r="N421" s="43"/>
    </row>
    <row r="422">
      <c r="D422" s="64"/>
      <c r="E422" s="43"/>
      <c r="F422" s="43"/>
      <c r="G422" s="43"/>
      <c r="H422" s="43"/>
      <c r="I422" s="43"/>
      <c r="J422" s="43"/>
      <c r="K422" s="43"/>
      <c r="L422" s="43"/>
      <c r="M422" s="43"/>
      <c r="N422" s="43"/>
    </row>
    <row r="423">
      <c r="D423" s="64"/>
      <c r="E423" s="43"/>
      <c r="F423" s="43"/>
      <c r="G423" s="43"/>
      <c r="H423" s="43"/>
      <c r="I423" s="43"/>
      <c r="J423" s="43"/>
      <c r="K423" s="43"/>
      <c r="L423" s="43"/>
      <c r="M423" s="43"/>
      <c r="N423" s="43"/>
    </row>
    <row r="424">
      <c r="D424" s="64"/>
      <c r="E424" s="43"/>
      <c r="F424" s="43"/>
      <c r="G424" s="43"/>
      <c r="H424" s="43"/>
      <c r="I424" s="43"/>
      <c r="J424" s="43"/>
      <c r="K424" s="43"/>
      <c r="L424" s="43"/>
      <c r="M424" s="43"/>
      <c r="N424" s="43"/>
    </row>
    <row r="425">
      <c r="D425" s="64"/>
      <c r="E425" s="43"/>
      <c r="F425" s="43"/>
      <c r="G425" s="43"/>
      <c r="H425" s="43"/>
      <c r="I425" s="43"/>
      <c r="J425" s="43"/>
      <c r="K425" s="43"/>
      <c r="L425" s="43"/>
      <c r="M425" s="43"/>
      <c r="N425" s="43"/>
    </row>
    <row r="426">
      <c r="D426" s="64"/>
      <c r="E426" s="43"/>
      <c r="F426" s="43"/>
      <c r="G426" s="43"/>
      <c r="H426" s="43"/>
      <c r="I426" s="43"/>
      <c r="J426" s="43"/>
      <c r="K426" s="43"/>
      <c r="L426" s="43"/>
      <c r="M426" s="43"/>
      <c r="N426" s="43"/>
    </row>
    <row r="427">
      <c r="D427" s="64"/>
      <c r="E427" s="43"/>
      <c r="F427" s="43"/>
      <c r="G427" s="43"/>
      <c r="H427" s="43"/>
      <c r="I427" s="43"/>
      <c r="J427" s="43"/>
      <c r="K427" s="43"/>
      <c r="L427" s="43"/>
      <c r="M427" s="43"/>
      <c r="N427" s="43"/>
    </row>
    <row r="428">
      <c r="D428" s="64"/>
      <c r="E428" s="43"/>
      <c r="F428" s="43"/>
      <c r="G428" s="43"/>
      <c r="H428" s="43"/>
      <c r="I428" s="43"/>
      <c r="J428" s="43"/>
      <c r="K428" s="43"/>
      <c r="L428" s="43"/>
      <c r="M428" s="43"/>
      <c r="N428" s="43"/>
    </row>
    <row r="429">
      <c r="D429" s="64"/>
      <c r="E429" s="43"/>
      <c r="F429" s="43"/>
      <c r="G429" s="43"/>
      <c r="H429" s="43"/>
      <c r="I429" s="43"/>
      <c r="J429" s="43"/>
      <c r="K429" s="43"/>
      <c r="L429" s="43"/>
      <c r="M429" s="43"/>
      <c r="N429" s="43"/>
    </row>
    <row r="430">
      <c r="D430" s="64"/>
      <c r="E430" s="43"/>
      <c r="F430" s="43"/>
      <c r="G430" s="43"/>
      <c r="H430" s="43"/>
      <c r="I430" s="43"/>
      <c r="J430" s="43"/>
      <c r="K430" s="43"/>
      <c r="L430" s="43"/>
      <c r="M430" s="43"/>
      <c r="N430" s="43"/>
    </row>
    <row r="431">
      <c r="D431" s="64"/>
      <c r="E431" s="43"/>
      <c r="F431" s="43"/>
      <c r="G431" s="43"/>
      <c r="H431" s="43"/>
      <c r="I431" s="43"/>
      <c r="J431" s="43"/>
      <c r="K431" s="43"/>
      <c r="L431" s="43"/>
      <c r="M431" s="43"/>
      <c r="N431" s="43"/>
    </row>
    <row r="432">
      <c r="D432" s="64"/>
      <c r="E432" s="43"/>
      <c r="F432" s="43"/>
      <c r="G432" s="43"/>
      <c r="H432" s="43"/>
      <c r="I432" s="43"/>
      <c r="J432" s="43"/>
      <c r="K432" s="43"/>
      <c r="L432" s="43"/>
      <c r="M432" s="43"/>
      <c r="N432" s="43"/>
    </row>
    <row r="433">
      <c r="D433" s="64"/>
      <c r="E433" s="43"/>
      <c r="F433" s="43"/>
      <c r="G433" s="43"/>
      <c r="H433" s="43"/>
      <c r="I433" s="43"/>
      <c r="J433" s="43"/>
      <c r="K433" s="43"/>
      <c r="L433" s="43"/>
      <c r="M433" s="43"/>
      <c r="N433" s="43"/>
    </row>
    <row r="434">
      <c r="D434" s="64"/>
      <c r="E434" s="43"/>
      <c r="F434" s="43"/>
      <c r="G434" s="43"/>
      <c r="H434" s="43"/>
      <c r="I434" s="43"/>
      <c r="J434" s="43"/>
      <c r="K434" s="43"/>
      <c r="L434" s="43"/>
      <c r="M434" s="43"/>
      <c r="N434" s="43"/>
    </row>
    <row r="435">
      <c r="D435" s="64"/>
      <c r="E435" s="43"/>
      <c r="F435" s="43"/>
      <c r="G435" s="43"/>
      <c r="H435" s="43"/>
      <c r="I435" s="43"/>
      <c r="J435" s="43"/>
      <c r="K435" s="43"/>
      <c r="L435" s="43"/>
      <c r="M435" s="43"/>
      <c r="N435" s="43"/>
    </row>
    <row r="436">
      <c r="D436" s="64"/>
      <c r="E436" s="43"/>
      <c r="F436" s="43"/>
      <c r="G436" s="43"/>
      <c r="H436" s="43"/>
      <c r="I436" s="43"/>
      <c r="J436" s="43"/>
      <c r="K436" s="43"/>
      <c r="L436" s="43"/>
      <c r="M436" s="43"/>
      <c r="N436" s="43"/>
    </row>
    <row r="437">
      <c r="D437" s="64"/>
      <c r="E437" s="43"/>
      <c r="F437" s="43"/>
      <c r="G437" s="43"/>
      <c r="H437" s="43"/>
      <c r="I437" s="43"/>
      <c r="J437" s="43"/>
      <c r="K437" s="43"/>
      <c r="L437" s="43"/>
      <c r="M437" s="43"/>
      <c r="N437" s="43"/>
    </row>
    <row r="438">
      <c r="D438" s="64"/>
      <c r="E438" s="43"/>
      <c r="F438" s="43"/>
      <c r="G438" s="43"/>
      <c r="H438" s="43"/>
      <c r="I438" s="43"/>
      <c r="J438" s="43"/>
      <c r="K438" s="43"/>
      <c r="L438" s="43"/>
      <c r="M438" s="43"/>
      <c r="N438" s="43"/>
    </row>
    <row r="439">
      <c r="D439" s="64"/>
      <c r="E439" s="43"/>
      <c r="F439" s="43"/>
      <c r="G439" s="43"/>
      <c r="H439" s="43"/>
      <c r="I439" s="43"/>
      <c r="J439" s="43"/>
      <c r="K439" s="43"/>
      <c r="L439" s="43"/>
      <c r="M439" s="43"/>
      <c r="N439" s="43"/>
    </row>
    <row r="440">
      <c r="D440" s="64"/>
      <c r="E440" s="43"/>
      <c r="F440" s="43"/>
      <c r="G440" s="43"/>
      <c r="H440" s="43"/>
      <c r="I440" s="43"/>
      <c r="J440" s="43"/>
      <c r="K440" s="43"/>
      <c r="L440" s="43"/>
      <c r="M440" s="43"/>
      <c r="N440" s="43"/>
    </row>
    <row r="441">
      <c r="D441" s="64"/>
      <c r="E441" s="43"/>
      <c r="F441" s="43"/>
      <c r="G441" s="43"/>
      <c r="H441" s="43"/>
      <c r="I441" s="43"/>
      <c r="J441" s="43"/>
      <c r="K441" s="43"/>
      <c r="L441" s="43"/>
      <c r="M441" s="43"/>
      <c r="N441" s="43"/>
    </row>
    <row r="442">
      <c r="D442" s="64"/>
      <c r="E442" s="43"/>
      <c r="F442" s="43"/>
      <c r="G442" s="43"/>
      <c r="H442" s="43"/>
      <c r="I442" s="43"/>
      <c r="J442" s="43"/>
      <c r="K442" s="43"/>
      <c r="L442" s="43"/>
      <c r="M442" s="43"/>
      <c r="N442" s="43"/>
    </row>
    <row r="443">
      <c r="D443" s="64"/>
      <c r="E443" s="43"/>
      <c r="F443" s="43"/>
      <c r="G443" s="43"/>
      <c r="H443" s="43"/>
      <c r="I443" s="43"/>
      <c r="J443" s="43"/>
      <c r="K443" s="43"/>
      <c r="L443" s="43"/>
      <c r="M443" s="43"/>
      <c r="N443" s="43"/>
    </row>
    <row r="444">
      <c r="D444" s="64"/>
      <c r="E444" s="43"/>
      <c r="F444" s="43"/>
      <c r="G444" s="43"/>
      <c r="H444" s="43"/>
      <c r="I444" s="43"/>
      <c r="J444" s="43"/>
      <c r="K444" s="43"/>
      <c r="L444" s="43"/>
      <c r="M444" s="43"/>
      <c r="N444" s="43"/>
    </row>
    <row r="445">
      <c r="D445" s="64"/>
      <c r="E445" s="43"/>
      <c r="F445" s="43"/>
      <c r="G445" s="43"/>
      <c r="H445" s="43"/>
      <c r="I445" s="43"/>
      <c r="J445" s="43"/>
      <c r="K445" s="43"/>
      <c r="L445" s="43"/>
      <c r="M445" s="43"/>
      <c r="N445" s="43"/>
    </row>
    <row r="446">
      <c r="D446" s="64"/>
      <c r="E446" s="43"/>
      <c r="F446" s="43"/>
      <c r="G446" s="43"/>
      <c r="H446" s="43"/>
      <c r="I446" s="43"/>
      <c r="J446" s="43"/>
      <c r="K446" s="43"/>
      <c r="L446" s="43"/>
      <c r="M446" s="43"/>
      <c r="N446" s="43"/>
    </row>
    <row r="447">
      <c r="D447" s="64"/>
      <c r="E447" s="43"/>
      <c r="F447" s="43"/>
      <c r="G447" s="43"/>
      <c r="H447" s="43"/>
      <c r="I447" s="43"/>
      <c r="J447" s="43"/>
      <c r="K447" s="43"/>
      <c r="L447" s="43"/>
      <c r="M447" s="43"/>
      <c r="N447" s="43"/>
    </row>
    <row r="448">
      <c r="D448" s="64"/>
      <c r="E448" s="43"/>
      <c r="F448" s="43"/>
      <c r="G448" s="43"/>
      <c r="H448" s="43"/>
      <c r="I448" s="43"/>
      <c r="J448" s="43"/>
      <c r="K448" s="43"/>
      <c r="L448" s="43"/>
      <c r="M448" s="43"/>
      <c r="N448" s="43"/>
    </row>
    <row r="449">
      <c r="D449" s="64"/>
      <c r="E449" s="43"/>
      <c r="F449" s="43"/>
      <c r="G449" s="43"/>
      <c r="H449" s="43"/>
      <c r="I449" s="43"/>
      <c r="J449" s="43"/>
      <c r="K449" s="43"/>
      <c r="L449" s="43"/>
      <c r="M449" s="43"/>
      <c r="N449" s="43"/>
    </row>
    <row r="450">
      <c r="D450" s="64"/>
      <c r="E450" s="43"/>
      <c r="F450" s="43"/>
      <c r="G450" s="43"/>
      <c r="H450" s="43"/>
      <c r="I450" s="43"/>
      <c r="J450" s="43"/>
      <c r="K450" s="43"/>
      <c r="L450" s="43"/>
      <c r="M450" s="43"/>
      <c r="N450" s="43"/>
    </row>
    <row r="451">
      <c r="D451" s="64"/>
      <c r="E451" s="43"/>
      <c r="F451" s="43"/>
      <c r="G451" s="43"/>
      <c r="H451" s="43"/>
      <c r="I451" s="43"/>
      <c r="J451" s="43"/>
      <c r="K451" s="43"/>
      <c r="L451" s="43"/>
      <c r="M451" s="43"/>
      <c r="N451" s="43"/>
    </row>
    <row r="452">
      <c r="D452" s="64"/>
      <c r="E452" s="43"/>
      <c r="F452" s="43"/>
      <c r="G452" s="43"/>
      <c r="H452" s="43"/>
      <c r="I452" s="43"/>
      <c r="J452" s="43"/>
      <c r="K452" s="43"/>
      <c r="L452" s="43"/>
      <c r="M452" s="43"/>
      <c r="N452" s="43"/>
    </row>
    <row r="453">
      <c r="D453" s="64"/>
      <c r="E453" s="43"/>
      <c r="F453" s="43"/>
      <c r="G453" s="43"/>
      <c r="H453" s="43"/>
      <c r="I453" s="43"/>
      <c r="J453" s="43"/>
      <c r="K453" s="43"/>
      <c r="L453" s="43"/>
      <c r="M453" s="43"/>
      <c r="N453" s="43"/>
    </row>
    <row r="454">
      <c r="D454" s="64"/>
      <c r="E454" s="43"/>
      <c r="F454" s="43"/>
      <c r="G454" s="43"/>
      <c r="H454" s="43"/>
      <c r="I454" s="43"/>
      <c r="J454" s="43"/>
      <c r="K454" s="43"/>
      <c r="L454" s="43"/>
      <c r="M454" s="43"/>
      <c r="N454" s="43"/>
    </row>
    <row r="455">
      <c r="D455" s="64"/>
      <c r="E455" s="43"/>
      <c r="F455" s="43"/>
      <c r="G455" s="43"/>
      <c r="H455" s="43"/>
      <c r="I455" s="43"/>
      <c r="J455" s="43"/>
      <c r="K455" s="43"/>
      <c r="L455" s="43"/>
      <c r="M455" s="43"/>
      <c r="N455" s="43"/>
    </row>
    <row r="456">
      <c r="D456" s="64"/>
      <c r="E456" s="43"/>
      <c r="F456" s="43"/>
      <c r="G456" s="43"/>
      <c r="H456" s="43"/>
      <c r="I456" s="43"/>
      <c r="J456" s="43"/>
      <c r="K456" s="43"/>
      <c r="L456" s="43"/>
      <c r="M456" s="43"/>
      <c r="N456" s="43"/>
    </row>
    <row r="457">
      <c r="D457" s="64"/>
      <c r="E457" s="43"/>
      <c r="F457" s="43"/>
      <c r="G457" s="43"/>
      <c r="H457" s="43"/>
      <c r="I457" s="43"/>
      <c r="J457" s="43"/>
      <c r="K457" s="43"/>
      <c r="L457" s="43"/>
      <c r="M457" s="43"/>
      <c r="N457" s="43"/>
    </row>
    <row r="458">
      <c r="D458" s="64"/>
      <c r="E458" s="43"/>
      <c r="F458" s="43"/>
      <c r="G458" s="43"/>
      <c r="H458" s="43"/>
      <c r="I458" s="43"/>
      <c r="J458" s="43"/>
      <c r="K458" s="43"/>
      <c r="L458" s="43"/>
      <c r="M458" s="43"/>
      <c r="N458" s="43"/>
    </row>
    <row r="459">
      <c r="D459" s="64"/>
      <c r="E459" s="43"/>
      <c r="F459" s="43"/>
      <c r="G459" s="43"/>
      <c r="H459" s="43"/>
      <c r="I459" s="43"/>
      <c r="J459" s="43"/>
      <c r="K459" s="43"/>
      <c r="L459" s="43"/>
      <c r="M459" s="43"/>
      <c r="N459" s="43"/>
    </row>
    <row r="460">
      <c r="D460" s="64"/>
      <c r="E460" s="43"/>
      <c r="F460" s="43"/>
      <c r="G460" s="43"/>
      <c r="H460" s="43"/>
      <c r="I460" s="43"/>
      <c r="J460" s="43"/>
      <c r="K460" s="43"/>
      <c r="L460" s="43"/>
      <c r="M460" s="43"/>
      <c r="N460" s="43"/>
    </row>
    <row r="461">
      <c r="D461" s="64"/>
      <c r="E461" s="43"/>
      <c r="F461" s="43"/>
      <c r="G461" s="43"/>
      <c r="H461" s="43"/>
      <c r="I461" s="43"/>
      <c r="J461" s="43"/>
      <c r="K461" s="43"/>
      <c r="L461" s="43"/>
      <c r="M461" s="43"/>
      <c r="N461" s="43"/>
    </row>
    <row r="462">
      <c r="D462" s="64"/>
      <c r="E462" s="43"/>
      <c r="F462" s="43"/>
      <c r="G462" s="43"/>
      <c r="H462" s="43"/>
      <c r="I462" s="43"/>
      <c r="J462" s="43"/>
      <c r="K462" s="43"/>
      <c r="L462" s="43"/>
      <c r="M462" s="43"/>
      <c r="N462" s="43"/>
    </row>
    <row r="463">
      <c r="D463" s="64"/>
      <c r="E463" s="43"/>
      <c r="F463" s="43"/>
      <c r="G463" s="43"/>
      <c r="H463" s="43"/>
      <c r="I463" s="43"/>
      <c r="J463" s="43"/>
      <c r="K463" s="43"/>
      <c r="L463" s="43"/>
      <c r="M463" s="43"/>
      <c r="N463" s="43"/>
    </row>
    <row r="464">
      <c r="D464" s="64"/>
      <c r="E464" s="43"/>
      <c r="F464" s="43"/>
      <c r="G464" s="43"/>
      <c r="H464" s="43"/>
      <c r="I464" s="43"/>
      <c r="J464" s="43"/>
      <c r="K464" s="43"/>
      <c r="L464" s="43"/>
      <c r="M464" s="43"/>
      <c r="N464" s="43"/>
    </row>
    <row r="465">
      <c r="D465" s="64"/>
      <c r="E465" s="43"/>
      <c r="F465" s="43"/>
      <c r="G465" s="43"/>
      <c r="H465" s="43"/>
      <c r="I465" s="43"/>
      <c r="J465" s="43"/>
      <c r="K465" s="43"/>
      <c r="L465" s="43"/>
      <c r="M465" s="43"/>
      <c r="N465" s="43"/>
    </row>
    <row r="466">
      <c r="D466" s="64"/>
      <c r="E466" s="43"/>
      <c r="F466" s="43"/>
      <c r="G466" s="43"/>
      <c r="H466" s="43"/>
      <c r="I466" s="43"/>
      <c r="J466" s="43"/>
      <c r="K466" s="43"/>
      <c r="L466" s="43"/>
      <c r="M466" s="43"/>
      <c r="N466" s="43"/>
    </row>
    <row r="467">
      <c r="D467" s="64"/>
      <c r="E467" s="43"/>
      <c r="F467" s="43"/>
      <c r="G467" s="43"/>
      <c r="H467" s="43"/>
      <c r="I467" s="43"/>
      <c r="J467" s="43"/>
      <c r="K467" s="43"/>
      <c r="L467" s="43"/>
      <c r="M467" s="43"/>
      <c r="N467" s="43"/>
    </row>
    <row r="468">
      <c r="D468" s="64"/>
      <c r="E468" s="43"/>
      <c r="F468" s="43"/>
      <c r="G468" s="43"/>
      <c r="H468" s="43"/>
      <c r="I468" s="43"/>
      <c r="J468" s="43"/>
      <c r="K468" s="43"/>
      <c r="L468" s="43"/>
      <c r="M468" s="43"/>
      <c r="N468" s="43"/>
    </row>
    <row r="469">
      <c r="D469" s="64"/>
      <c r="E469" s="43"/>
      <c r="F469" s="43"/>
      <c r="G469" s="43"/>
      <c r="H469" s="43"/>
      <c r="I469" s="43"/>
      <c r="J469" s="43"/>
      <c r="K469" s="43"/>
      <c r="L469" s="43"/>
      <c r="M469" s="43"/>
      <c r="N469" s="43"/>
    </row>
    <row r="470">
      <c r="D470" s="64"/>
      <c r="E470" s="43"/>
      <c r="F470" s="43"/>
      <c r="G470" s="43"/>
      <c r="H470" s="43"/>
      <c r="I470" s="43"/>
      <c r="J470" s="43"/>
      <c r="K470" s="43"/>
      <c r="L470" s="43"/>
      <c r="M470" s="43"/>
      <c r="N470" s="43"/>
    </row>
    <row r="471">
      <c r="D471" s="64"/>
      <c r="E471" s="43"/>
      <c r="F471" s="43"/>
      <c r="G471" s="43"/>
      <c r="H471" s="43"/>
      <c r="I471" s="43"/>
      <c r="J471" s="43"/>
      <c r="K471" s="43"/>
      <c r="L471" s="43"/>
      <c r="M471" s="43"/>
      <c r="N471" s="43"/>
    </row>
    <row r="472">
      <c r="D472" s="64"/>
      <c r="E472" s="43"/>
      <c r="F472" s="43"/>
      <c r="G472" s="43"/>
      <c r="H472" s="43"/>
      <c r="I472" s="43"/>
      <c r="J472" s="43"/>
      <c r="K472" s="43"/>
      <c r="L472" s="43"/>
      <c r="M472" s="43"/>
      <c r="N472" s="43"/>
    </row>
    <row r="473">
      <c r="D473" s="64"/>
      <c r="E473" s="43"/>
      <c r="F473" s="43"/>
      <c r="G473" s="43"/>
      <c r="H473" s="43"/>
      <c r="I473" s="43"/>
      <c r="J473" s="43"/>
      <c r="K473" s="43"/>
      <c r="L473" s="43"/>
      <c r="M473" s="43"/>
      <c r="N473" s="43"/>
    </row>
    <row r="474">
      <c r="D474" s="64"/>
      <c r="E474" s="43"/>
      <c r="F474" s="43"/>
      <c r="G474" s="43"/>
      <c r="H474" s="43"/>
      <c r="I474" s="43"/>
      <c r="J474" s="43"/>
      <c r="K474" s="43"/>
      <c r="L474" s="43"/>
      <c r="M474" s="43"/>
      <c r="N474" s="43"/>
    </row>
    <row r="475">
      <c r="D475" s="64"/>
      <c r="E475" s="43"/>
      <c r="F475" s="43"/>
      <c r="G475" s="43"/>
      <c r="H475" s="43"/>
      <c r="I475" s="43"/>
      <c r="J475" s="43"/>
      <c r="K475" s="43"/>
      <c r="L475" s="43"/>
      <c r="M475" s="43"/>
      <c r="N475" s="43"/>
    </row>
    <row r="476">
      <c r="D476" s="64"/>
      <c r="E476" s="43"/>
      <c r="F476" s="43"/>
      <c r="G476" s="43"/>
      <c r="H476" s="43"/>
      <c r="I476" s="43"/>
      <c r="J476" s="43"/>
      <c r="K476" s="43"/>
      <c r="L476" s="43"/>
      <c r="M476" s="43"/>
      <c r="N476" s="43"/>
    </row>
    <row r="477">
      <c r="D477" s="64"/>
      <c r="E477" s="43"/>
      <c r="F477" s="43"/>
      <c r="G477" s="43"/>
      <c r="H477" s="43"/>
      <c r="I477" s="43"/>
      <c r="J477" s="43"/>
      <c r="K477" s="43"/>
      <c r="L477" s="43"/>
      <c r="M477" s="43"/>
      <c r="N477" s="43"/>
    </row>
    <row r="478">
      <c r="D478" s="64"/>
      <c r="E478" s="43"/>
      <c r="F478" s="43"/>
      <c r="G478" s="43"/>
      <c r="H478" s="43"/>
      <c r="I478" s="43"/>
      <c r="J478" s="43"/>
      <c r="K478" s="43"/>
      <c r="L478" s="43"/>
      <c r="M478" s="43"/>
      <c r="N478" s="43"/>
    </row>
    <row r="479">
      <c r="D479" s="64"/>
      <c r="E479" s="43"/>
      <c r="F479" s="43"/>
      <c r="G479" s="43"/>
      <c r="H479" s="43"/>
      <c r="I479" s="43"/>
      <c r="J479" s="43"/>
      <c r="K479" s="43"/>
      <c r="L479" s="43"/>
      <c r="M479" s="43"/>
      <c r="N479" s="43"/>
    </row>
    <row r="480">
      <c r="D480" s="64"/>
      <c r="E480" s="43"/>
      <c r="F480" s="43"/>
      <c r="G480" s="43"/>
      <c r="H480" s="43"/>
      <c r="I480" s="43"/>
      <c r="J480" s="43"/>
      <c r="K480" s="43"/>
      <c r="L480" s="43"/>
      <c r="M480" s="43"/>
      <c r="N480" s="43"/>
    </row>
    <row r="481">
      <c r="D481" s="64"/>
      <c r="E481" s="43"/>
      <c r="F481" s="43"/>
      <c r="G481" s="43"/>
      <c r="H481" s="43"/>
      <c r="I481" s="43"/>
      <c r="J481" s="43"/>
      <c r="K481" s="43"/>
      <c r="L481" s="43"/>
      <c r="M481" s="43"/>
      <c r="N481" s="43"/>
    </row>
    <row r="482">
      <c r="D482" s="64"/>
      <c r="E482" s="43"/>
      <c r="F482" s="43"/>
      <c r="G482" s="43"/>
      <c r="H482" s="43"/>
      <c r="I482" s="43"/>
      <c r="J482" s="43"/>
      <c r="K482" s="43"/>
      <c r="L482" s="43"/>
      <c r="M482" s="43"/>
      <c r="N482" s="43"/>
    </row>
    <row r="483">
      <c r="D483" s="64"/>
      <c r="E483" s="43"/>
      <c r="F483" s="43"/>
      <c r="G483" s="43"/>
      <c r="H483" s="43"/>
      <c r="I483" s="43"/>
      <c r="J483" s="43"/>
      <c r="K483" s="43"/>
      <c r="L483" s="43"/>
      <c r="M483" s="43"/>
      <c r="N483" s="43"/>
    </row>
    <row r="484">
      <c r="D484" s="64"/>
      <c r="E484" s="43"/>
      <c r="F484" s="43"/>
      <c r="G484" s="43"/>
      <c r="H484" s="43"/>
      <c r="I484" s="43"/>
      <c r="J484" s="43"/>
      <c r="K484" s="43"/>
      <c r="L484" s="43"/>
      <c r="M484" s="43"/>
      <c r="N484" s="43"/>
    </row>
    <row r="485">
      <c r="D485" s="64"/>
      <c r="E485" s="43"/>
      <c r="F485" s="43"/>
      <c r="G485" s="43"/>
      <c r="H485" s="43"/>
      <c r="I485" s="43"/>
      <c r="J485" s="43"/>
      <c r="K485" s="43"/>
      <c r="L485" s="43"/>
      <c r="M485" s="43"/>
      <c r="N485" s="43"/>
    </row>
    <row r="486">
      <c r="D486" s="64"/>
      <c r="E486" s="43"/>
      <c r="F486" s="43"/>
      <c r="G486" s="43"/>
      <c r="H486" s="43"/>
      <c r="I486" s="43"/>
      <c r="J486" s="43"/>
      <c r="K486" s="43"/>
      <c r="L486" s="43"/>
      <c r="M486" s="43"/>
      <c r="N486" s="43"/>
    </row>
    <row r="487">
      <c r="D487" s="64"/>
      <c r="E487" s="43"/>
      <c r="F487" s="43"/>
      <c r="G487" s="43"/>
      <c r="H487" s="43"/>
      <c r="I487" s="43"/>
      <c r="J487" s="43"/>
      <c r="K487" s="43"/>
      <c r="L487" s="43"/>
      <c r="M487" s="43"/>
      <c r="N487" s="43"/>
    </row>
    <row r="488">
      <c r="D488" s="64"/>
      <c r="E488" s="43"/>
      <c r="F488" s="43"/>
      <c r="G488" s="43"/>
      <c r="H488" s="43"/>
      <c r="I488" s="43"/>
      <c r="J488" s="43"/>
      <c r="K488" s="43"/>
      <c r="L488" s="43"/>
      <c r="M488" s="43"/>
      <c r="N488" s="43"/>
    </row>
    <row r="489">
      <c r="D489" s="64"/>
      <c r="E489" s="43"/>
      <c r="F489" s="43"/>
      <c r="G489" s="43"/>
      <c r="H489" s="43"/>
      <c r="I489" s="43"/>
      <c r="J489" s="43"/>
      <c r="K489" s="43"/>
      <c r="L489" s="43"/>
      <c r="M489" s="43"/>
      <c r="N489" s="43"/>
    </row>
    <row r="490">
      <c r="D490" s="64"/>
      <c r="E490" s="43"/>
      <c r="F490" s="43"/>
      <c r="G490" s="43"/>
      <c r="H490" s="43"/>
      <c r="I490" s="43"/>
      <c r="J490" s="43"/>
      <c r="K490" s="43"/>
      <c r="L490" s="43"/>
      <c r="M490" s="43"/>
      <c r="N490" s="43"/>
    </row>
    <row r="491">
      <c r="D491" s="64"/>
      <c r="E491" s="43"/>
      <c r="F491" s="43"/>
      <c r="G491" s="43"/>
      <c r="H491" s="43"/>
      <c r="I491" s="43"/>
      <c r="J491" s="43"/>
      <c r="K491" s="43"/>
      <c r="L491" s="43"/>
      <c r="M491" s="43"/>
      <c r="N491" s="43"/>
    </row>
    <row r="492">
      <c r="D492" s="64"/>
      <c r="E492" s="43"/>
      <c r="F492" s="43"/>
      <c r="G492" s="43"/>
      <c r="H492" s="43"/>
      <c r="I492" s="43"/>
      <c r="J492" s="43"/>
      <c r="K492" s="43"/>
      <c r="L492" s="43"/>
      <c r="M492" s="43"/>
      <c r="N492" s="43"/>
    </row>
    <row r="493">
      <c r="D493" s="64"/>
      <c r="E493" s="43"/>
      <c r="F493" s="43"/>
      <c r="G493" s="43"/>
      <c r="H493" s="43"/>
      <c r="I493" s="43"/>
      <c r="J493" s="43"/>
      <c r="K493" s="43"/>
      <c r="L493" s="43"/>
      <c r="M493" s="43"/>
      <c r="N493" s="43"/>
    </row>
    <row r="494">
      <c r="D494" s="64"/>
      <c r="E494" s="43"/>
      <c r="F494" s="43"/>
      <c r="G494" s="43"/>
      <c r="H494" s="43"/>
      <c r="I494" s="43"/>
      <c r="J494" s="43"/>
      <c r="K494" s="43"/>
      <c r="L494" s="43"/>
      <c r="M494" s="43"/>
      <c r="N494" s="43"/>
    </row>
    <row r="495">
      <c r="D495" s="64"/>
      <c r="E495" s="43"/>
      <c r="F495" s="43"/>
      <c r="G495" s="43"/>
      <c r="H495" s="43"/>
      <c r="I495" s="43"/>
      <c r="J495" s="43"/>
      <c r="K495" s="43"/>
      <c r="L495" s="43"/>
      <c r="M495" s="43"/>
      <c r="N495" s="43"/>
    </row>
    <row r="496">
      <c r="D496" s="64"/>
      <c r="E496" s="43"/>
      <c r="F496" s="43"/>
      <c r="G496" s="43"/>
      <c r="H496" s="43"/>
      <c r="I496" s="43"/>
      <c r="J496" s="43"/>
      <c r="K496" s="43"/>
      <c r="L496" s="43"/>
      <c r="M496" s="43"/>
      <c r="N496" s="43"/>
    </row>
    <row r="497">
      <c r="D497" s="64"/>
      <c r="E497" s="43"/>
      <c r="F497" s="43"/>
      <c r="G497" s="43"/>
      <c r="H497" s="43"/>
      <c r="I497" s="43"/>
      <c r="J497" s="43"/>
      <c r="K497" s="43"/>
      <c r="L497" s="43"/>
      <c r="M497" s="43"/>
      <c r="N497" s="43"/>
    </row>
    <row r="498">
      <c r="D498" s="64"/>
      <c r="E498" s="43"/>
      <c r="F498" s="43"/>
      <c r="G498" s="43"/>
      <c r="H498" s="43"/>
      <c r="I498" s="43"/>
      <c r="J498" s="43"/>
      <c r="K498" s="43"/>
      <c r="L498" s="43"/>
      <c r="M498" s="43"/>
      <c r="N498" s="43"/>
    </row>
    <row r="499">
      <c r="D499" s="64"/>
      <c r="E499" s="43"/>
      <c r="F499" s="43"/>
      <c r="G499" s="43"/>
      <c r="H499" s="43"/>
      <c r="I499" s="43"/>
      <c r="J499" s="43"/>
      <c r="K499" s="43"/>
      <c r="L499" s="43"/>
      <c r="M499" s="43"/>
      <c r="N499" s="43"/>
    </row>
    <row r="500">
      <c r="D500" s="64"/>
      <c r="E500" s="43"/>
      <c r="F500" s="43"/>
      <c r="G500" s="43"/>
      <c r="H500" s="43"/>
      <c r="I500" s="43"/>
      <c r="J500" s="43"/>
      <c r="K500" s="43"/>
      <c r="L500" s="43"/>
      <c r="M500" s="43"/>
      <c r="N500" s="43"/>
    </row>
    <row r="501">
      <c r="D501" s="64"/>
      <c r="E501" s="43"/>
      <c r="F501" s="43"/>
      <c r="G501" s="43"/>
      <c r="H501" s="43"/>
      <c r="I501" s="43"/>
      <c r="J501" s="43"/>
      <c r="K501" s="43"/>
      <c r="L501" s="43"/>
      <c r="M501" s="43"/>
      <c r="N501" s="43"/>
    </row>
    <row r="502">
      <c r="D502" s="64"/>
      <c r="E502" s="43"/>
      <c r="F502" s="43"/>
      <c r="G502" s="43"/>
      <c r="H502" s="43"/>
      <c r="I502" s="43"/>
      <c r="J502" s="43"/>
      <c r="K502" s="43"/>
      <c r="L502" s="43"/>
      <c r="M502" s="43"/>
      <c r="N502" s="43"/>
    </row>
    <row r="503">
      <c r="D503" s="64"/>
      <c r="E503" s="43"/>
      <c r="F503" s="43"/>
      <c r="G503" s="43"/>
      <c r="H503" s="43"/>
      <c r="I503" s="43"/>
      <c r="J503" s="43"/>
      <c r="K503" s="43"/>
      <c r="L503" s="43"/>
      <c r="M503" s="43"/>
      <c r="N503" s="43"/>
    </row>
    <row r="504">
      <c r="D504" s="64"/>
      <c r="E504" s="43"/>
      <c r="F504" s="43"/>
      <c r="G504" s="43"/>
      <c r="H504" s="43"/>
      <c r="I504" s="43"/>
      <c r="J504" s="43"/>
      <c r="K504" s="43"/>
      <c r="L504" s="43"/>
      <c r="M504" s="43"/>
      <c r="N504" s="43"/>
    </row>
    <row r="505">
      <c r="D505" s="64"/>
      <c r="E505" s="43"/>
      <c r="F505" s="43"/>
      <c r="G505" s="43"/>
      <c r="H505" s="43"/>
      <c r="I505" s="43"/>
      <c r="J505" s="43"/>
      <c r="K505" s="43"/>
      <c r="L505" s="43"/>
      <c r="M505" s="43"/>
      <c r="N505" s="43"/>
    </row>
    <row r="506">
      <c r="D506" s="64"/>
      <c r="E506" s="43"/>
      <c r="F506" s="43"/>
      <c r="G506" s="43"/>
      <c r="H506" s="43"/>
      <c r="I506" s="43"/>
      <c r="J506" s="43"/>
      <c r="K506" s="43"/>
      <c r="L506" s="43"/>
      <c r="M506" s="43"/>
      <c r="N506" s="43"/>
    </row>
    <row r="507">
      <c r="D507" s="64"/>
      <c r="E507" s="43"/>
      <c r="F507" s="43"/>
      <c r="G507" s="43"/>
      <c r="H507" s="43"/>
      <c r="I507" s="43"/>
      <c r="J507" s="43"/>
      <c r="K507" s="43"/>
      <c r="L507" s="43"/>
      <c r="M507" s="43"/>
      <c r="N507" s="43"/>
    </row>
    <row r="508">
      <c r="D508" s="64"/>
      <c r="E508" s="43"/>
      <c r="F508" s="43"/>
      <c r="G508" s="43"/>
      <c r="H508" s="43"/>
      <c r="I508" s="43"/>
      <c r="J508" s="43"/>
      <c r="K508" s="43"/>
      <c r="L508" s="43"/>
      <c r="M508" s="43"/>
      <c r="N508" s="43"/>
    </row>
    <row r="509">
      <c r="D509" s="64"/>
      <c r="E509" s="43"/>
      <c r="F509" s="43"/>
      <c r="G509" s="43"/>
      <c r="H509" s="43"/>
      <c r="I509" s="43"/>
      <c r="J509" s="43"/>
      <c r="K509" s="43"/>
      <c r="L509" s="43"/>
      <c r="M509" s="43"/>
      <c r="N509" s="43"/>
    </row>
    <row r="510">
      <c r="D510" s="64"/>
      <c r="E510" s="43"/>
      <c r="F510" s="43"/>
      <c r="G510" s="43"/>
      <c r="H510" s="43"/>
      <c r="I510" s="43"/>
      <c r="J510" s="43"/>
      <c r="K510" s="43"/>
      <c r="L510" s="43"/>
      <c r="M510" s="43"/>
      <c r="N510" s="43"/>
    </row>
    <row r="511">
      <c r="D511" s="64"/>
      <c r="E511" s="43"/>
      <c r="F511" s="43"/>
      <c r="G511" s="43"/>
      <c r="H511" s="43"/>
      <c r="I511" s="43"/>
      <c r="J511" s="43"/>
      <c r="K511" s="43"/>
      <c r="L511" s="43"/>
      <c r="M511" s="43"/>
      <c r="N511" s="43"/>
    </row>
    <row r="512">
      <c r="D512" s="64"/>
      <c r="E512" s="43"/>
      <c r="F512" s="43"/>
      <c r="G512" s="43"/>
      <c r="H512" s="43"/>
      <c r="I512" s="43"/>
      <c r="J512" s="43"/>
      <c r="K512" s="43"/>
      <c r="L512" s="43"/>
      <c r="M512" s="43"/>
      <c r="N512" s="43"/>
    </row>
    <row r="513">
      <c r="D513" s="64"/>
      <c r="E513" s="43"/>
      <c r="F513" s="43"/>
      <c r="G513" s="43"/>
      <c r="H513" s="43"/>
      <c r="I513" s="43"/>
      <c r="J513" s="43"/>
      <c r="K513" s="43"/>
      <c r="L513" s="43"/>
      <c r="M513" s="43"/>
      <c r="N513" s="43"/>
    </row>
    <row r="514">
      <c r="D514" s="64"/>
      <c r="E514" s="43"/>
      <c r="F514" s="43"/>
      <c r="G514" s="43"/>
      <c r="H514" s="43"/>
      <c r="I514" s="43"/>
      <c r="J514" s="43"/>
      <c r="K514" s="43"/>
      <c r="L514" s="43"/>
      <c r="M514" s="43"/>
      <c r="N514" s="43"/>
    </row>
    <row r="515">
      <c r="D515" s="64"/>
      <c r="E515" s="43"/>
      <c r="F515" s="43"/>
      <c r="G515" s="43"/>
      <c r="H515" s="43"/>
      <c r="I515" s="43"/>
      <c r="J515" s="43"/>
      <c r="K515" s="43"/>
      <c r="L515" s="43"/>
      <c r="M515" s="43"/>
      <c r="N515" s="43"/>
    </row>
    <row r="516">
      <c r="D516" s="64"/>
      <c r="E516" s="43"/>
      <c r="F516" s="43"/>
      <c r="G516" s="43"/>
      <c r="H516" s="43"/>
      <c r="I516" s="43"/>
      <c r="J516" s="43"/>
      <c r="K516" s="43"/>
      <c r="L516" s="43"/>
      <c r="M516" s="43"/>
      <c r="N516" s="43"/>
    </row>
    <row r="517">
      <c r="D517" s="64"/>
      <c r="E517" s="43"/>
      <c r="F517" s="43"/>
      <c r="G517" s="43"/>
      <c r="H517" s="43"/>
      <c r="I517" s="43"/>
      <c r="J517" s="43"/>
      <c r="K517" s="43"/>
      <c r="L517" s="43"/>
      <c r="M517" s="43"/>
      <c r="N517" s="43"/>
    </row>
    <row r="518">
      <c r="D518" s="64"/>
      <c r="E518" s="43"/>
      <c r="F518" s="43"/>
      <c r="G518" s="43"/>
      <c r="H518" s="43"/>
      <c r="I518" s="43"/>
      <c r="J518" s="43"/>
      <c r="K518" s="43"/>
      <c r="L518" s="43"/>
      <c r="M518" s="43"/>
      <c r="N518" s="43"/>
    </row>
    <row r="519">
      <c r="D519" s="64"/>
      <c r="E519" s="43"/>
      <c r="F519" s="43"/>
      <c r="G519" s="43"/>
      <c r="H519" s="43"/>
      <c r="I519" s="43"/>
      <c r="J519" s="43"/>
      <c r="K519" s="43"/>
      <c r="L519" s="43"/>
      <c r="M519" s="43"/>
      <c r="N519" s="43"/>
    </row>
    <row r="520">
      <c r="D520" s="64"/>
      <c r="E520" s="43"/>
      <c r="F520" s="43"/>
      <c r="G520" s="43"/>
      <c r="H520" s="43"/>
      <c r="I520" s="43"/>
      <c r="J520" s="43"/>
      <c r="K520" s="43"/>
      <c r="L520" s="43"/>
      <c r="M520" s="43"/>
      <c r="N520" s="43"/>
    </row>
    <row r="521">
      <c r="D521" s="64"/>
      <c r="E521" s="43"/>
      <c r="F521" s="43"/>
      <c r="G521" s="43"/>
      <c r="H521" s="43"/>
      <c r="I521" s="43"/>
      <c r="J521" s="43"/>
      <c r="K521" s="43"/>
      <c r="L521" s="43"/>
      <c r="M521" s="43"/>
      <c r="N521" s="43"/>
    </row>
    <row r="522">
      <c r="D522" s="64"/>
      <c r="E522" s="43"/>
      <c r="F522" s="43"/>
      <c r="G522" s="43"/>
      <c r="H522" s="43"/>
      <c r="I522" s="43"/>
      <c r="J522" s="43"/>
      <c r="K522" s="43"/>
      <c r="L522" s="43"/>
      <c r="M522" s="43"/>
      <c r="N522" s="43"/>
    </row>
    <row r="523">
      <c r="D523" s="64"/>
      <c r="E523" s="43"/>
      <c r="F523" s="43"/>
      <c r="G523" s="43"/>
      <c r="H523" s="43"/>
      <c r="I523" s="43"/>
      <c r="J523" s="43"/>
      <c r="K523" s="43"/>
      <c r="L523" s="43"/>
      <c r="M523" s="43"/>
      <c r="N523" s="43"/>
    </row>
    <row r="524">
      <c r="D524" s="64"/>
      <c r="E524" s="43"/>
      <c r="F524" s="43"/>
      <c r="G524" s="43"/>
      <c r="H524" s="43"/>
      <c r="I524" s="43"/>
      <c r="J524" s="43"/>
      <c r="K524" s="43"/>
      <c r="L524" s="43"/>
      <c r="M524" s="43"/>
      <c r="N524" s="43"/>
    </row>
    <row r="525">
      <c r="D525" s="64"/>
      <c r="E525" s="43"/>
      <c r="F525" s="43"/>
      <c r="G525" s="43"/>
      <c r="H525" s="43"/>
      <c r="I525" s="43"/>
      <c r="J525" s="43"/>
      <c r="K525" s="43"/>
      <c r="L525" s="43"/>
      <c r="M525" s="43"/>
      <c r="N525" s="43"/>
    </row>
    <row r="526">
      <c r="D526" s="64"/>
      <c r="E526" s="43"/>
      <c r="F526" s="43"/>
      <c r="G526" s="43"/>
      <c r="H526" s="43"/>
      <c r="I526" s="43"/>
      <c r="J526" s="43"/>
      <c r="K526" s="43"/>
      <c r="L526" s="43"/>
      <c r="M526" s="43"/>
      <c r="N526" s="43"/>
    </row>
    <row r="527">
      <c r="D527" s="64"/>
      <c r="E527" s="43"/>
      <c r="F527" s="43"/>
      <c r="G527" s="43"/>
      <c r="H527" s="43"/>
      <c r="I527" s="43"/>
      <c r="J527" s="43"/>
      <c r="K527" s="43"/>
      <c r="L527" s="43"/>
      <c r="M527" s="43"/>
      <c r="N527" s="43"/>
    </row>
    <row r="528">
      <c r="D528" s="64"/>
      <c r="E528" s="43"/>
      <c r="F528" s="43"/>
      <c r="G528" s="43"/>
      <c r="H528" s="43"/>
      <c r="I528" s="43"/>
      <c r="J528" s="43"/>
      <c r="K528" s="43"/>
      <c r="L528" s="43"/>
      <c r="M528" s="43"/>
      <c r="N528" s="43"/>
    </row>
    <row r="529">
      <c r="D529" s="64"/>
      <c r="E529" s="43"/>
      <c r="F529" s="43"/>
      <c r="G529" s="43"/>
      <c r="H529" s="43"/>
      <c r="I529" s="43"/>
      <c r="J529" s="43"/>
      <c r="K529" s="43"/>
      <c r="L529" s="43"/>
      <c r="M529" s="43"/>
      <c r="N529" s="43"/>
    </row>
    <row r="530">
      <c r="D530" s="64"/>
      <c r="E530" s="43"/>
      <c r="F530" s="43"/>
      <c r="G530" s="43"/>
      <c r="H530" s="43"/>
      <c r="I530" s="43"/>
      <c r="J530" s="43"/>
      <c r="K530" s="43"/>
      <c r="L530" s="43"/>
      <c r="M530" s="43"/>
      <c r="N530" s="43"/>
    </row>
    <row r="531">
      <c r="D531" s="64"/>
      <c r="E531" s="43"/>
      <c r="F531" s="43"/>
      <c r="G531" s="43"/>
      <c r="H531" s="43"/>
      <c r="I531" s="43"/>
      <c r="J531" s="43"/>
      <c r="K531" s="43"/>
      <c r="L531" s="43"/>
      <c r="M531" s="43"/>
      <c r="N531" s="43"/>
    </row>
    <row r="532">
      <c r="D532" s="64"/>
      <c r="E532" s="43"/>
      <c r="F532" s="43"/>
      <c r="G532" s="43"/>
      <c r="H532" s="43"/>
      <c r="I532" s="43"/>
      <c r="J532" s="43"/>
      <c r="K532" s="43"/>
      <c r="L532" s="43"/>
      <c r="M532" s="43"/>
      <c r="N532" s="43"/>
    </row>
    <row r="533">
      <c r="D533" s="64"/>
      <c r="E533" s="43"/>
      <c r="F533" s="43"/>
      <c r="G533" s="43"/>
      <c r="H533" s="43"/>
      <c r="I533" s="43"/>
      <c r="J533" s="43"/>
      <c r="K533" s="43"/>
      <c r="L533" s="43"/>
      <c r="M533" s="43"/>
      <c r="N533" s="43"/>
    </row>
    <row r="534">
      <c r="D534" s="64"/>
      <c r="E534" s="43"/>
      <c r="F534" s="43"/>
      <c r="G534" s="43"/>
      <c r="H534" s="43"/>
      <c r="I534" s="43"/>
      <c r="J534" s="43"/>
      <c r="K534" s="43"/>
      <c r="L534" s="43"/>
      <c r="M534" s="43"/>
      <c r="N534" s="43"/>
    </row>
    <row r="535">
      <c r="D535" s="64"/>
      <c r="E535" s="43"/>
      <c r="F535" s="43"/>
      <c r="G535" s="43"/>
      <c r="H535" s="43"/>
      <c r="I535" s="43"/>
      <c r="J535" s="43"/>
      <c r="K535" s="43"/>
      <c r="L535" s="43"/>
      <c r="M535" s="43"/>
      <c r="N535" s="43"/>
    </row>
    <row r="536">
      <c r="D536" s="64"/>
      <c r="E536" s="43"/>
      <c r="F536" s="43"/>
      <c r="G536" s="43"/>
      <c r="H536" s="43"/>
      <c r="I536" s="43"/>
      <c r="J536" s="43"/>
      <c r="K536" s="43"/>
      <c r="L536" s="43"/>
      <c r="M536" s="43"/>
      <c r="N536" s="43"/>
    </row>
    <row r="537">
      <c r="D537" s="64"/>
      <c r="E537" s="43"/>
      <c r="F537" s="43"/>
      <c r="G537" s="43"/>
      <c r="H537" s="43"/>
      <c r="I537" s="43"/>
      <c r="J537" s="43"/>
      <c r="K537" s="43"/>
      <c r="L537" s="43"/>
      <c r="M537" s="43"/>
      <c r="N537" s="43"/>
    </row>
    <row r="538">
      <c r="D538" s="64"/>
      <c r="E538" s="43"/>
      <c r="F538" s="43"/>
      <c r="G538" s="43"/>
      <c r="H538" s="43"/>
      <c r="I538" s="43"/>
      <c r="J538" s="43"/>
      <c r="K538" s="43"/>
      <c r="L538" s="43"/>
      <c r="M538" s="43"/>
      <c r="N538" s="43"/>
    </row>
    <row r="539">
      <c r="D539" s="64"/>
      <c r="E539" s="43"/>
      <c r="F539" s="43"/>
      <c r="G539" s="43"/>
      <c r="H539" s="43"/>
      <c r="I539" s="43"/>
      <c r="J539" s="43"/>
      <c r="K539" s="43"/>
      <c r="L539" s="43"/>
      <c r="M539" s="43"/>
      <c r="N539" s="43"/>
    </row>
    <row r="540">
      <c r="D540" s="64"/>
      <c r="E540" s="43"/>
      <c r="F540" s="43"/>
      <c r="G540" s="43"/>
      <c r="H540" s="43"/>
      <c r="I540" s="43"/>
      <c r="J540" s="43"/>
      <c r="K540" s="43"/>
      <c r="L540" s="43"/>
      <c r="M540" s="43"/>
      <c r="N540" s="43"/>
    </row>
    <row r="541">
      <c r="D541" s="64"/>
      <c r="E541" s="43"/>
      <c r="F541" s="43"/>
      <c r="G541" s="43"/>
      <c r="H541" s="43"/>
      <c r="I541" s="43"/>
      <c r="J541" s="43"/>
      <c r="K541" s="43"/>
      <c r="L541" s="43"/>
      <c r="M541" s="43"/>
      <c r="N541" s="43"/>
    </row>
    <row r="542">
      <c r="D542" s="64"/>
      <c r="E542" s="43"/>
      <c r="F542" s="43"/>
      <c r="G542" s="43"/>
      <c r="H542" s="43"/>
      <c r="I542" s="43"/>
      <c r="J542" s="43"/>
      <c r="K542" s="43"/>
      <c r="L542" s="43"/>
      <c r="M542" s="43"/>
      <c r="N542" s="43"/>
    </row>
    <row r="543">
      <c r="D543" s="64"/>
      <c r="E543" s="43"/>
      <c r="F543" s="43"/>
      <c r="G543" s="43"/>
      <c r="H543" s="43"/>
      <c r="I543" s="43"/>
      <c r="J543" s="43"/>
      <c r="K543" s="43"/>
      <c r="L543" s="43"/>
      <c r="M543" s="43"/>
      <c r="N543" s="43"/>
    </row>
    <row r="544">
      <c r="D544" s="64"/>
      <c r="E544" s="43"/>
      <c r="F544" s="43"/>
      <c r="G544" s="43"/>
      <c r="H544" s="43"/>
      <c r="I544" s="43"/>
      <c r="J544" s="43"/>
      <c r="K544" s="43"/>
      <c r="L544" s="43"/>
      <c r="M544" s="43"/>
      <c r="N544" s="43"/>
    </row>
    <row r="545">
      <c r="D545" s="64"/>
      <c r="E545" s="43"/>
      <c r="F545" s="43"/>
      <c r="G545" s="43"/>
      <c r="H545" s="43"/>
      <c r="I545" s="43"/>
      <c r="J545" s="43"/>
      <c r="K545" s="43"/>
      <c r="L545" s="43"/>
      <c r="M545" s="43"/>
      <c r="N545" s="43"/>
    </row>
    <row r="546">
      <c r="D546" s="64"/>
      <c r="E546" s="43"/>
      <c r="F546" s="43"/>
      <c r="G546" s="43"/>
      <c r="H546" s="43"/>
      <c r="I546" s="43"/>
      <c r="J546" s="43"/>
      <c r="K546" s="43"/>
      <c r="L546" s="43"/>
      <c r="M546" s="43"/>
      <c r="N546" s="43"/>
    </row>
    <row r="547">
      <c r="D547" s="64"/>
      <c r="E547" s="43"/>
      <c r="F547" s="43"/>
      <c r="G547" s="43"/>
      <c r="H547" s="43"/>
      <c r="I547" s="43"/>
      <c r="J547" s="43"/>
      <c r="K547" s="43"/>
      <c r="L547" s="43"/>
      <c r="M547" s="43"/>
      <c r="N547" s="43"/>
    </row>
    <row r="548">
      <c r="D548" s="64"/>
      <c r="E548" s="43"/>
      <c r="F548" s="43"/>
      <c r="G548" s="43"/>
      <c r="H548" s="43"/>
      <c r="I548" s="43"/>
      <c r="J548" s="43"/>
      <c r="K548" s="43"/>
      <c r="L548" s="43"/>
      <c r="M548" s="43"/>
      <c r="N548" s="43"/>
    </row>
    <row r="549">
      <c r="D549" s="64"/>
      <c r="E549" s="43"/>
      <c r="F549" s="43"/>
      <c r="G549" s="43"/>
      <c r="H549" s="43"/>
      <c r="I549" s="43"/>
      <c r="J549" s="43"/>
      <c r="K549" s="43"/>
      <c r="L549" s="43"/>
      <c r="M549" s="43"/>
      <c r="N549" s="43"/>
    </row>
    <row r="550">
      <c r="D550" s="64"/>
      <c r="E550" s="43"/>
      <c r="F550" s="43"/>
      <c r="G550" s="43"/>
      <c r="H550" s="43"/>
      <c r="I550" s="43"/>
      <c r="J550" s="43"/>
      <c r="K550" s="43"/>
      <c r="L550" s="43"/>
      <c r="M550" s="43"/>
      <c r="N550" s="43"/>
    </row>
    <row r="551">
      <c r="D551" s="64"/>
      <c r="E551" s="43"/>
      <c r="F551" s="43"/>
      <c r="G551" s="43"/>
      <c r="H551" s="43"/>
      <c r="I551" s="43"/>
      <c r="J551" s="43"/>
      <c r="K551" s="43"/>
      <c r="L551" s="43"/>
      <c r="M551" s="43"/>
      <c r="N551" s="43"/>
    </row>
    <row r="552">
      <c r="D552" s="64"/>
      <c r="E552" s="43"/>
      <c r="F552" s="43"/>
      <c r="G552" s="43"/>
      <c r="H552" s="43"/>
      <c r="I552" s="43"/>
      <c r="J552" s="43"/>
      <c r="K552" s="43"/>
      <c r="L552" s="43"/>
      <c r="M552" s="43"/>
      <c r="N552" s="43"/>
    </row>
    <row r="553">
      <c r="D553" s="64"/>
      <c r="E553" s="43"/>
      <c r="F553" s="43"/>
      <c r="G553" s="43"/>
      <c r="H553" s="43"/>
      <c r="I553" s="43"/>
      <c r="J553" s="43"/>
      <c r="K553" s="43"/>
      <c r="L553" s="43"/>
      <c r="M553" s="43"/>
      <c r="N553" s="43"/>
    </row>
    <row r="554">
      <c r="D554" s="64"/>
      <c r="E554" s="43"/>
      <c r="F554" s="43"/>
      <c r="G554" s="43"/>
      <c r="H554" s="43"/>
      <c r="I554" s="43"/>
      <c r="J554" s="43"/>
      <c r="K554" s="43"/>
      <c r="L554" s="43"/>
      <c r="M554" s="43"/>
      <c r="N554" s="43"/>
    </row>
    <row r="555">
      <c r="D555" s="64"/>
      <c r="E555" s="43"/>
      <c r="F555" s="43"/>
      <c r="G555" s="43"/>
      <c r="H555" s="43"/>
      <c r="I555" s="43"/>
      <c r="J555" s="43"/>
      <c r="K555" s="43"/>
      <c r="L555" s="43"/>
      <c r="M555" s="43"/>
      <c r="N555" s="43"/>
    </row>
    <row r="556">
      <c r="D556" s="64"/>
      <c r="E556" s="43"/>
      <c r="F556" s="43"/>
      <c r="G556" s="43"/>
      <c r="H556" s="43"/>
      <c r="I556" s="43"/>
      <c r="J556" s="43"/>
      <c r="K556" s="43"/>
      <c r="L556" s="43"/>
      <c r="M556" s="43"/>
      <c r="N556" s="43"/>
    </row>
    <row r="557">
      <c r="D557" s="64"/>
      <c r="E557" s="43"/>
      <c r="F557" s="43"/>
      <c r="G557" s="43"/>
      <c r="H557" s="43"/>
      <c r="I557" s="43"/>
      <c r="J557" s="43"/>
      <c r="K557" s="43"/>
      <c r="L557" s="43"/>
      <c r="M557" s="43"/>
      <c r="N557" s="43"/>
    </row>
    <row r="558">
      <c r="D558" s="64"/>
      <c r="E558" s="43"/>
      <c r="F558" s="43"/>
      <c r="G558" s="43"/>
      <c r="H558" s="43"/>
      <c r="I558" s="43"/>
      <c r="J558" s="43"/>
      <c r="K558" s="43"/>
      <c r="L558" s="43"/>
      <c r="M558" s="43"/>
      <c r="N558" s="43"/>
    </row>
    <row r="559">
      <c r="D559" s="64"/>
      <c r="E559" s="43"/>
      <c r="F559" s="43"/>
      <c r="G559" s="43"/>
      <c r="H559" s="43"/>
      <c r="I559" s="43"/>
      <c r="J559" s="43"/>
      <c r="K559" s="43"/>
      <c r="L559" s="43"/>
      <c r="M559" s="43"/>
      <c r="N559" s="43"/>
    </row>
    <row r="560">
      <c r="D560" s="64"/>
      <c r="E560" s="43"/>
      <c r="F560" s="43"/>
      <c r="G560" s="43"/>
      <c r="H560" s="43"/>
      <c r="I560" s="43"/>
      <c r="J560" s="43"/>
      <c r="K560" s="43"/>
      <c r="L560" s="43"/>
      <c r="M560" s="43"/>
      <c r="N560" s="43"/>
    </row>
    <row r="561">
      <c r="D561" s="64"/>
      <c r="E561" s="43"/>
      <c r="F561" s="43"/>
      <c r="G561" s="43"/>
      <c r="H561" s="43"/>
      <c r="I561" s="43"/>
      <c r="J561" s="43"/>
      <c r="K561" s="43"/>
      <c r="L561" s="43"/>
      <c r="M561" s="43"/>
      <c r="N561" s="43"/>
    </row>
    <row r="562">
      <c r="D562" s="64"/>
      <c r="E562" s="43"/>
      <c r="F562" s="43"/>
      <c r="G562" s="43"/>
      <c r="H562" s="43"/>
      <c r="I562" s="43"/>
      <c r="J562" s="43"/>
      <c r="K562" s="43"/>
      <c r="L562" s="43"/>
      <c r="M562" s="43"/>
      <c r="N562" s="43"/>
    </row>
    <row r="563">
      <c r="D563" s="64"/>
      <c r="E563" s="43"/>
      <c r="F563" s="43"/>
      <c r="G563" s="43"/>
      <c r="H563" s="43"/>
      <c r="I563" s="43"/>
      <c r="J563" s="43"/>
      <c r="K563" s="43"/>
      <c r="L563" s="43"/>
      <c r="M563" s="43"/>
      <c r="N563" s="43"/>
    </row>
    <row r="564">
      <c r="D564" s="64"/>
      <c r="E564" s="43"/>
      <c r="F564" s="43"/>
      <c r="G564" s="43"/>
      <c r="H564" s="43"/>
      <c r="I564" s="43"/>
      <c r="J564" s="43"/>
      <c r="K564" s="43"/>
      <c r="L564" s="43"/>
      <c r="M564" s="43"/>
      <c r="N564" s="43"/>
    </row>
    <row r="565">
      <c r="D565" s="64"/>
      <c r="E565" s="43"/>
      <c r="F565" s="43"/>
      <c r="G565" s="43"/>
      <c r="H565" s="43"/>
      <c r="I565" s="43"/>
      <c r="J565" s="43"/>
      <c r="K565" s="43"/>
      <c r="L565" s="43"/>
      <c r="M565" s="43"/>
      <c r="N565" s="43"/>
    </row>
    <row r="566">
      <c r="D566" s="64"/>
      <c r="E566" s="43"/>
      <c r="F566" s="43"/>
      <c r="G566" s="43"/>
      <c r="H566" s="43"/>
      <c r="I566" s="43"/>
      <c r="J566" s="43"/>
      <c r="K566" s="43"/>
      <c r="L566" s="43"/>
      <c r="M566" s="43"/>
      <c r="N566" s="43"/>
    </row>
    <row r="567">
      <c r="D567" s="64"/>
      <c r="E567" s="43"/>
      <c r="F567" s="43"/>
      <c r="G567" s="43"/>
      <c r="H567" s="43"/>
      <c r="I567" s="43"/>
      <c r="J567" s="43"/>
      <c r="K567" s="43"/>
      <c r="L567" s="43"/>
      <c r="M567" s="43"/>
      <c r="N567" s="43"/>
    </row>
    <row r="568">
      <c r="D568" s="64"/>
      <c r="E568" s="43"/>
      <c r="F568" s="43"/>
      <c r="G568" s="43"/>
      <c r="H568" s="43"/>
      <c r="I568" s="43"/>
      <c r="J568" s="43"/>
      <c r="K568" s="43"/>
      <c r="L568" s="43"/>
      <c r="M568" s="43"/>
      <c r="N568" s="43"/>
    </row>
    <row r="569">
      <c r="D569" s="64"/>
      <c r="E569" s="43"/>
      <c r="F569" s="43"/>
      <c r="G569" s="43"/>
      <c r="H569" s="43"/>
      <c r="I569" s="43"/>
      <c r="J569" s="43"/>
      <c r="K569" s="43"/>
      <c r="L569" s="43"/>
      <c r="M569" s="43"/>
      <c r="N569" s="43"/>
    </row>
    <row r="570">
      <c r="D570" s="64"/>
      <c r="E570" s="43"/>
      <c r="F570" s="43"/>
      <c r="G570" s="43"/>
      <c r="H570" s="43"/>
      <c r="I570" s="43"/>
      <c r="J570" s="43"/>
      <c r="K570" s="43"/>
      <c r="L570" s="43"/>
      <c r="M570" s="43"/>
      <c r="N570" s="43"/>
    </row>
    <row r="571">
      <c r="D571" s="64"/>
      <c r="E571" s="43"/>
      <c r="F571" s="43"/>
      <c r="G571" s="43"/>
      <c r="H571" s="43"/>
      <c r="I571" s="43"/>
      <c r="J571" s="43"/>
      <c r="K571" s="43"/>
      <c r="L571" s="43"/>
      <c r="M571" s="43"/>
      <c r="N571" s="43"/>
    </row>
    <row r="572">
      <c r="D572" s="64"/>
      <c r="E572" s="43"/>
      <c r="F572" s="43"/>
      <c r="G572" s="43"/>
      <c r="H572" s="43"/>
      <c r="I572" s="43"/>
      <c r="J572" s="43"/>
      <c r="K572" s="43"/>
      <c r="L572" s="43"/>
      <c r="M572" s="43"/>
      <c r="N572" s="43"/>
    </row>
    <row r="573">
      <c r="D573" s="64"/>
      <c r="E573" s="43"/>
      <c r="F573" s="43"/>
      <c r="G573" s="43"/>
      <c r="H573" s="43"/>
      <c r="I573" s="43"/>
      <c r="J573" s="43"/>
      <c r="K573" s="43"/>
      <c r="L573" s="43"/>
      <c r="M573" s="43"/>
      <c r="N573" s="43"/>
    </row>
    <row r="574">
      <c r="D574" s="64"/>
      <c r="E574" s="43"/>
      <c r="F574" s="43"/>
      <c r="G574" s="43"/>
      <c r="H574" s="43"/>
      <c r="I574" s="43"/>
      <c r="J574" s="43"/>
      <c r="K574" s="43"/>
      <c r="L574" s="43"/>
      <c r="M574" s="43"/>
      <c r="N574" s="43"/>
    </row>
    <row r="575">
      <c r="D575" s="64"/>
      <c r="E575" s="43"/>
      <c r="F575" s="43"/>
      <c r="G575" s="43"/>
      <c r="H575" s="43"/>
      <c r="I575" s="43"/>
      <c r="J575" s="43"/>
      <c r="K575" s="43"/>
      <c r="L575" s="43"/>
      <c r="M575" s="43"/>
      <c r="N575" s="43"/>
    </row>
    <row r="576">
      <c r="D576" s="64"/>
      <c r="E576" s="43"/>
      <c r="F576" s="43"/>
      <c r="G576" s="43"/>
      <c r="H576" s="43"/>
      <c r="I576" s="43"/>
      <c r="J576" s="43"/>
      <c r="K576" s="43"/>
      <c r="L576" s="43"/>
      <c r="M576" s="43"/>
      <c r="N576" s="43"/>
    </row>
    <row r="577">
      <c r="D577" s="64"/>
      <c r="E577" s="43"/>
      <c r="F577" s="43"/>
      <c r="G577" s="43"/>
      <c r="H577" s="43"/>
      <c r="I577" s="43"/>
      <c r="J577" s="43"/>
      <c r="K577" s="43"/>
      <c r="L577" s="43"/>
      <c r="M577" s="43"/>
      <c r="N577" s="43"/>
    </row>
    <row r="578">
      <c r="D578" s="64"/>
      <c r="E578" s="43"/>
      <c r="F578" s="43"/>
      <c r="G578" s="43"/>
      <c r="H578" s="43"/>
      <c r="I578" s="43"/>
      <c r="J578" s="43"/>
      <c r="K578" s="43"/>
      <c r="L578" s="43"/>
      <c r="M578" s="43"/>
      <c r="N578" s="43"/>
    </row>
    <row r="579">
      <c r="D579" s="64"/>
      <c r="E579" s="43"/>
      <c r="F579" s="43"/>
      <c r="G579" s="43"/>
      <c r="H579" s="43"/>
      <c r="I579" s="43"/>
      <c r="J579" s="43"/>
      <c r="K579" s="43"/>
      <c r="L579" s="43"/>
      <c r="M579" s="43"/>
      <c r="N579" s="43"/>
    </row>
    <row r="580">
      <c r="D580" s="64"/>
      <c r="E580" s="43"/>
      <c r="F580" s="43"/>
      <c r="G580" s="43"/>
      <c r="H580" s="43"/>
      <c r="I580" s="43"/>
      <c r="J580" s="43"/>
      <c r="K580" s="43"/>
      <c r="L580" s="43"/>
      <c r="M580" s="43"/>
      <c r="N580" s="43"/>
    </row>
    <row r="581">
      <c r="D581" s="64"/>
      <c r="E581" s="43"/>
      <c r="F581" s="43"/>
      <c r="G581" s="43"/>
      <c r="H581" s="43"/>
      <c r="I581" s="43"/>
      <c r="J581" s="43"/>
      <c r="K581" s="43"/>
      <c r="L581" s="43"/>
      <c r="M581" s="43"/>
      <c r="N581" s="43"/>
    </row>
    <row r="582">
      <c r="D582" s="64"/>
      <c r="E582" s="43"/>
      <c r="F582" s="43"/>
      <c r="G582" s="43"/>
      <c r="H582" s="43"/>
      <c r="I582" s="43"/>
      <c r="J582" s="43"/>
      <c r="K582" s="43"/>
      <c r="L582" s="43"/>
      <c r="M582" s="43"/>
      <c r="N582" s="43"/>
    </row>
    <row r="583">
      <c r="D583" s="64"/>
      <c r="E583" s="43"/>
      <c r="F583" s="43"/>
      <c r="G583" s="43"/>
      <c r="H583" s="43"/>
      <c r="I583" s="43"/>
      <c r="J583" s="43"/>
      <c r="K583" s="43"/>
      <c r="L583" s="43"/>
      <c r="M583" s="43"/>
      <c r="N583" s="43"/>
    </row>
    <row r="584">
      <c r="D584" s="64"/>
      <c r="E584" s="43"/>
      <c r="F584" s="43"/>
      <c r="G584" s="43"/>
      <c r="H584" s="43"/>
      <c r="I584" s="43"/>
      <c r="J584" s="43"/>
      <c r="K584" s="43"/>
      <c r="L584" s="43"/>
      <c r="M584" s="43"/>
      <c r="N584" s="43"/>
    </row>
    <row r="585">
      <c r="D585" s="64"/>
      <c r="E585" s="43"/>
      <c r="F585" s="43"/>
      <c r="G585" s="43"/>
      <c r="H585" s="43"/>
      <c r="I585" s="43"/>
      <c r="J585" s="43"/>
      <c r="K585" s="43"/>
      <c r="L585" s="43"/>
      <c r="M585" s="43"/>
      <c r="N585" s="43"/>
    </row>
    <row r="586">
      <c r="D586" s="64"/>
      <c r="E586" s="43"/>
      <c r="F586" s="43"/>
      <c r="G586" s="43"/>
      <c r="H586" s="43"/>
      <c r="I586" s="43"/>
      <c r="J586" s="43"/>
      <c r="K586" s="43"/>
      <c r="L586" s="43"/>
      <c r="M586" s="43"/>
      <c r="N586" s="43"/>
    </row>
    <row r="587">
      <c r="D587" s="64"/>
      <c r="E587" s="43"/>
      <c r="F587" s="43"/>
      <c r="G587" s="43"/>
      <c r="H587" s="43"/>
      <c r="I587" s="43"/>
      <c r="J587" s="43"/>
      <c r="K587" s="43"/>
      <c r="L587" s="43"/>
      <c r="M587" s="43"/>
      <c r="N587" s="43"/>
    </row>
    <row r="588">
      <c r="D588" s="64"/>
      <c r="E588" s="43"/>
      <c r="F588" s="43"/>
      <c r="G588" s="43"/>
      <c r="H588" s="43"/>
      <c r="I588" s="43"/>
      <c r="J588" s="43"/>
      <c r="K588" s="43"/>
      <c r="L588" s="43"/>
      <c r="M588" s="43"/>
      <c r="N588" s="43"/>
    </row>
    <row r="589">
      <c r="D589" s="64"/>
      <c r="E589" s="43"/>
      <c r="F589" s="43"/>
      <c r="G589" s="43"/>
      <c r="H589" s="43"/>
      <c r="I589" s="43"/>
      <c r="J589" s="43"/>
      <c r="K589" s="43"/>
      <c r="L589" s="43"/>
      <c r="M589" s="43"/>
      <c r="N589" s="43"/>
    </row>
    <row r="590">
      <c r="D590" s="64"/>
      <c r="E590" s="43"/>
      <c r="F590" s="43"/>
      <c r="G590" s="43"/>
      <c r="H590" s="43"/>
      <c r="I590" s="43"/>
      <c r="J590" s="43"/>
      <c r="K590" s="43"/>
      <c r="L590" s="43"/>
      <c r="M590" s="43"/>
      <c r="N590" s="43"/>
    </row>
    <row r="591">
      <c r="D591" s="64"/>
      <c r="E591" s="43"/>
      <c r="F591" s="43"/>
      <c r="G591" s="43"/>
      <c r="H591" s="43"/>
      <c r="I591" s="43"/>
      <c r="J591" s="43"/>
      <c r="K591" s="43"/>
      <c r="L591" s="43"/>
      <c r="M591" s="43"/>
      <c r="N591" s="43"/>
    </row>
    <row r="592">
      <c r="D592" s="64"/>
      <c r="E592" s="43"/>
      <c r="F592" s="43"/>
      <c r="G592" s="43"/>
      <c r="H592" s="43"/>
      <c r="I592" s="43"/>
      <c r="J592" s="43"/>
      <c r="K592" s="43"/>
      <c r="L592" s="43"/>
      <c r="M592" s="43"/>
      <c r="N592" s="43"/>
    </row>
    <row r="593">
      <c r="D593" s="64"/>
      <c r="E593" s="43"/>
      <c r="F593" s="43"/>
      <c r="G593" s="43"/>
      <c r="H593" s="43"/>
      <c r="I593" s="43"/>
      <c r="J593" s="43"/>
      <c r="K593" s="43"/>
      <c r="L593" s="43"/>
      <c r="M593" s="43"/>
      <c r="N593" s="43"/>
    </row>
    <row r="594">
      <c r="D594" s="64"/>
      <c r="E594" s="43"/>
      <c r="F594" s="43"/>
      <c r="G594" s="43"/>
      <c r="H594" s="43"/>
      <c r="I594" s="43"/>
      <c r="J594" s="43"/>
      <c r="K594" s="43"/>
      <c r="L594" s="43"/>
      <c r="M594" s="43"/>
      <c r="N594" s="43"/>
    </row>
    <row r="595">
      <c r="D595" s="64"/>
      <c r="E595" s="43"/>
      <c r="F595" s="43"/>
      <c r="G595" s="43"/>
      <c r="H595" s="43"/>
      <c r="I595" s="43"/>
      <c r="J595" s="43"/>
      <c r="K595" s="43"/>
      <c r="L595" s="43"/>
      <c r="M595" s="43"/>
      <c r="N595" s="43"/>
    </row>
    <row r="596">
      <c r="D596" s="64"/>
      <c r="E596" s="43"/>
      <c r="F596" s="43"/>
      <c r="G596" s="43"/>
      <c r="H596" s="43"/>
      <c r="I596" s="43"/>
      <c r="J596" s="43"/>
      <c r="K596" s="43"/>
      <c r="L596" s="43"/>
      <c r="M596" s="43"/>
      <c r="N596" s="43"/>
    </row>
    <row r="597">
      <c r="D597" s="64"/>
      <c r="E597" s="43"/>
      <c r="F597" s="43"/>
      <c r="G597" s="43"/>
      <c r="H597" s="43"/>
      <c r="I597" s="43"/>
      <c r="J597" s="43"/>
      <c r="K597" s="43"/>
      <c r="L597" s="43"/>
      <c r="M597" s="43"/>
      <c r="N597" s="43"/>
    </row>
    <row r="598">
      <c r="D598" s="64"/>
      <c r="E598" s="43"/>
      <c r="F598" s="43"/>
      <c r="G598" s="43"/>
      <c r="H598" s="43"/>
      <c r="I598" s="43"/>
      <c r="J598" s="43"/>
      <c r="K598" s="43"/>
      <c r="L598" s="43"/>
      <c r="M598" s="43"/>
      <c r="N598" s="43"/>
    </row>
    <row r="599">
      <c r="D599" s="64"/>
      <c r="E599" s="43"/>
      <c r="F599" s="43"/>
      <c r="G599" s="43"/>
      <c r="H599" s="43"/>
      <c r="I599" s="43"/>
      <c r="J599" s="43"/>
      <c r="K599" s="43"/>
      <c r="L599" s="43"/>
      <c r="M599" s="43"/>
      <c r="N599" s="43"/>
    </row>
    <row r="600">
      <c r="D600" s="64"/>
      <c r="E600" s="43"/>
      <c r="F600" s="43"/>
      <c r="G600" s="43"/>
      <c r="H600" s="43"/>
      <c r="I600" s="43"/>
      <c r="J600" s="43"/>
      <c r="K600" s="43"/>
      <c r="L600" s="43"/>
      <c r="M600" s="43"/>
      <c r="N600" s="43"/>
    </row>
    <row r="601">
      <c r="D601" s="64"/>
      <c r="E601" s="43"/>
      <c r="F601" s="43"/>
      <c r="G601" s="43"/>
      <c r="H601" s="43"/>
      <c r="I601" s="43"/>
      <c r="J601" s="43"/>
      <c r="K601" s="43"/>
      <c r="L601" s="43"/>
      <c r="M601" s="43"/>
      <c r="N601" s="43"/>
    </row>
    <row r="602">
      <c r="D602" s="64"/>
      <c r="E602" s="43"/>
      <c r="F602" s="43"/>
      <c r="G602" s="43"/>
      <c r="H602" s="43"/>
      <c r="I602" s="43"/>
      <c r="J602" s="43"/>
      <c r="K602" s="43"/>
      <c r="L602" s="43"/>
      <c r="M602" s="43"/>
      <c r="N602" s="43"/>
    </row>
    <row r="603">
      <c r="D603" s="64"/>
      <c r="E603" s="43"/>
      <c r="F603" s="43"/>
      <c r="G603" s="43"/>
      <c r="H603" s="43"/>
      <c r="I603" s="43"/>
      <c r="J603" s="43"/>
      <c r="K603" s="43"/>
      <c r="L603" s="43"/>
      <c r="M603" s="43"/>
      <c r="N603" s="43"/>
    </row>
    <row r="604">
      <c r="D604" s="64"/>
      <c r="E604" s="43"/>
      <c r="F604" s="43"/>
      <c r="G604" s="43"/>
      <c r="H604" s="43"/>
      <c r="I604" s="43"/>
      <c r="J604" s="43"/>
      <c r="K604" s="43"/>
      <c r="L604" s="43"/>
      <c r="M604" s="43"/>
      <c r="N604" s="43"/>
    </row>
    <row r="605">
      <c r="D605" s="64"/>
      <c r="E605" s="43"/>
      <c r="F605" s="43"/>
      <c r="G605" s="43"/>
      <c r="H605" s="43"/>
      <c r="I605" s="43"/>
      <c r="J605" s="43"/>
      <c r="K605" s="43"/>
      <c r="L605" s="43"/>
      <c r="M605" s="43"/>
      <c r="N605" s="43"/>
    </row>
    <row r="606">
      <c r="D606" s="64"/>
      <c r="E606" s="43"/>
      <c r="F606" s="43"/>
      <c r="G606" s="43"/>
      <c r="H606" s="43"/>
      <c r="I606" s="43"/>
      <c r="J606" s="43"/>
      <c r="K606" s="43"/>
      <c r="L606" s="43"/>
      <c r="M606" s="43"/>
      <c r="N606" s="43"/>
    </row>
    <row r="607">
      <c r="D607" s="64"/>
      <c r="E607" s="43"/>
      <c r="F607" s="43"/>
      <c r="G607" s="43"/>
      <c r="H607" s="43"/>
      <c r="I607" s="43"/>
      <c r="J607" s="43"/>
      <c r="K607" s="43"/>
      <c r="L607" s="43"/>
      <c r="M607" s="43"/>
      <c r="N607" s="43"/>
    </row>
    <row r="608">
      <c r="D608" s="64"/>
      <c r="E608" s="43"/>
      <c r="F608" s="43"/>
      <c r="G608" s="43"/>
      <c r="H608" s="43"/>
      <c r="I608" s="43"/>
      <c r="J608" s="43"/>
      <c r="K608" s="43"/>
      <c r="L608" s="43"/>
      <c r="M608" s="43"/>
      <c r="N608" s="43"/>
    </row>
    <row r="609">
      <c r="D609" s="64"/>
      <c r="E609" s="43"/>
      <c r="F609" s="43"/>
      <c r="G609" s="43"/>
      <c r="H609" s="43"/>
      <c r="I609" s="43"/>
      <c r="J609" s="43"/>
      <c r="K609" s="43"/>
      <c r="L609" s="43"/>
      <c r="M609" s="43"/>
      <c r="N609" s="43"/>
    </row>
    <row r="610">
      <c r="D610" s="64"/>
      <c r="E610" s="43"/>
      <c r="F610" s="43"/>
      <c r="G610" s="43"/>
      <c r="H610" s="43"/>
      <c r="I610" s="43"/>
      <c r="J610" s="43"/>
      <c r="K610" s="43"/>
      <c r="L610" s="43"/>
      <c r="M610" s="43"/>
      <c r="N610" s="43"/>
    </row>
    <row r="611">
      <c r="D611" s="64"/>
      <c r="E611" s="43"/>
      <c r="F611" s="43"/>
      <c r="G611" s="43"/>
      <c r="H611" s="43"/>
      <c r="I611" s="43"/>
      <c r="J611" s="43"/>
      <c r="K611" s="43"/>
      <c r="L611" s="43"/>
      <c r="M611" s="43"/>
      <c r="N611" s="43"/>
    </row>
    <row r="612">
      <c r="D612" s="64"/>
      <c r="E612" s="43"/>
      <c r="F612" s="43"/>
      <c r="G612" s="43"/>
      <c r="H612" s="43"/>
      <c r="I612" s="43"/>
      <c r="J612" s="43"/>
      <c r="K612" s="43"/>
      <c r="L612" s="43"/>
      <c r="M612" s="43"/>
      <c r="N612" s="43"/>
    </row>
    <row r="613">
      <c r="D613" s="64"/>
      <c r="E613" s="43"/>
      <c r="F613" s="43"/>
      <c r="G613" s="43"/>
      <c r="H613" s="43"/>
      <c r="I613" s="43"/>
      <c r="J613" s="43"/>
      <c r="K613" s="43"/>
      <c r="L613" s="43"/>
      <c r="M613" s="43"/>
      <c r="N613" s="43"/>
    </row>
    <row r="614">
      <c r="D614" s="64"/>
      <c r="E614" s="43"/>
      <c r="F614" s="43"/>
      <c r="G614" s="43"/>
      <c r="H614" s="43"/>
      <c r="I614" s="43"/>
      <c r="J614" s="43"/>
      <c r="K614" s="43"/>
      <c r="L614" s="43"/>
      <c r="M614" s="43"/>
      <c r="N614" s="43"/>
    </row>
    <row r="615">
      <c r="D615" s="64"/>
      <c r="E615" s="43"/>
      <c r="F615" s="43"/>
      <c r="G615" s="43"/>
      <c r="H615" s="43"/>
      <c r="I615" s="43"/>
      <c r="J615" s="43"/>
      <c r="K615" s="43"/>
      <c r="L615" s="43"/>
      <c r="M615" s="43"/>
      <c r="N615" s="43"/>
    </row>
    <row r="616">
      <c r="D616" s="64"/>
      <c r="E616" s="43"/>
      <c r="F616" s="43"/>
      <c r="G616" s="43"/>
      <c r="H616" s="43"/>
      <c r="I616" s="43"/>
      <c r="J616" s="43"/>
      <c r="K616" s="43"/>
      <c r="L616" s="43"/>
      <c r="M616" s="43"/>
      <c r="N616" s="43"/>
    </row>
    <row r="617">
      <c r="D617" s="64"/>
      <c r="E617" s="43"/>
      <c r="F617" s="43"/>
      <c r="G617" s="43"/>
      <c r="H617" s="43"/>
      <c r="I617" s="43"/>
      <c r="J617" s="43"/>
      <c r="K617" s="43"/>
      <c r="L617" s="43"/>
      <c r="M617" s="43"/>
      <c r="N617" s="43"/>
    </row>
    <row r="618">
      <c r="D618" s="64"/>
      <c r="E618" s="43"/>
      <c r="F618" s="43"/>
      <c r="G618" s="43"/>
      <c r="H618" s="43"/>
      <c r="I618" s="43"/>
      <c r="J618" s="43"/>
      <c r="K618" s="43"/>
      <c r="L618" s="43"/>
      <c r="M618" s="43"/>
      <c r="N618" s="43"/>
    </row>
    <row r="619">
      <c r="D619" s="64"/>
      <c r="E619" s="43"/>
      <c r="F619" s="43"/>
      <c r="G619" s="43"/>
      <c r="H619" s="43"/>
      <c r="I619" s="43"/>
      <c r="J619" s="43"/>
      <c r="K619" s="43"/>
      <c r="L619" s="43"/>
      <c r="M619" s="43"/>
      <c r="N619" s="43"/>
    </row>
    <row r="620">
      <c r="D620" s="64"/>
      <c r="E620" s="43"/>
      <c r="F620" s="43"/>
      <c r="G620" s="43"/>
      <c r="H620" s="43"/>
      <c r="I620" s="43"/>
      <c r="J620" s="43"/>
      <c r="K620" s="43"/>
      <c r="L620" s="43"/>
      <c r="M620" s="43"/>
      <c r="N620" s="43"/>
    </row>
    <row r="621">
      <c r="D621" s="64"/>
      <c r="E621" s="43"/>
      <c r="F621" s="43"/>
      <c r="G621" s="43"/>
      <c r="H621" s="43"/>
      <c r="I621" s="43"/>
      <c r="J621" s="43"/>
      <c r="K621" s="43"/>
      <c r="L621" s="43"/>
      <c r="M621" s="43"/>
      <c r="N621" s="43"/>
    </row>
    <row r="622">
      <c r="D622" s="64"/>
      <c r="E622" s="43"/>
      <c r="F622" s="43"/>
      <c r="G622" s="43"/>
      <c r="H622" s="43"/>
      <c r="I622" s="43"/>
      <c r="J622" s="43"/>
      <c r="K622" s="43"/>
      <c r="L622" s="43"/>
      <c r="M622" s="43"/>
      <c r="N622" s="43"/>
    </row>
    <row r="623">
      <c r="D623" s="64"/>
      <c r="E623" s="43"/>
      <c r="F623" s="43"/>
      <c r="G623" s="43"/>
      <c r="H623" s="43"/>
      <c r="I623" s="43"/>
      <c r="J623" s="43"/>
      <c r="K623" s="43"/>
      <c r="L623" s="43"/>
      <c r="M623" s="43"/>
      <c r="N623" s="43"/>
    </row>
    <row r="624">
      <c r="D624" s="64"/>
      <c r="E624" s="43"/>
      <c r="F624" s="43"/>
      <c r="G624" s="43"/>
      <c r="H624" s="43"/>
      <c r="I624" s="43"/>
      <c r="J624" s="43"/>
      <c r="K624" s="43"/>
      <c r="L624" s="43"/>
      <c r="M624" s="43"/>
      <c r="N624" s="43"/>
    </row>
    <row r="625">
      <c r="D625" s="64"/>
      <c r="E625" s="43"/>
      <c r="F625" s="43"/>
      <c r="G625" s="43"/>
      <c r="H625" s="43"/>
      <c r="I625" s="43"/>
      <c r="J625" s="43"/>
      <c r="K625" s="43"/>
      <c r="L625" s="43"/>
      <c r="M625" s="43"/>
      <c r="N625" s="43"/>
    </row>
    <row r="626">
      <c r="D626" s="64"/>
      <c r="E626" s="43"/>
      <c r="F626" s="43"/>
      <c r="G626" s="43"/>
      <c r="H626" s="43"/>
      <c r="I626" s="43"/>
      <c r="J626" s="43"/>
      <c r="K626" s="43"/>
      <c r="L626" s="43"/>
      <c r="M626" s="43"/>
      <c r="N626" s="43"/>
    </row>
    <row r="627">
      <c r="D627" s="64"/>
      <c r="E627" s="43"/>
      <c r="F627" s="43"/>
      <c r="G627" s="43"/>
      <c r="H627" s="43"/>
      <c r="I627" s="43"/>
      <c r="J627" s="43"/>
      <c r="K627" s="43"/>
      <c r="L627" s="43"/>
      <c r="M627" s="43"/>
      <c r="N627" s="43"/>
    </row>
    <row r="628">
      <c r="D628" s="64"/>
      <c r="E628" s="43"/>
      <c r="F628" s="43"/>
      <c r="G628" s="43"/>
      <c r="H628" s="43"/>
      <c r="I628" s="43"/>
      <c r="J628" s="43"/>
      <c r="K628" s="43"/>
      <c r="L628" s="43"/>
      <c r="M628" s="43"/>
      <c r="N628" s="43"/>
    </row>
    <row r="629">
      <c r="D629" s="64"/>
      <c r="E629" s="43"/>
      <c r="F629" s="43"/>
      <c r="G629" s="43"/>
      <c r="H629" s="43"/>
      <c r="I629" s="43"/>
      <c r="J629" s="43"/>
      <c r="K629" s="43"/>
      <c r="L629" s="43"/>
      <c r="M629" s="43"/>
      <c r="N629" s="43"/>
    </row>
    <row r="630">
      <c r="D630" s="64"/>
      <c r="E630" s="43"/>
      <c r="F630" s="43"/>
      <c r="G630" s="43"/>
      <c r="H630" s="43"/>
      <c r="I630" s="43"/>
      <c r="J630" s="43"/>
      <c r="K630" s="43"/>
      <c r="L630" s="43"/>
      <c r="M630" s="43"/>
      <c r="N630" s="43"/>
    </row>
    <row r="631">
      <c r="D631" s="64"/>
      <c r="E631" s="43"/>
      <c r="F631" s="43"/>
      <c r="G631" s="43"/>
      <c r="H631" s="43"/>
      <c r="I631" s="43"/>
      <c r="J631" s="43"/>
      <c r="K631" s="43"/>
      <c r="L631" s="43"/>
      <c r="M631" s="43"/>
      <c r="N631" s="43"/>
    </row>
    <row r="632">
      <c r="D632" s="64"/>
      <c r="E632" s="43"/>
      <c r="F632" s="43"/>
      <c r="G632" s="43"/>
      <c r="H632" s="43"/>
      <c r="I632" s="43"/>
      <c r="J632" s="43"/>
      <c r="K632" s="43"/>
      <c r="L632" s="43"/>
      <c r="M632" s="43"/>
      <c r="N632" s="43"/>
    </row>
    <row r="633">
      <c r="D633" s="64"/>
      <c r="E633" s="43"/>
      <c r="F633" s="43"/>
      <c r="G633" s="43"/>
      <c r="H633" s="43"/>
      <c r="I633" s="43"/>
      <c r="J633" s="43"/>
      <c r="K633" s="43"/>
      <c r="L633" s="43"/>
      <c r="M633" s="43"/>
      <c r="N633" s="43"/>
    </row>
    <row r="634">
      <c r="D634" s="64"/>
      <c r="E634" s="43"/>
      <c r="F634" s="43"/>
      <c r="G634" s="43"/>
      <c r="H634" s="43"/>
      <c r="I634" s="43"/>
      <c r="J634" s="43"/>
      <c r="K634" s="43"/>
      <c r="L634" s="43"/>
      <c r="M634" s="43"/>
      <c r="N634" s="43"/>
    </row>
    <row r="635">
      <c r="D635" s="64"/>
      <c r="E635" s="43"/>
      <c r="F635" s="43"/>
      <c r="G635" s="43"/>
      <c r="H635" s="43"/>
      <c r="I635" s="43"/>
      <c r="J635" s="43"/>
      <c r="K635" s="43"/>
      <c r="L635" s="43"/>
      <c r="M635" s="43"/>
      <c r="N635" s="43"/>
    </row>
    <row r="636">
      <c r="D636" s="64"/>
      <c r="E636" s="43"/>
      <c r="F636" s="43"/>
      <c r="G636" s="43"/>
      <c r="H636" s="43"/>
      <c r="I636" s="43"/>
      <c r="J636" s="43"/>
      <c r="K636" s="43"/>
      <c r="L636" s="43"/>
      <c r="M636" s="43"/>
      <c r="N636" s="43"/>
    </row>
    <row r="637">
      <c r="D637" s="64"/>
      <c r="E637" s="43"/>
      <c r="F637" s="43"/>
      <c r="G637" s="43"/>
      <c r="H637" s="43"/>
      <c r="I637" s="43"/>
      <c r="J637" s="43"/>
      <c r="K637" s="43"/>
      <c r="L637" s="43"/>
      <c r="M637" s="43"/>
      <c r="N637" s="43"/>
    </row>
    <row r="638">
      <c r="D638" s="64"/>
      <c r="E638" s="43"/>
      <c r="F638" s="43"/>
      <c r="G638" s="43"/>
      <c r="H638" s="43"/>
      <c r="I638" s="43"/>
      <c r="J638" s="43"/>
      <c r="K638" s="43"/>
      <c r="L638" s="43"/>
      <c r="M638" s="43"/>
      <c r="N638" s="43"/>
    </row>
    <row r="639">
      <c r="D639" s="64"/>
      <c r="E639" s="43"/>
      <c r="F639" s="43"/>
      <c r="G639" s="43"/>
      <c r="H639" s="43"/>
      <c r="I639" s="43"/>
      <c r="J639" s="43"/>
      <c r="K639" s="43"/>
      <c r="L639" s="43"/>
      <c r="M639" s="43"/>
      <c r="N639" s="43"/>
    </row>
    <row r="640">
      <c r="D640" s="64"/>
      <c r="E640" s="43"/>
      <c r="F640" s="43"/>
      <c r="G640" s="43"/>
      <c r="H640" s="43"/>
      <c r="I640" s="43"/>
      <c r="J640" s="43"/>
      <c r="K640" s="43"/>
      <c r="L640" s="43"/>
      <c r="M640" s="43"/>
      <c r="N640" s="43"/>
    </row>
    <row r="641">
      <c r="D641" s="64"/>
      <c r="E641" s="43"/>
      <c r="F641" s="43"/>
      <c r="G641" s="43"/>
      <c r="H641" s="43"/>
      <c r="I641" s="43"/>
      <c r="J641" s="43"/>
      <c r="K641" s="43"/>
      <c r="L641" s="43"/>
      <c r="M641" s="43"/>
      <c r="N641" s="43"/>
    </row>
    <row r="642">
      <c r="D642" s="64"/>
      <c r="E642" s="43"/>
      <c r="F642" s="43"/>
      <c r="G642" s="43"/>
      <c r="H642" s="43"/>
      <c r="I642" s="43"/>
      <c r="J642" s="43"/>
      <c r="K642" s="43"/>
      <c r="L642" s="43"/>
      <c r="M642" s="43"/>
      <c r="N642" s="43"/>
    </row>
    <row r="643">
      <c r="D643" s="64"/>
      <c r="E643" s="43"/>
      <c r="F643" s="43"/>
      <c r="G643" s="43"/>
      <c r="H643" s="43"/>
      <c r="I643" s="43"/>
      <c r="J643" s="43"/>
      <c r="K643" s="43"/>
      <c r="L643" s="43"/>
      <c r="M643" s="43"/>
      <c r="N643" s="43"/>
    </row>
    <row r="644">
      <c r="D644" s="64"/>
      <c r="E644" s="43"/>
      <c r="F644" s="43"/>
      <c r="G644" s="43"/>
      <c r="H644" s="43"/>
      <c r="I644" s="43"/>
      <c r="J644" s="43"/>
      <c r="K644" s="43"/>
      <c r="L644" s="43"/>
      <c r="M644" s="43"/>
      <c r="N644" s="43"/>
    </row>
    <row r="645">
      <c r="D645" s="64"/>
      <c r="E645" s="43"/>
      <c r="F645" s="43"/>
      <c r="G645" s="43"/>
      <c r="H645" s="43"/>
      <c r="I645" s="43"/>
      <c r="J645" s="43"/>
      <c r="K645" s="43"/>
      <c r="L645" s="43"/>
      <c r="M645" s="43"/>
      <c r="N645" s="43"/>
    </row>
    <row r="646">
      <c r="D646" s="64"/>
      <c r="E646" s="43"/>
      <c r="F646" s="43"/>
      <c r="G646" s="43"/>
      <c r="H646" s="43"/>
      <c r="I646" s="43"/>
      <c r="J646" s="43"/>
      <c r="K646" s="43"/>
      <c r="L646" s="43"/>
      <c r="M646" s="43"/>
      <c r="N646" s="43"/>
    </row>
    <row r="647">
      <c r="D647" s="64"/>
      <c r="E647" s="43"/>
      <c r="F647" s="43"/>
      <c r="G647" s="43"/>
      <c r="H647" s="43"/>
      <c r="I647" s="43"/>
      <c r="J647" s="43"/>
      <c r="K647" s="43"/>
      <c r="L647" s="43"/>
      <c r="M647" s="43"/>
      <c r="N647" s="43"/>
    </row>
    <row r="648">
      <c r="D648" s="64"/>
      <c r="E648" s="43"/>
      <c r="F648" s="43"/>
      <c r="G648" s="43"/>
      <c r="H648" s="43"/>
      <c r="I648" s="43"/>
      <c r="J648" s="43"/>
      <c r="K648" s="43"/>
      <c r="L648" s="43"/>
      <c r="M648" s="43"/>
      <c r="N648" s="43"/>
    </row>
    <row r="649">
      <c r="D649" s="64"/>
      <c r="E649" s="43"/>
      <c r="F649" s="43"/>
      <c r="G649" s="43"/>
      <c r="H649" s="43"/>
      <c r="I649" s="43"/>
      <c r="J649" s="43"/>
      <c r="K649" s="43"/>
      <c r="L649" s="43"/>
      <c r="M649" s="43"/>
      <c r="N649" s="43"/>
    </row>
    <row r="650">
      <c r="D650" s="64"/>
      <c r="E650" s="43"/>
      <c r="F650" s="43"/>
      <c r="G650" s="43"/>
      <c r="H650" s="43"/>
      <c r="I650" s="43"/>
      <c r="J650" s="43"/>
      <c r="K650" s="43"/>
      <c r="L650" s="43"/>
      <c r="M650" s="43"/>
      <c r="N650" s="43"/>
    </row>
    <row r="651">
      <c r="D651" s="64"/>
      <c r="E651" s="43"/>
      <c r="F651" s="43"/>
      <c r="G651" s="43"/>
      <c r="H651" s="43"/>
      <c r="I651" s="43"/>
      <c r="J651" s="43"/>
      <c r="K651" s="43"/>
      <c r="L651" s="43"/>
      <c r="M651" s="43"/>
      <c r="N651" s="43"/>
    </row>
    <row r="652">
      <c r="D652" s="64"/>
      <c r="E652" s="43"/>
      <c r="F652" s="43"/>
      <c r="G652" s="43"/>
      <c r="H652" s="43"/>
      <c r="I652" s="43"/>
      <c r="J652" s="43"/>
      <c r="K652" s="43"/>
      <c r="L652" s="43"/>
      <c r="M652" s="43"/>
      <c r="N652" s="43"/>
    </row>
    <row r="653">
      <c r="D653" s="64"/>
      <c r="E653" s="43"/>
      <c r="F653" s="43"/>
      <c r="G653" s="43"/>
      <c r="H653" s="43"/>
      <c r="I653" s="43"/>
      <c r="J653" s="43"/>
      <c r="K653" s="43"/>
      <c r="L653" s="43"/>
      <c r="M653" s="43"/>
      <c r="N653" s="43"/>
    </row>
    <row r="654">
      <c r="D654" s="64"/>
      <c r="E654" s="43"/>
      <c r="F654" s="43"/>
      <c r="G654" s="43"/>
      <c r="H654" s="43"/>
      <c r="I654" s="43"/>
      <c r="J654" s="43"/>
      <c r="K654" s="43"/>
      <c r="L654" s="43"/>
      <c r="M654" s="43"/>
      <c r="N654" s="43"/>
    </row>
    <row r="655">
      <c r="D655" s="64"/>
      <c r="E655" s="43"/>
      <c r="F655" s="43"/>
      <c r="G655" s="43"/>
      <c r="H655" s="43"/>
      <c r="I655" s="43"/>
      <c r="J655" s="43"/>
      <c r="K655" s="43"/>
      <c r="L655" s="43"/>
      <c r="M655" s="43"/>
      <c r="N655" s="43"/>
    </row>
    <row r="656">
      <c r="D656" s="64"/>
      <c r="E656" s="43"/>
      <c r="F656" s="43"/>
      <c r="G656" s="43"/>
      <c r="H656" s="43"/>
      <c r="I656" s="43"/>
      <c r="J656" s="43"/>
      <c r="K656" s="43"/>
      <c r="L656" s="43"/>
      <c r="M656" s="43"/>
      <c r="N656" s="43"/>
    </row>
    <row r="657">
      <c r="D657" s="64"/>
      <c r="E657" s="43"/>
      <c r="F657" s="43"/>
      <c r="G657" s="43"/>
      <c r="H657" s="43"/>
      <c r="I657" s="43"/>
      <c r="J657" s="43"/>
      <c r="K657" s="43"/>
      <c r="L657" s="43"/>
      <c r="M657" s="43"/>
      <c r="N657" s="43"/>
    </row>
    <row r="658">
      <c r="D658" s="64"/>
      <c r="E658" s="43"/>
      <c r="F658" s="43"/>
      <c r="G658" s="43"/>
      <c r="H658" s="43"/>
      <c r="I658" s="43"/>
      <c r="J658" s="43"/>
      <c r="K658" s="43"/>
      <c r="L658" s="43"/>
      <c r="M658" s="43"/>
      <c r="N658" s="43"/>
    </row>
    <row r="659">
      <c r="D659" s="64"/>
      <c r="E659" s="43"/>
      <c r="F659" s="43"/>
      <c r="G659" s="43"/>
      <c r="H659" s="43"/>
      <c r="I659" s="43"/>
      <c r="J659" s="43"/>
      <c r="K659" s="43"/>
      <c r="L659" s="43"/>
      <c r="M659" s="43"/>
      <c r="N659" s="43"/>
    </row>
    <row r="660">
      <c r="D660" s="64"/>
      <c r="E660" s="43"/>
      <c r="F660" s="43"/>
      <c r="G660" s="43"/>
      <c r="H660" s="43"/>
      <c r="I660" s="43"/>
      <c r="J660" s="43"/>
      <c r="K660" s="43"/>
      <c r="L660" s="43"/>
      <c r="M660" s="43"/>
      <c r="N660" s="43"/>
    </row>
    <row r="661">
      <c r="D661" s="64"/>
      <c r="E661" s="43"/>
      <c r="F661" s="43"/>
      <c r="G661" s="43"/>
      <c r="H661" s="43"/>
      <c r="I661" s="43"/>
      <c r="J661" s="43"/>
      <c r="K661" s="43"/>
      <c r="L661" s="43"/>
      <c r="M661" s="43"/>
      <c r="N661" s="43"/>
    </row>
    <row r="662">
      <c r="D662" s="64"/>
      <c r="E662" s="43"/>
      <c r="F662" s="43"/>
      <c r="G662" s="43"/>
      <c r="H662" s="43"/>
      <c r="I662" s="43"/>
      <c r="J662" s="43"/>
      <c r="K662" s="43"/>
      <c r="L662" s="43"/>
      <c r="M662" s="43"/>
      <c r="N662" s="43"/>
    </row>
    <row r="663">
      <c r="D663" s="64"/>
      <c r="E663" s="43"/>
      <c r="F663" s="43"/>
      <c r="G663" s="43"/>
      <c r="H663" s="43"/>
      <c r="I663" s="43"/>
      <c r="J663" s="43"/>
      <c r="K663" s="43"/>
      <c r="L663" s="43"/>
      <c r="M663" s="43"/>
      <c r="N663" s="43"/>
    </row>
    <row r="664">
      <c r="D664" s="64"/>
      <c r="E664" s="43"/>
      <c r="F664" s="43"/>
      <c r="G664" s="43"/>
      <c r="H664" s="43"/>
      <c r="I664" s="43"/>
      <c r="J664" s="43"/>
      <c r="K664" s="43"/>
      <c r="L664" s="43"/>
      <c r="M664" s="43"/>
      <c r="N664" s="43"/>
    </row>
    <row r="665">
      <c r="D665" s="64"/>
      <c r="E665" s="43"/>
      <c r="F665" s="43"/>
      <c r="G665" s="43"/>
      <c r="H665" s="43"/>
      <c r="I665" s="43"/>
      <c r="J665" s="43"/>
      <c r="K665" s="43"/>
      <c r="L665" s="43"/>
      <c r="M665" s="43"/>
      <c r="N665" s="43"/>
    </row>
    <row r="666">
      <c r="D666" s="64"/>
      <c r="E666" s="43"/>
      <c r="F666" s="43"/>
      <c r="G666" s="43"/>
      <c r="H666" s="43"/>
      <c r="I666" s="43"/>
      <c r="J666" s="43"/>
      <c r="K666" s="43"/>
      <c r="L666" s="43"/>
      <c r="M666" s="43"/>
      <c r="N666" s="43"/>
    </row>
    <row r="667">
      <c r="D667" s="64"/>
      <c r="E667" s="43"/>
      <c r="F667" s="43"/>
      <c r="G667" s="43"/>
      <c r="H667" s="43"/>
      <c r="I667" s="43"/>
      <c r="J667" s="43"/>
      <c r="K667" s="43"/>
      <c r="L667" s="43"/>
      <c r="M667" s="43"/>
      <c r="N667" s="43"/>
    </row>
    <row r="668">
      <c r="D668" s="64"/>
      <c r="E668" s="43"/>
      <c r="F668" s="43"/>
      <c r="G668" s="43"/>
      <c r="H668" s="43"/>
      <c r="I668" s="43"/>
      <c r="J668" s="43"/>
      <c r="K668" s="43"/>
      <c r="L668" s="43"/>
      <c r="M668" s="43"/>
      <c r="N668" s="43"/>
    </row>
    <row r="669">
      <c r="D669" s="64"/>
      <c r="E669" s="43"/>
      <c r="F669" s="43"/>
      <c r="G669" s="43"/>
      <c r="H669" s="43"/>
      <c r="I669" s="43"/>
      <c r="J669" s="43"/>
      <c r="K669" s="43"/>
      <c r="L669" s="43"/>
      <c r="M669" s="43"/>
      <c r="N669" s="43"/>
    </row>
    <row r="670">
      <c r="D670" s="64"/>
      <c r="E670" s="43"/>
      <c r="F670" s="43"/>
      <c r="G670" s="43"/>
      <c r="H670" s="43"/>
      <c r="I670" s="43"/>
      <c r="J670" s="43"/>
      <c r="K670" s="43"/>
      <c r="L670" s="43"/>
      <c r="M670" s="43"/>
      <c r="N670" s="43"/>
    </row>
    <row r="671">
      <c r="D671" s="64"/>
      <c r="E671" s="43"/>
      <c r="F671" s="43"/>
      <c r="G671" s="43"/>
      <c r="H671" s="43"/>
      <c r="I671" s="43"/>
      <c r="J671" s="43"/>
      <c r="K671" s="43"/>
      <c r="L671" s="43"/>
      <c r="M671" s="43"/>
      <c r="N671" s="43"/>
    </row>
    <row r="672">
      <c r="D672" s="64"/>
      <c r="E672" s="43"/>
      <c r="F672" s="43"/>
      <c r="G672" s="43"/>
      <c r="H672" s="43"/>
      <c r="I672" s="43"/>
      <c r="J672" s="43"/>
      <c r="K672" s="43"/>
      <c r="L672" s="43"/>
      <c r="M672" s="43"/>
      <c r="N672" s="43"/>
    </row>
    <row r="673">
      <c r="D673" s="64"/>
      <c r="E673" s="43"/>
      <c r="F673" s="43"/>
      <c r="G673" s="43"/>
      <c r="H673" s="43"/>
      <c r="I673" s="43"/>
      <c r="J673" s="43"/>
      <c r="K673" s="43"/>
      <c r="L673" s="43"/>
      <c r="M673" s="43"/>
      <c r="N673" s="43"/>
    </row>
    <row r="674">
      <c r="D674" s="64"/>
      <c r="E674" s="43"/>
      <c r="F674" s="43"/>
      <c r="G674" s="43"/>
      <c r="H674" s="43"/>
      <c r="I674" s="43"/>
      <c r="J674" s="43"/>
      <c r="K674" s="43"/>
      <c r="L674" s="43"/>
      <c r="M674" s="43"/>
      <c r="N674" s="43"/>
    </row>
    <row r="675">
      <c r="D675" s="64"/>
      <c r="E675" s="43"/>
      <c r="F675" s="43"/>
      <c r="G675" s="43"/>
      <c r="H675" s="43"/>
      <c r="I675" s="43"/>
      <c r="J675" s="43"/>
      <c r="K675" s="43"/>
      <c r="L675" s="43"/>
      <c r="M675" s="43"/>
      <c r="N675" s="43"/>
    </row>
    <row r="676">
      <c r="D676" s="64"/>
      <c r="E676" s="43"/>
      <c r="F676" s="43"/>
      <c r="G676" s="43"/>
      <c r="H676" s="43"/>
      <c r="I676" s="43"/>
      <c r="J676" s="43"/>
      <c r="K676" s="43"/>
      <c r="L676" s="43"/>
      <c r="M676" s="43"/>
      <c r="N676" s="43"/>
    </row>
    <row r="677">
      <c r="D677" s="64"/>
      <c r="E677" s="43"/>
      <c r="F677" s="43"/>
      <c r="G677" s="43"/>
      <c r="H677" s="43"/>
      <c r="I677" s="43"/>
      <c r="J677" s="43"/>
      <c r="K677" s="43"/>
      <c r="L677" s="43"/>
      <c r="M677" s="43"/>
      <c r="N677" s="43"/>
    </row>
    <row r="678">
      <c r="D678" s="64"/>
      <c r="E678" s="43"/>
      <c r="F678" s="43"/>
      <c r="G678" s="43"/>
      <c r="H678" s="43"/>
      <c r="I678" s="43"/>
      <c r="J678" s="43"/>
      <c r="K678" s="43"/>
      <c r="L678" s="43"/>
      <c r="M678" s="43"/>
      <c r="N678" s="43"/>
    </row>
    <row r="679">
      <c r="D679" s="64"/>
      <c r="E679" s="43"/>
      <c r="F679" s="43"/>
      <c r="G679" s="43"/>
      <c r="H679" s="43"/>
      <c r="I679" s="43"/>
      <c r="J679" s="43"/>
      <c r="K679" s="43"/>
      <c r="L679" s="43"/>
      <c r="M679" s="43"/>
      <c r="N679" s="43"/>
    </row>
    <row r="680">
      <c r="D680" s="64"/>
      <c r="E680" s="43"/>
      <c r="F680" s="43"/>
      <c r="G680" s="43"/>
      <c r="H680" s="43"/>
      <c r="I680" s="43"/>
      <c r="J680" s="43"/>
      <c r="K680" s="43"/>
      <c r="L680" s="43"/>
      <c r="M680" s="43"/>
      <c r="N680" s="43"/>
    </row>
    <row r="681">
      <c r="D681" s="64"/>
      <c r="E681" s="43"/>
      <c r="F681" s="43"/>
      <c r="G681" s="43"/>
      <c r="H681" s="43"/>
      <c r="I681" s="43"/>
      <c r="J681" s="43"/>
      <c r="K681" s="43"/>
      <c r="L681" s="43"/>
      <c r="M681" s="43"/>
      <c r="N681" s="43"/>
    </row>
    <row r="682">
      <c r="D682" s="64"/>
      <c r="E682" s="43"/>
      <c r="F682" s="43"/>
      <c r="G682" s="43"/>
      <c r="H682" s="43"/>
      <c r="I682" s="43"/>
      <c r="J682" s="43"/>
      <c r="K682" s="43"/>
      <c r="L682" s="43"/>
      <c r="M682" s="43"/>
      <c r="N682" s="43"/>
    </row>
    <row r="683">
      <c r="D683" s="64"/>
      <c r="E683" s="43"/>
      <c r="F683" s="43"/>
      <c r="G683" s="43"/>
      <c r="H683" s="43"/>
      <c r="I683" s="43"/>
      <c r="J683" s="43"/>
      <c r="K683" s="43"/>
      <c r="L683" s="43"/>
      <c r="M683" s="43"/>
      <c r="N683" s="43"/>
    </row>
    <row r="684">
      <c r="D684" s="64"/>
      <c r="E684" s="43"/>
      <c r="F684" s="43"/>
      <c r="G684" s="43"/>
      <c r="H684" s="43"/>
      <c r="I684" s="43"/>
      <c r="J684" s="43"/>
      <c r="K684" s="43"/>
      <c r="L684" s="43"/>
      <c r="M684" s="43"/>
      <c r="N684" s="43"/>
    </row>
    <row r="685">
      <c r="D685" s="64"/>
      <c r="E685" s="43"/>
      <c r="F685" s="43"/>
      <c r="G685" s="43"/>
      <c r="H685" s="43"/>
      <c r="I685" s="43"/>
      <c r="J685" s="43"/>
      <c r="K685" s="43"/>
      <c r="L685" s="43"/>
      <c r="M685" s="43"/>
      <c r="N685" s="43"/>
    </row>
    <row r="686">
      <c r="D686" s="64"/>
      <c r="E686" s="43"/>
      <c r="F686" s="43"/>
      <c r="G686" s="43"/>
      <c r="H686" s="43"/>
      <c r="I686" s="43"/>
      <c r="J686" s="43"/>
      <c r="K686" s="43"/>
      <c r="L686" s="43"/>
      <c r="M686" s="43"/>
      <c r="N686" s="43"/>
    </row>
    <row r="687">
      <c r="D687" s="64"/>
      <c r="E687" s="43"/>
      <c r="F687" s="43"/>
      <c r="G687" s="43"/>
      <c r="H687" s="43"/>
      <c r="I687" s="43"/>
      <c r="J687" s="43"/>
      <c r="K687" s="43"/>
      <c r="L687" s="43"/>
      <c r="M687" s="43"/>
      <c r="N687" s="43"/>
    </row>
    <row r="688">
      <c r="D688" s="64"/>
      <c r="E688" s="43"/>
      <c r="F688" s="43"/>
      <c r="G688" s="43"/>
      <c r="H688" s="43"/>
      <c r="I688" s="43"/>
      <c r="J688" s="43"/>
      <c r="K688" s="43"/>
      <c r="L688" s="43"/>
      <c r="M688" s="43"/>
      <c r="N688" s="43"/>
    </row>
    <row r="689">
      <c r="D689" s="64"/>
      <c r="E689" s="43"/>
      <c r="F689" s="43"/>
      <c r="G689" s="43"/>
      <c r="H689" s="43"/>
      <c r="I689" s="43"/>
      <c r="J689" s="43"/>
      <c r="K689" s="43"/>
      <c r="L689" s="43"/>
      <c r="M689" s="43"/>
      <c r="N689" s="43"/>
    </row>
    <row r="690">
      <c r="D690" s="64"/>
      <c r="E690" s="43"/>
      <c r="F690" s="43"/>
      <c r="G690" s="43"/>
      <c r="H690" s="43"/>
      <c r="I690" s="43"/>
      <c r="J690" s="43"/>
      <c r="K690" s="43"/>
      <c r="L690" s="43"/>
      <c r="M690" s="43"/>
      <c r="N690" s="43"/>
    </row>
    <row r="691">
      <c r="D691" s="64"/>
      <c r="E691" s="43"/>
      <c r="F691" s="43"/>
      <c r="G691" s="43"/>
      <c r="H691" s="43"/>
      <c r="I691" s="43"/>
      <c r="J691" s="43"/>
      <c r="K691" s="43"/>
      <c r="L691" s="43"/>
      <c r="M691" s="43"/>
      <c r="N691" s="43"/>
    </row>
    <row r="692">
      <c r="D692" s="64"/>
      <c r="E692" s="43"/>
      <c r="F692" s="43"/>
      <c r="G692" s="43"/>
      <c r="H692" s="43"/>
      <c r="I692" s="43"/>
      <c r="J692" s="43"/>
      <c r="K692" s="43"/>
      <c r="L692" s="43"/>
      <c r="M692" s="43"/>
      <c r="N692" s="43"/>
    </row>
    <row r="693">
      <c r="D693" s="64"/>
      <c r="E693" s="43"/>
      <c r="F693" s="43"/>
      <c r="G693" s="43"/>
      <c r="H693" s="43"/>
      <c r="I693" s="43"/>
      <c r="J693" s="43"/>
      <c r="K693" s="43"/>
      <c r="L693" s="43"/>
      <c r="M693" s="43"/>
      <c r="N693" s="43"/>
    </row>
    <row r="694">
      <c r="D694" s="64"/>
      <c r="E694" s="43"/>
      <c r="F694" s="43"/>
      <c r="G694" s="43"/>
      <c r="H694" s="43"/>
      <c r="I694" s="43"/>
      <c r="J694" s="43"/>
      <c r="K694" s="43"/>
      <c r="L694" s="43"/>
      <c r="M694" s="43"/>
      <c r="N694" s="43"/>
    </row>
    <row r="695">
      <c r="D695" s="64"/>
      <c r="E695" s="43"/>
      <c r="F695" s="43"/>
      <c r="G695" s="43"/>
      <c r="H695" s="43"/>
      <c r="I695" s="43"/>
      <c r="J695" s="43"/>
      <c r="K695" s="43"/>
      <c r="L695" s="43"/>
      <c r="M695" s="43"/>
      <c r="N695" s="43"/>
    </row>
    <row r="696">
      <c r="D696" s="64"/>
      <c r="E696" s="43"/>
      <c r="F696" s="43"/>
      <c r="G696" s="43"/>
      <c r="H696" s="43"/>
      <c r="I696" s="43"/>
      <c r="J696" s="43"/>
      <c r="K696" s="43"/>
      <c r="L696" s="43"/>
      <c r="M696" s="43"/>
      <c r="N696" s="43"/>
    </row>
    <row r="697">
      <c r="D697" s="64"/>
      <c r="E697" s="43"/>
      <c r="F697" s="43"/>
      <c r="G697" s="43"/>
      <c r="H697" s="43"/>
      <c r="I697" s="43"/>
      <c r="J697" s="43"/>
      <c r="K697" s="43"/>
      <c r="L697" s="43"/>
      <c r="M697" s="43"/>
      <c r="N697" s="43"/>
    </row>
    <row r="698">
      <c r="D698" s="64"/>
      <c r="E698" s="43"/>
      <c r="F698" s="43"/>
      <c r="G698" s="43"/>
      <c r="H698" s="43"/>
      <c r="I698" s="43"/>
      <c r="J698" s="43"/>
      <c r="K698" s="43"/>
      <c r="L698" s="43"/>
      <c r="M698" s="43"/>
      <c r="N698" s="43"/>
    </row>
    <row r="699">
      <c r="D699" s="64"/>
      <c r="E699" s="43"/>
      <c r="F699" s="43"/>
      <c r="G699" s="43"/>
      <c r="H699" s="43"/>
      <c r="I699" s="43"/>
      <c r="J699" s="43"/>
      <c r="K699" s="43"/>
      <c r="L699" s="43"/>
      <c r="M699" s="43"/>
      <c r="N699" s="43"/>
    </row>
    <row r="700">
      <c r="D700" s="64"/>
      <c r="E700" s="43"/>
      <c r="F700" s="43"/>
      <c r="G700" s="43"/>
      <c r="H700" s="43"/>
      <c r="I700" s="43"/>
      <c r="J700" s="43"/>
      <c r="K700" s="43"/>
      <c r="L700" s="43"/>
      <c r="M700" s="43"/>
      <c r="N700" s="43"/>
    </row>
    <row r="701">
      <c r="D701" s="64"/>
      <c r="E701" s="43"/>
      <c r="F701" s="43"/>
      <c r="G701" s="43"/>
      <c r="H701" s="43"/>
      <c r="I701" s="43"/>
      <c r="J701" s="43"/>
      <c r="K701" s="43"/>
      <c r="L701" s="43"/>
      <c r="M701" s="43"/>
      <c r="N701" s="43"/>
    </row>
    <row r="702">
      <c r="D702" s="64"/>
      <c r="E702" s="43"/>
      <c r="F702" s="43"/>
      <c r="G702" s="43"/>
      <c r="H702" s="43"/>
      <c r="I702" s="43"/>
      <c r="J702" s="43"/>
      <c r="K702" s="43"/>
      <c r="L702" s="43"/>
      <c r="M702" s="43"/>
      <c r="N702" s="43"/>
    </row>
    <row r="703">
      <c r="D703" s="64"/>
      <c r="E703" s="43"/>
      <c r="F703" s="43"/>
      <c r="G703" s="43"/>
      <c r="H703" s="43"/>
      <c r="I703" s="43"/>
      <c r="J703" s="43"/>
      <c r="K703" s="43"/>
      <c r="L703" s="43"/>
      <c r="M703" s="43"/>
      <c r="N703" s="43"/>
    </row>
    <row r="704">
      <c r="D704" s="64"/>
      <c r="E704" s="43"/>
      <c r="F704" s="43"/>
      <c r="G704" s="43"/>
      <c r="H704" s="43"/>
      <c r="I704" s="43"/>
      <c r="J704" s="43"/>
      <c r="K704" s="43"/>
      <c r="L704" s="43"/>
      <c r="M704" s="43"/>
      <c r="N704" s="43"/>
    </row>
    <row r="705">
      <c r="D705" s="64"/>
      <c r="E705" s="43"/>
      <c r="F705" s="43"/>
      <c r="G705" s="43"/>
      <c r="H705" s="43"/>
      <c r="I705" s="43"/>
      <c r="J705" s="43"/>
      <c r="K705" s="43"/>
      <c r="L705" s="43"/>
      <c r="M705" s="43"/>
      <c r="N705" s="43"/>
    </row>
    <row r="706">
      <c r="D706" s="64"/>
      <c r="E706" s="43"/>
      <c r="F706" s="43"/>
      <c r="G706" s="43"/>
      <c r="H706" s="43"/>
      <c r="I706" s="43"/>
      <c r="J706" s="43"/>
      <c r="K706" s="43"/>
      <c r="L706" s="43"/>
      <c r="M706" s="43"/>
      <c r="N706" s="43"/>
    </row>
    <row r="707">
      <c r="D707" s="64"/>
      <c r="E707" s="43"/>
      <c r="F707" s="43"/>
      <c r="G707" s="43"/>
      <c r="H707" s="43"/>
      <c r="I707" s="43"/>
      <c r="J707" s="43"/>
      <c r="K707" s="43"/>
      <c r="L707" s="43"/>
      <c r="M707" s="43"/>
      <c r="N707" s="43"/>
    </row>
    <row r="708">
      <c r="D708" s="64"/>
      <c r="E708" s="43"/>
      <c r="F708" s="43"/>
      <c r="G708" s="43"/>
      <c r="H708" s="43"/>
      <c r="I708" s="43"/>
      <c r="J708" s="43"/>
      <c r="K708" s="43"/>
      <c r="L708" s="43"/>
      <c r="M708" s="43"/>
      <c r="N708" s="43"/>
    </row>
    <row r="709">
      <c r="D709" s="64"/>
      <c r="E709" s="43"/>
      <c r="F709" s="43"/>
      <c r="G709" s="43"/>
      <c r="H709" s="43"/>
      <c r="I709" s="43"/>
      <c r="J709" s="43"/>
      <c r="K709" s="43"/>
      <c r="L709" s="43"/>
      <c r="M709" s="43"/>
      <c r="N709" s="43"/>
    </row>
    <row r="710">
      <c r="D710" s="64"/>
      <c r="E710" s="43"/>
      <c r="F710" s="43"/>
      <c r="G710" s="43"/>
      <c r="H710" s="43"/>
      <c r="I710" s="43"/>
      <c r="J710" s="43"/>
      <c r="K710" s="43"/>
      <c r="L710" s="43"/>
      <c r="M710" s="43"/>
      <c r="N710" s="43"/>
    </row>
    <row r="711">
      <c r="D711" s="64"/>
      <c r="E711" s="43"/>
      <c r="F711" s="43"/>
      <c r="G711" s="43"/>
      <c r="H711" s="43"/>
      <c r="I711" s="43"/>
      <c r="J711" s="43"/>
      <c r="K711" s="43"/>
      <c r="L711" s="43"/>
      <c r="M711" s="43"/>
      <c r="N711" s="43"/>
    </row>
    <row r="712">
      <c r="D712" s="64"/>
      <c r="E712" s="43"/>
      <c r="F712" s="43"/>
      <c r="G712" s="43"/>
      <c r="H712" s="43"/>
      <c r="I712" s="43"/>
      <c r="J712" s="43"/>
      <c r="K712" s="43"/>
      <c r="L712" s="43"/>
      <c r="M712" s="43"/>
      <c r="N712" s="43"/>
    </row>
    <row r="713">
      <c r="D713" s="64"/>
      <c r="E713" s="43"/>
      <c r="F713" s="43"/>
      <c r="G713" s="43"/>
      <c r="H713" s="43"/>
      <c r="I713" s="43"/>
      <c r="J713" s="43"/>
      <c r="K713" s="43"/>
      <c r="L713" s="43"/>
      <c r="M713" s="43"/>
      <c r="N713" s="43"/>
    </row>
    <row r="714">
      <c r="D714" s="64"/>
      <c r="E714" s="43"/>
      <c r="F714" s="43"/>
      <c r="G714" s="43"/>
      <c r="H714" s="43"/>
      <c r="I714" s="43"/>
      <c r="J714" s="43"/>
      <c r="K714" s="43"/>
      <c r="L714" s="43"/>
      <c r="M714" s="43"/>
      <c r="N714" s="43"/>
    </row>
    <row r="715">
      <c r="D715" s="64"/>
      <c r="E715" s="43"/>
      <c r="F715" s="43"/>
      <c r="G715" s="43"/>
      <c r="H715" s="43"/>
      <c r="I715" s="43"/>
      <c r="J715" s="43"/>
      <c r="K715" s="43"/>
      <c r="L715" s="43"/>
      <c r="M715" s="43"/>
      <c r="N715" s="43"/>
    </row>
    <row r="716">
      <c r="D716" s="64"/>
      <c r="E716" s="43"/>
      <c r="F716" s="43"/>
      <c r="G716" s="43"/>
      <c r="H716" s="43"/>
      <c r="I716" s="43"/>
      <c r="J716" s="43"/>
      <c r="K716" s="43"/>
      <c r="L716" s="43"/>
      <c r="M716" s="43"/>
      <c r="N716" s="43"/>
    </row>
    <row r="717">
      <c r="D717" s="64"/>
      <c r="E717" s="43"/>
      <c r="F717" s="43"/>
      <c r="G717" s="43"/>
      <c r="H717" s="43"/>
      <c r="I717" s="43"/>
      <c r="J717" s="43"/>
      <c r="K717" s="43"/>
      <c r="L717" s="43"/>
      <c r="M717" s="43"/>
      <c r="N717" s="43"/>
    </row>
    <row r="718">
      <c r="D718" s="64"/>
      <c r="E718" s="43"/>
      <c r="F718" s="43"/>
      <c r="G718" s="43"/>
      <c r="H718" s="43"/>
      <c r="I718" s="43"/>
      <c r="J718" s="43"/>
      <c r="K718" s="43"/>
      <c r="L718" s="43"/>
      <c r="M718" s="43"/>
      <c r="N718" s="43"/>
    </row>
    <row r="719">
      <c r="D719" s="64"/>
      <c r="E719" s="43"/>
      <c r="F719" s="43"/>
      <c r="G719" s="43"/>
      <c r="H719" s="43"/>
      <c r="I719" s="43"/>
      <c r="J719" s="43"/>
      <c r="K719" s="43"/>
      <c r="L719" s="43"/>
      <c r="M719" s="43"/>
      <c r="N719" s="43"/>
    </row>
    <row r="720">
      <c r="D720" s="64"/>
      <c r="E720" s="43"/>
      <c r="F720" s="43"/>
      <c r="G720" s="43"/>
      <c r="H720" s="43"/>
      <c r="I720" s="43"/>
      <c r="J720" s="43"/>
      <c r="K720" s="43"/>
      <c r="L720" s="43"/>
      <c r="M720" s="43"/>
      <c r="N720" s="43"/>
    </row>
    <row r="721">
      <c r="D721" s="64"/>
      <c r="E721" s="43"/>
      <c r="F721" s="43"/>
      <c r="G721" s="43"/>
      <c r="H721" s="43"/>
      <c r="I721" s="43"/>
      <c r="J721" s="43"/>
      <c r="K721" s="43"/>
      <c r="L721" s="43"/>
      <c r="M721" s="43"/>
      <c r="N721" s="43"/>
    </row>
    <row r="722">
      <c r="D722" s="64"/>
      <c r="E722" s="43"/>
      <c r="F722" s="43"/>
      <c r="G722" s="43"/>
      <c r="H722" s="43"/>
      <c r="I722" s="43"/>
      <c r="J722" s="43"/>
      <c r="K722" s="43"/>
      <c r="L722" s="43"/>
      <c r="M722" s="43"/>
      <c r="N722" s="43"/>
    </row>
    <row r="723">
      <c r="D723" s="64"/>
      <c r="E723" s="43"/>
      <c r="F723" s="43"/>
      <c r="G723" s="43"/>
      <c r="H723" s="43"/>
      <c r="I723" s="43"/>
      <c r="J723" s="43"/>
      <c r="K723" s="43"/>
      <c r="L723" s="43"/>
      <c r="M723" s="43"/>
      <c r="N723" s="43"/>
    </row>
    <row r="724">
      <c r="D724" s="64"/>
      <c r="E724" s="43"/>
      <c r="F724" s="43"/>
      <c r="G724" s="43"/>
      <c r="H724" s="43"/>
      <c r="I724" s="43"/>
      <c r="J724" s="43"/>
      <c r="K724" s="43"/>
      <c r="L724" s="43"/>
      <c r="M724" s="43"/>
      <c r="N724" s="43"/>
    </row>
    <row r="725">
      <c r="D725" s="64"/>
      <c r="E725" s="43"/>
      <c r="F725" s="43"/>
      <c r="G725" s="43"/>
      <c r="H725" s="43"/>
      <c r="I725" s="43"/>
      <c r="J725" s="43"/>
      <c r="K725" s="43"/>
      <c r="L725" s="43"/>
      <c r="M725" s="43"/>
      <c r="N725" s="43"/>
    </row>
    <row r="726">
      <c r="D726" s="64"/>
      <c r="E726" s="43"/>
      <c r="F726" s="43"/>
      <c r="G726" s="43"/>
      <c r="H726" s="43"/>
      <c r="I726" s="43"/>
      <c r="J726" s="43"/>
      <c r="K726" s="43"/>
      <c r="L726" s="43"/>
      <c r="M726" s="43"/>
      <c r="N726" s="43"/>
    </row>
    <row r="727">
      <c r="D727" s="64"/>
      <c r="E727" s="43"/>
      <c r="F727" s="43"/>
      <c r="G727" s="43"/>
      <c r="H727" s="43"/>
      <c r="I727" s="43"/>
      <c r="J727" s="43"/>
      <c r="K727" s="43"/>
      <c r="L727" s="43"/>
      <c r="M727" s="43"/>
      <c r="N727" s="43"/>
    </row>
    <row r="728">
      <c r="D728" s="64"/>
      <c r="E728" s="43"/>
      <c r="F728" s="43"/>
      <c r="G728" s="43"/>
      <c r="H728" s="43"/>
      <c r="I728" s="43"/>
      <c r="J728" s="43"/>
      <c r="K728" s="43"/>
      <c r="L728" s="43"/>
      <c r="M728" s="43"/>
      <c r="N728" s="43"/>
    </row>
    <row r="729">
      <c r="D729" s="64"/>
      <c r="E729" s="43"/>
      <c r="F729" s="43"/>
      <c r="G729" s="43"/>
      <c r="H729" s="43"/>
      <c r="I729" s="43"/>
      <c r="J729" s="43"/>
      <c r="K729" s="43"/>
      <c r="L729" s="43"/>
      <c r="M729" s="43"/>
      <c r="N729" s="43"/>
    </row>
    <row r="730">
      <c r="D730" s="64"/>
      <c r="E730" s="43"/>
      <c r="F730" s="43"/>
      <c r="G730" s="43"/>
      <c r="H730" s="43"/>
      <c r="I730" s="43"/>
      <c r="J730" s="43"/>
      <c r="K730" s="43"/>
      <c r="L730" s="43"/>
      <c r="M730" s="43"/>
      <c r="N730" s="43"/>
    </row>
    <row r="731">
      <c r="D731" s="64"/>
      <c r="E731" s="43"/>
      <c r="F731" s="43"/>
      <c r="G731" s="43"/>
      <c r="H731" s="43"/>
      <c r="I731" s="43"/>
      <c r="J731" s="43"/>
      <c r="K731" s="43"/>
      <c r="L731" s="43"/>
      <c r="M731" s="43"/>
      <c r="N731" s="43"/>
    </row>
    <row r="732">
      <c r="D732" s="64"/>
      <c r="E732" s="43"/>
      <c r="F732" s="43"/>
      <c r="G732" s="43"/>
      <c r="H732" s="43"/>
      <c r="I732" s="43"/>
      <c r="J732" s="43"/>
      <c r="K732" s="43"/>
      <c r="L732" s="43"/>
      <c r="M732" s="43"/>
      <c r="N732" s="43"/>
    </row>
    <row r="733">
      <c r="D733" s="64"/>
      <c r="E733" s="43"/>
      <c r="F733" s="43"/>
      <c r="G733" s="43"/>
      <c r="H733" s="43"/>
      <c r="I733" s="43"/>
      <c r="J733" s="43"/>
      <c r="K733" s="43"/>
      <c r="L733" s="43"/>
      <c r="M733" s="43"/>
      <c r="N733" s="43"/>
    </row>
    <row r="734">
      <c r="D734" s="64"/>
      <c r="E734" s="43"/>
      <c r="F734" s="43"/>
      <c r="G734" s="43"/>
      <c r="H734" s="43"/>
      <c r="I734" s="43"/>
      <c r="J734" s="43"/>
      <c r="K734" s="43"/>
      <c r="L734" s="43"/>
      <c r="M734" s="43"/>
      <c r="N734" s="43"/>
    </row>
    <row r="735">
      <c r="D735" s="64"/>
      <c r="E735" s="43"/>
      <c r="F735" s="43"/>
      <c r="G735" s="43"/>
      <c r="H735" s="43"/>
      <c r="I735" s="43"/>
      <c r="J735" s="43"/>
      <c r="K735" s="43"/>
      <c r="L735" s="43"/>
      <c r="M735" s="43"/>
      <c r="N735" s="43"/>
    </row>
    <row r="736">
      <c r="D736" s="64"/>
      <c r="E736" s="43"/>
      <c r="F736" s="43"/>
      <c r="G736" s="43"/>
      <c r="H736" s="43"/>
      <c r="I736" s="43"/>
      <c r="J736" s="43"/>
      <c r="K736" s="43"/>
      <c r="L736" s="43"/>
      <c r="M736" s="43"/>
      <c r="N736" s="43"/>
    </row>
    <row r="737">
      <c r="D737" s="64"/>
      <c r="E737" s="43"/>
      <c r="F737" s="43"/>
      <c r="G737" s="43"/>
      <c r="H737" s="43"/>
      <c r="I737" s="43"/>
      <c r="J737" s="43"/>
      <c r="K737" s="43"/>
      <c r="L737" s="43"/>
      <c r="M737" s="43"/>
      <c r="N737" s="43"/>
    </row>
    <row r="738">
      <c r="D738" s="64"/>
      <c r="E738" s="43"/>
      <c r="F738" s="43"/>
      <c r="G738" s="43"/>
      <c r="H738" s="43"/>
      <c r="I738" s="43"/>
      <c r="J738" s="43"/>
      <c r="K738" s="43"/>
      <c r="L738" s="43"/>
      <c r="M738" s="43"/>
      <c r="N738" s="43"/>
    </row>
    <row r="739">
      <c r="D739" s="64"/>
      <c r="E739" s="43"/>
      <c r="F739" s="43"/>
      <c r="G739" s="43"/>
      <c r="H739" s="43"/>
      <c r="I739" s="43"/>
      <c r="J739" s="43"/>
      <c r="K739" s="43"/>
      <c r="L739" s="43"/>
      <c r="M739" s="43"/>
      <c r="N739" s="43"/>
    </row>
    <row r="740">
      <c r="D740" s="64"/>
      <c r="E740" s="43"/>
      <c r="F740" s="43"/>
      <c r="G740" s="43"/>
      <c r="H740" s="43"/>
      <c r="I740" s="43"/>
      <c r="J740" s="43"/>
      <c r="K740" s="43"/>
      <c r="L740" s="43"/>
      <c r="M740" s="43"/>
      <c r="N740" s="43"/>
    </row>
    <row r="741">
      <c r="D741" s="64"/>
      <c r="E741" s="43"/>
      <c r="F741" s="43"/>
      <c r="G741" s="43"/>
      <c r="H741" s="43"/>
      <c r="I741" s="43"/>
      <c r="J741" s="43"/>
      <c r="K741" s="43"/>
      <c r="L741" s="43"/>
      <c r="M741" s="43"/>
      <c r="N741" s="43"/>
    </row>
    <row r="742">
      <c r="D742" s="64"/>
      <c r="E742" s="43"/>
      <c r="F742" s="43"/>
      <c r="G742" s="43"/>
      <c r="H742" s="43"/>
      <c r="I742" s="43"/>
      <c r="J742" s="43"/>
      <c r="K742" s="43"/>
      <c r="L742" s="43"/>
      <c r="M742" s="43"/>
      <c r="N742" s="43"/>
    </row>
    <row r="743">
      <c r="D743" s="64"/>
      <c r="E743" s="43"/>
      <c r="F743" s="43"/>
      <c r="G743" s="43"/>
      <c r="H743" s="43"/>
      <c r="I743" s="43"/>
      <c r="J743" s="43"/>
      <c r="K743" s="43"/>
      <c r="L743" s="43"/>
      <c r="M743" s="43"/>
      <c r="N743" s="43"/>
    </row>
    <row r="744">
      <c r="D744" s="64"/>
      <c r="E744" s="43"/>
      <c r="F744" s="43"/>
      <c r="G744" s="43"/>
      <c r="H744" s="43"/>
      <c r="I744" s="43"/>
      <c r="J744" s="43"/>
      <c r="K744" s="43"/>
      <c r="L744" s="43"/>
      <c r="M744" s="43"/>
      <c r="N744" s="43"/>
    </row>
    <row r="745">
      <c r="D745" s="64"/>
      <c r="E745" s="43"/>
      <c r="F745" s="43"/>
      <c r="G745" s="43"/>
      <c r="H745" s="43"/>
      <c r="I745" s="43"/>
      <c r="J745" s="43"/>
      <c r="K745" s="43"/>
      <c r="L745" s="43"/>
      <c r="M745" s="43"/>
      <c r="N745" s="43"/>
    </row>
    <row r="746">
      <c r="D746" s="64"/>
      <c r="E746" s="43"/>
      <c r="F746" s="43"/>
      <c r="G746" s="43"/>
      <c r="H746" s="43"/>
      <c r="I746" s="43"/>
      <c r="J746" s="43"/>
      <c r="K746" s="43"/>
      <c r="L746" s="43"/>
      <c r="M746" s="43"/>
      <c r="N746" s="43"/>
    </row>
    <row r="747">
      <c r="D747" s="64"/>
      <c r="E747" s="43"/>
      <c r="F747" s="43"/>
      <c r="G747" s="43"/>
      <c r="H747" s="43"/>
      <c r="I747" s="43"/>
      <c r="J747" s="43"/>
      <c r="K747" s="43"/>
      <c r="L747" s="43"/>
      <c r="M747" s="43"/>
      <c r="N747" s="43"/>
    </row>
    <row r="748">
      <c r="D748" s="64"/>
      <c r="E748" s="43"/>
      <c r="F748" s="43"/>
      <c r="G748" s="43"/>
      <c r="H748" s="43"/>
      <c r="I748" s="43"/>
      <c r="J748" s="43"/>
      <c r="K748" s="43"/>
      <c r="L748" s="43"/>
      <c r="M748" s="43"/>
      <c r="N748" s="43"/>
    </row>
    <row r="749">
      <c r="D749" s="64"/>
      <c r="E749" s="43"/>
      <c r="F749" s="43"/>
      <c r="G749" s="43"/>
      <c r="H749" s="43"/>
      <c r="I749" s="43"/>
      <c r="J749" s="43"/>
      <c r="K749" s="43"/>
      <c r="L749" s="43"/>
      <c r="M749" s="43"/>
      <c r="N749" s="43"/>
    </row>
    <row r="750">
      <c r="D750" s="64"/>
      <c r="E750" s="43"/>
      <c r="F750" s="43"/>
      <c r="G750" s="43"/>
      <c r="H750" s="43"/>
      <c r="I750" s="43"/>
      <c r="J750" s="43"/>
      <c r="K750" s="43"/>
      <c r="L750" s="43"/>
      <c r="M750" s="43"/>
      <c r="N750" s="43"/>
    </row>
    <row r="751">
      <c r="D751" s="64"/>
      <c r="E751" s="43"/>
      <c r="F751" s="43"/>
      <c r="G751" s="43"/>
      <c r="H751" s="43"/>
      <c r="I751" s="43"/>
      <c r="J751" s="43"/>
      <c r="K751" s="43"/>
      <c r="L751" s="43"/>
      <c r="M751" s="43"/>
      <c r="N751" s="43"/>
    </row>
    <row r="752">
      <c r="D752" s="64"/>
      <c r="E752" s="43"/>
      <c r="F752" s="43"/>
      <c r="G752" s="43"/>
      <c r="H752" s="43"/>
      <c r="I752" s="43"/>
      <c r="J752" s="43"/>
      <c r="K752" s="43"/>
      <c r="L752" s="43"/>
      <c r="M752" s="43"/>
      <c r="N752" s="43"/>
    </row>
    <row r="753">
      <c r="D753" s="64"/>
      <c r="E753" s="43"/>
      <c r="F753" s="43"/>
      <c r="G753" s="43"/>
      <c r="H753" s="43"/>
      <c r="I753" s="43"/>
      <c r="J753" s="43"/>
      <c r="K753" s="43"/>
      <c r="L753" s="43"/>
      <c r="M753" s="43"/>
      <c r="N753" s="43"/>
    </row>
    <row r="754">
      <c r="D754" s="64"/>
      <c r="E754" s="43"/>
      <c r="F754" s="43"/>
      <c r="G754" s="43"/>
      <c r="H754" s="43"/>
      <c r="I754" s="43"/>
      <c r="J754" s="43"/>
      <c r="K754" s="43"/>
      <c r="L754" s="43"/>
      <c r="M754" s="43"/>
      <c r="N754" s="43"/>
    </row>
    <row r="755">
      <c r="D755" s="64"/>
      <c r="E755" s="43"/>
      <c r="F755" s="43"/>
      <c r="G755" s="43"/>
      <c r="H755" s="43"/>
      <c r="I755" s="43"/>
      <c r="J755" s="43"/>
      <c r="K755" s="43"/>
      <c r="L755" s="43"/>
      <c r="M755" s="43"/>
      <c r="N755" s="43"/>
    </row>
    <row r="756">
      <c r="D756" s="64"/>
      <c r="E756" s="43"/>
      <c r="F756" s="43"/>
      <c r="G756" s="43"/>
      <c r="H756" s="43"/>
      <c r="I756" s="43"/>
      <c r="J756" s="43"/>
      <c r="K756" s="43"/>
      <c r="L756" s="43"/>
      <c r="M756" s="43"/>
      <c r="N756" s="43"/>
    </row>
    <row r="757">
      <c r="D757" s="64"/>
      <c r="E757" s="43"/>
      <c r="F757" s="43"/>
      <c r="G757" s="43"/>
      <c r="H757" s="43"/>
      <c r="I757" s="43"/>
      <c r="J757" s="43"/>
      <c r="K757" s="43"/>
      <c r="L757" s="43"/>
      <c r="M757" s="43"/>
      <c r="N757" s="43"/>
    </row>
    <row r="758">
      <c r="D758" s="64"/>
      <c r="E758" s="43"/>
      <c r="F758" s="43"/>
      <c r="G758" s="43"/>
      <c r="H758" s="43"/>
      <c r="I758" s="43"/>
      <c r="J758" s="43"/>
      <c r="K758" s="43"/>
      <c r="L758" s="43"/>
      <c r="M758" s="43"/>
      <c r="N758" s="43"/>
    </row>
    <row r="759">
      <c r="D759" s="64"/>
      <c r="E759" s="43"/>
      <c r="F759" s="43"/>
      <c r="G759" s="43"/>
      <c r="H759" s="43"/>
      <c r="I759" s="43"/>
      <c r="J759" s="43"/>
      <c r="K759" s="43"/>
      <c r="L759" s="43"/>
      <c r="M759" s="43"/>
      <c r="N759" s="43"/>
    </row>
    <row r="760">
      <c r="D760" s="64"/>
      <c r="E760" s="43"/>
      <c r="F760" s="43"/>
      <c r="G760" s="43"/>
      <c r="H760" s="43"/>
      <c r="I760" s="43"/>
      <c r="J760" s="43"/>
      <c r="K760" s="43"/>
      <c r="L760" s="43"/>
      <c r="M760" s="43"/>
      <c r="N760" s="43"/>
    </row>
    <row r="761">
      <c r="D761" s="64"/>
      <c r="E761" s="43"/>
      <c r="F761" s="43"/>
      <c r="G761" s="43"/>
      <c r="H761" s="43"/>
      <c r="I761" s="43"/>
      <c r="J761" s="43"/>
      <c r="K761" s="43"/>
      <c r="L761" s="43"/>
      <c r="M761" s="43"/>
      <c r="N761" s="43"/>
    </row>
    <row r="762">
      <c r="D762" s="64"/>
      <c r="E762" s="43"/>
      <c r="F762" s="43"/>
      <c r="G762" s="43"/>
      <c r="H762" s="43"/>
      <c r="I762" s="43"/>
      <c r="J762" s="43"/>
      <c r="K762" s="43"/>
      <c r="L762" s="43"/>
      <c r="M762" s="43"/>
      <c r="N762" s="43"/>
    </row>
    <row r="763">
      <c r="D763" s="64"/>
      <c r="E763" s="43"/>
      <c r="F763" s="43"/>
      <c r="G763" s="43"/>
      <c r="H763" s="43"/>
      <c r="I763" s="43"/>
      <c r="J763" s="43"/>
      <c r="K763" s="43"/>
      <c r="L763" s="43"/>
      <c r="M763" s="43"/>
      <c r="N763" s="43"/>
    </row>
    <row r="764">
      <c r="D764" s="64"/>
      <c r="E764" s="43"/>
      <c r="F764" s="43"/>
      <c r="G764" s="43"/>
      <c r="H764" s="43"/>
      <c r="I764" s="43"/>
      <c r="J764" s="43"/>
      <c r="K764" s="43"/>
      <c r="L764" s="43"/>
      <c r="M764" s="43"/>
      <c r="N764" s="43"/>
    </row>
    <row r="765">
      <c r="D765" s="64"/>
      <c r="E765" s="43"/>
      <c r="F765" s="43"/>
      <c r="G765" s="43"/>
      <c r="H765" s="43"/>
      <c r="I765" s="43"/>
      <c r="J765" s="43"/>
      <c r="K765" s="43"/>
      <c r="L765" s="43"/>
      <c r="M765" s="43"/>
      <c r="N765" s="43"/>
    </row>
    <row r="766">
      <c r="D766" s="64"/>
      <c r="E766" s="43"/>
      <c r="F766" s="43"/>
      <c r="G766" s="43"/>
      <c r="H766" s="43"/>
      <c r="I766" s="43"/>
      <c r="J766" s="43"/>
      <c r="K766" s="43"/>
      <c r="L766" s="43"/>
      <c r="M766" s="43"/>
      <c r="N766" s="43"/>
    </row>
    <row r="767">
      <c r="D767" s="64"/>
      <c r="E767" s="43"/>
      <c r="F767" s="43"/>
      <c r="G767" s="43"/>
      <c r="H767" s="43"/>
      <c r="I767" s="43"/>
      <c r="J767" s="43"/>
      <c r="K767" s="43"/>
      <c r="L767" s="43"/>
      <c r="M767" s="43"/>
      <c r="N767" s="43"/>
    </row>
    <row r="768">
      <c r="D768" s="64"/>
      <c r="E768" s="43"/>
      <c r="F768" s="43"/>
      <c r="G768" s="43"/>
      <c r="H768" s="43"/>
      <c r="I768" s="43"/>
      <c r="J768" s="43"/>
      <c r="K768" s="43"/>
      <c r="L768" s="43"/>
      <c r="M768" s="43"/>
      <c r="N768" s="43"/>
    </row>
    <row r="769">
      <c r="D769" s="64"/>
      <c r="E769" s="43"/>
      <c r="F769" s="43"/>
      <c r="G769" s="43"/>
      <c r="H769" s="43"/>
      <c r="I769" s="43"/>
      <c r="J769" s="43"/>
      <c r="K769" s="43"/>
      <c r="L769" s="43"/>
      <c r="M769" s="43"/>
      <c r="N769" s="43"/>
    </row>
    <row r="770">
      <c r="D770" s="64"/>
      <c r="E770" s="43"/>
      <c r="F770" s="43"/>
      <c r="G770" s="43"/>
      <c r="H770" s="43"/>
      <c r="I770" s="43"/>
      <c r="J770" s="43"/>
      <c r="K770" s="43"/>
      <c r="L770" s="43"/>
      <c r="M770" s="43"/>
      <c r="N770" s="43"/>
    </row>
    <row r="771">
      <c r="D771" s="64"/>
      <c r="E771" s="43"/>
      <c r="F771" s="43"/>
      <c r="G771" s="43"/>
      <c r="H771" s="43"/>
      <c r="I771" s="43"/>
      <c r="J771" s="43"/>
      <c r="K771" s="43"/>
      <c r="L771" s="43"/>
      <c r="M771" s="43"/>
      <c r="N771" s="43"/>
    </row>
    <row r="772">
      <c r="D772" s="64"/>
      <c r="E772" s="43"/>
      <c r="F772" s="43"/>
      <c r="G772" s="43"/>
      <c r="H772" s="43"/>
      <c r="I772" s="43"/>
      <c r="J772" s="43"/>
      <c r="K772" s="43"/>
      <c r="L772" s="43"/>
      <c r="M772" s="43"/>
      <c r="N772" s="43"/>
    </row>
    <row r="773">
      <c r="D773" s="64"/>
      <c r="E773" s="43"/>
      <c r="F773" s="43"/>
      <c r="G773" s="43"/>
      <c r="H773" s="43"/>
      <c r="I773" s="43"/>
      <c r="J773" s="43"/>
      <c r="K773" s="43"/>
      <c r="L773" s="43"/>
      <c r="M773" s="43"/>
      <c r="N773" s="43"/>
    </row>
    <row r="774">
      <c r="D774" s="64"/>
      <c r="E774" s="43"/>
      <c r="F774" s="43"/>
      <c r="G774" s="43"/>
      <c r="H774" s="43"/>
      <c r="I774" s="43"/>
      <c r="J774" s="43"/>
      <c r="K774" s="43"/>
      <c r="L774" s="43"/>
      <c r="M774" s="43"/>
      <c r="N774" s="43"/>
    </row>
    <row r="775">
      <c r="D775" s="64"/>
      <c r="E775" s="43"/>
      <c r="F775" s="43"/>
      <c r="G775" s="43"/>
      <c r="H775" s="43"/>
      <c r="I775" s="43"/>
      <c r="J775" s="43"/>
      <c r="K775" s="43"/>
      <c r="L775" s="43"/>
      <c r="M775" s="43"/>
      <c r="N775" s="43"/>
    </row>
    <row r="776">
      <c r="D776" s="64"/>
      <c r="E776" s="43"/>
      <c r="F776" s="43"/>
      <c r="G776" s="43"/>
      <c r="H776" s="43"/>
      <c r="I776" s="43"/>
      <c r="J776" s="43"/>
      <c r="K776" s="43"/>
      <c r="L776" s="43"/>
      <c r="M776" s="43"/>
      <c r="N776" s="43"/>
    </row>
    <row r="777">
      <c r="D777" s="64"/>
      <c r="E777" s="43"/>
      <c r="F777" s="43"/>
      <c r="G777" s="43"/>
      <c r="H777" s="43"/>
      <c r="I777" s="43"/>
      <c r="J777" s="43"/>
      <c r="K777" s="43"/>
      <c r="L777" s="43"/>
      <c r="M777" s="43"/>
      <c r="N777" s="43"/>
    </row>
    <row r="778">
      <c r="D778" s="64"/>
      <c r="E778" s="43"/>
      <c r="F778" s="43"/>
      <c r="G778" s="43"/>
      <c r="H778" s="43"/>
      <c r="I778" s="43"/>
      <c r="J778" s="43"/>
      <c r="K778" s="43"/>
      <c r="L778" s="43"/>
      <c r="M778" s="43"/>
      <c r="N778" s="43"/>
    </row>
    <row r="779">
      <c r="D779" s="64"/>
      <c r="E779" s="43"/>
      <c r="F779" s="43"/>
      <c r="G779" s="43"/>
      <c r="H779" s="43"/>
      <c r="I779" s="43"/>
      <c r="J779" s="43"/>
      <c r="K779" s="43"/>
      <c r="L779" s="43"/>
      <c r="M779" s="43"/>
      <c r="N779" s="43"/>
    </row>
    <row r="780">
      <c r="D780" s="64"/>
      <c r="E780" s="43"/>
      <c r="F780" s="43"/>
      <c r="G780" s="43"/>
      <c r="H780" s="43"/>
      <c r="I780" s="43"/>
      <c r="J780" s="43"/>
      <c r="K780" s="43"/>
      <c r="L780" s="43"/>
      <c r="M780" s="43"/>
      <c r="N780" s="43"/>
    </row>
    <row r="781">
      <c r="D781" s="64"/>
      <c r="E781" s="43"/>
      <c r="F781" s="43"/>
      <c r="G781" s="43"/>
      <c r="H781" s="43"/>
      <c r="I781" s="43"/>
      <c r="J781" s="43"/>
      <c r="K781" s="43"/>
      <c r="L781" s="43"/>
      <c r="M781" s="43"/>
      <c r="N781" s="43"/>
    </row>
    <row r="782">
      <c r="D782" s="64"/>
      <c r="E782" s="43"/>
      <c r="F782" s="43"/>
      <c r="G782" s="43"/>
      <c r="H782" s="43"/>
      <c r="I782" s="43"/>
      <c r="J782" s="43"/>
      <c r="K782" s="43"/>
      <c r="L782" s="43"/>
      <c r="M782" s="43"/>
      <c r="N782" s="43"/>
    </row>
    <row r="783">
      <c r="D783" s="64"/>
      <c r="E783" s="43"/>
      <c r="F783" s="43"/>
      <c r="G783" s="43"/>
      <c r="H783" s="43"/>
      <c r="I783" s="43"/>
      <c r="J783" s="43"/>
      <c r="K783" s="43"/>
      <c r="L783" s="43"/>
      <c r="M783" s="43"/>
      <c r="N783" s="43"/>
    </row>
    <row r="784">
      <c r="D784" s="64"/>
      <c r="E784" s="43"/>
      <c r="F784" s="43"/>
      <c r="G784" s="43"/>
      <c r="H784" s="43"/>
      <c r="I784" s="43"/>
      <c r="J784" s="43"/>
      <c r="K784" s="43"/>
      <c r="L784" s="43"/>
      <c r="M784" s="43"/>
      <c r="N784" s="43"/>
    </row>
    <row r="785">
      <c r="D785" s="64"/>
      <c r="E785" s="43"/>
      <c r="F785" s="43"/>
      <c r="G785" s="43"/>
      <c r="H785" s="43"/>
      <c r="I785" s="43"/>
      <c r="J785" s="43"/>
      <c r="K785" s="43"/>
      <c r="L785" s="43"/>
      <c r="M785" s="43"/>
      <c r="N785" s="43"/>
    </row>
    <row r="786">
      <c r="D786" s="64"/>
      <c r="E786" s="43"/>
      <c r="F786" s="43"/>
      <c r="G786" s="43"/>
      <c r="H786" s="43"/>
      <c r="I786" s="43"/>
      <c r="J786" s="43"/>
      <c r="K786" s="43"/>
      <c r="L786" s="43"/>
      <c r="M786" s="43"/>
      <c r="N786" s="43"/>
    </row>
    <row r="787">
      <c r="D787" s="64"/>
      <c r="E787" s="43"/>
      <c r="F787" s="43"/>
      <c r="G787" s="43"/>
      <c r="H787" s="43"/>
      <c r="I787" s="43"/>
      <c r="J787" s="43"/>
      <c r="K787" s="43"/>
      <c r="L787" s="43"/>
      <c r="M787" s="43"/>
      <c r="N787" s="43"/>
    </row>
    <row r="788">
      <c r="D788" s="64"/>
      <c r="E788" s="43"/>
      <c r="F788" s="43"/>
      <c r="G788" s="43"/>
      <c r="H788" s="43"/>
      <c r="I788" s="43"/>
      <c r="J788" s="43"/>
      <c r="K788" s="43"/>
      <c r="L788" s="43"/>
      <c r="M788" s="43"/>
      <c r="N788" s="43"/>
    </row>
    <row r="789">
      <c r="D789" s="64"/>
      <c r="E789" s="43"/>
      <c r="F789" s="43"/>
      <c r="G789" s="43"/>
      <c r="H789" s="43"/>
      <c r="I789" s="43"/>
      <c r="J789" s="43"/>
      <c r="K789" s="43"/>
      <c r="L789" s="43"/>
      <c r="M789" s="43"/>
      <c r="N789" s="43"/>
    </row>
    <row r="790">
      <c r="D790" s="64"/>
      <c r="E790" s="43"/>
      <c r="F790" s="43"/>
      <c r="G790" s="43"/>
      <c r="H790" s="43"/>
      <c r="I790" s="43"/>
      <c r="J790" s="43"/>
      <c r="K790" s="43"/>
      <c r="L790" s="43"/>
      <c r="M790" s="43"/>
      <c r="N790" s="43"/>
    </row>
    <row r="791">
      <c r="D791" s="64"/>
      <c r="E791" s="43"/>
      <c r="F791" s="43"/>
      <c r="G791" s="43"/>
      <c r="H791" s="43"/>
      <c r="I791" s="43"/>
      <c r="J791" s="43"/>
      <c r="K791" s="43"/>
      <c r="L791" s="43"/>
      <c r="M791" s="43"/>
      <c r="N791" s="43"/>
    </row>
    <row r="792">
      <c r="D792" s="64"/>
      <c r="E792" s="43"/>
      <c r="F792" s="43"/>
      <c r="G792" s="43"/>
      <c r="H792" s="43"/>
      <c r="I792" s="43"/>
      <c r="J792" s="43"/>
      <c r="K792" s="43"/>
      <c r="L792" s="43"/>
      <c r="M792" s="43"/>
      <c r="N792" s="43"/>
    </row>
    <row r="793">
      <c r="D793" s="64"/>
      <c r="E793" s="43"/>
      <c r="F793" s="43"/>
      <c r="G793" s="43"/>
      <c r="H793" s="43"/>
      <c r="I793" s="43"/>
      <c r="J793" s="43"/>
      <c r="K793" s="43"/>
      <c r="L793" s="43"/>
      <c r="M793" s="43"/>
      <c r="N793" s="43"/>
    </row>
    <row r="794">
      <c r="D794" s="64"/>
      <c r="E794" s="43"/>
      <c r="F794" s="43"/>
      <c r="G794" s="43"/>
      <c r="H794" s="43"/>
      <c r="I794" s="43"/>
      <c r="J794" s="43"/>
      <c r="K794" s="43"/>
      <c r="L794" s="43"/>
      <c r="M794" s="43"/>
      <c r="N794" s="43"/>
    </row>
    <row r="795">
      <c r="D795" s="64"/>
      <c r="E795" s="43"/>
      <c r="F795" s="43"/>
      <c r="G795" s="43"/>
      <c r="H795" s="43"/>
      <c r="I795" s="43"/>
      <c r="J795" s="43"/>
      <c r="K795" s="43"/>
      <c r="L795" s="43"/>
      <c r="M795" s="43"/>
      <c r="N795" s="43"/>
    </row>
    <row r="796">
      <c r="D796" s="64"/>
      <c r="E796" s="43"/>
      <c r="F796" s="43"/>
      <c r="G796" s="43"/>
      <c r="H796" s="43"/>
      <c r="I796" s="43"/>
      <c r="J796" s="43"/>
      <c r="K796" s="43"/>
      <c r="L796" s="43"/>
      <c r="M796" s="43"/>
      <c r="N796" s="43"/>
    </row>
    <row r="797">
      <c r="D797" s="64"/>
      <c r="E797" s="43"/>
      <c r="F797" s="43"/>
      <c r="G797" s="43"/>
      <c r="H797" s="43"/>
      <c r="I797" s="43"/>
      <c r="J797" s="43"/>
      <c r="K797" s="43"/>
      <c r="L797" s="43"/>
      <c r="M797" s="43"/>
      <c r="N797" s="43"/>
    </row>
    <row r="798">
      <c r="D798" s="64"/>
      <c r="E798" s="43"/>
      <c r="F798" s="43"/>
      <c r="G798" s="43"/>
      <c r="H798" s="43"/>
      <c r="I798" s="43"/>
      <c r="J798" s="43"/>
      <c r="K798" s="43"/>
      <c r="L798" s="43"/>
      <c r="M798" s="43"/>
      <c r="N798" s="43"/>
    </row>
    <row r="799">
      <c r="D799" s="64"/>
      <c r="E799" s="43"/>
      <c r="F799" s="43"/>
      <c r="G799" s="43"/>
      <c r="H799" s="43"/>
      <c r="I799" s="43"/>
      <c r="J799" s="43"/>
      <c r="K799" s="43"/>
      <c r="L799" s="43"/>
      <c r="M799" s="43"/>
      <c r="N799" s="43"/>
    </row>
    <row r="800">
      <c r="D800" s="64"/>
      <c r="E800" s="43"/>
      <c r="F800" s="43"/>
      <c r="G800" s="43"/>
      <c r="H800" s="43"/>
      <c r="I800" s="43"/>
      <c r="J800" s="43"/>
      <c r="K800" s="43"/>
      <c r="L800" s="43"/>
      <c r="M800" s="43"/>
      <c r="N800" s="43"/>
    </row>
    <row r="801">
      <c r="D801" s="64"/>
      <c r="E801" s="43"/>
      <c r="F801" s="43"/>
      <c r="G801" s="43"/>
      <c r="H801" s="43"/>
      <c r="I801" s="43"/>
      <c r="J801" s="43"/>
      <c r="K801" s="43"/>
      <c r="L801" s="43"/>
      <c r="M801" s="43"/>
      <c r="N801" s="43"/>
    </row>
    <row r="802">
      <c r="D802" s="64"/>
      <c r="E802" s="43"/>
      <c r="F802" s="43"/>
      <c r="G802" s="43"/>
      <c r="H802" s="43"/>
      <c r="I802" s="43"/>
      <c r="J802" s="43"/>
      <c r="K802" s="43"/>
      <c r="L802" s="43"/>
      <c r="M802" s="43"/>
      <c r="N802" s="43"/>
    </row>
    <row r="803">
      <c r="D803" s="64"/>
      <c r="E803" s="43"/>
      <c r="F803" s="43"/>
      <c r="G803" s="43"/>
      <c r="H803" s="43"/>
      <c r="I803" s="43"/>
      <c r="J803" s="43"/>
      <c r="K803" s="43"/>
      <c r="L803" s="43"/>
      <c r="M803" s="43"/>
      <c r="N803" s="43"/>
    </row>
    <row r="804">
      <c r="D804" s="64"/>
      <c r="E804" s="43"/>
      <c r="F804" s="43"/>
      <c r="G804" s="43"/>
      <c r="H804" s="43"/>
      <c r="I804" s="43"/>
      <c r="J804" s="43"/>
      <c r="K804" s="43"/>
      <c r="L804" s="43"/>
      <c r="M804" s="43"/>
      <c r="N804" s="43"/>
    </row>
    <row r="805">
      <c r="D805" s="64"/>
      <c r="E805" s="43"/>
      <c r="F805" s="43"/>
      <c r="G805" s="43"/>
      <c r="H805" s="43"/>
      <c r="I805" s="43"/>
      <c r="J805" s="43"/>
      <c r="K805" s="43"/>
      <c r="L805" s="43"/>
      <c r="M805" s="43"/>
      <c r="N805" s="43"/>
    </row>
    <row r="806">
      <c r="D806" s="64"/>
      <c r="E806" s="43"/>
      <c r="F806" s="43"/>
      <c r="G806" s="43"/>
      <c r="H806" s="43"/>
      <c r="I806" s="43"/>
      <c r="J806" s="43"/>
      <c r="K806" s="43"/>
      <c r="L806" s="43"/>
      <c r="M806" s="43"/>
      <c r="N806" s="43"/>
    </row>
    <row r="807">
      <c r="D807" s="64"/>
      <c r="E807" s="43"/>
      <c r="F807" s="43"/>
      <c r="G807" s="43"/>
      <c r="H807" s="43"/>
      <c r="I807" s="43"/>
      <c r="J807" s="43"/>
      <c r="K807" s="43"/>
      <c r="L807" s="43"/>
      <c r="M807" s="43"/>
      <c r="N807" s="43"/>
    </row>
    <row r="808">
      <c r="D808" s="64"/>
      <c r="E808" s="43"/>
      <c r="F808" s="43"/>
      <c r="G808" s="43"/>
      <c r="H808" s="43"/>
      <c r="I808" s="43"/>
      <c r="J808" s="43"/>
      <c r="K808" s="43"/>
      <c r="L808" s="43"/>
      <c r="M808" s="43"/>
      <c r="N808" s="43"/>
    </row>
    <row r="809">
      <c r="D809" s="64"/>
      <c r="E809" s="43"/>
      <c r="F809" s="43"/>
      <c r="G809" s="43"/>
      <c r="H809" s="43"/>
      <c r="I809" s="43"/>
      <c r="J809" s="43"/>
      <c r="K809" s="43"/>
      <c r="L809" s="43"/>
      <c r="M809" s="43"/>
      <c r="N809" s="43"/>
    </row>
    <row r="810">
      <c r="D810" s="64"/>
      <c r="E810" s="43"/>
      <c r="F810" s="43"/>
      <c r="G810" s="43"/>
      <c r="H810" s="43"/>
      <c r="I810" s="43"/>
      <c r="J810" s="43"/>
      <c r="K810" s="43"/>
      <c r="L810" s="43"/>
      <c r="M810" s="43"/>
      <c r="N810" s="43"/>
    </row>
    <row r="811">
      <c r="D811" s="64"/>
      <c r="E811" s="43"/>
      <c r="F811" s="43"/>
      <c r="G811" s="43"/>
      <c r="H811" s="43"/>
      <c r="I811" s="43"/>
      <c r="J811" s="43"/>
      <c r="K811" s="43"/>
      <c r="L811" s="43"/>
      <c r="M811" s="43"/>
      <c r="N811" s="43"/>
    </row>
    <row r="812">
      <c r="D812" s="64"/>
      <c r="E812" s="43"/>
      <c r="F812" s="43"/>
      <c r="G812" s="43"/>
      <c r="H812" s="43"/>
      <c r="I812" s="43"/>
      <c r="J812" s="43"/>
      <c r="K812" s="43"/>
      <c r="L812" s="43"/>
      <c r="M812" s="43"/>
      <c r="N812" s="43"/>
    </row>
    <row r="813">
      <c r="D813" s="64"/>
      <c r="E813" s="43"/>
      <c r="F813" s="43"/>
      <c r="G813" s="43"/>
      <c r="H813" s="43"/>
      <c r="I813" s="43"/>
      <c r="J813" s="43"/>
      <c r="K813" s="43"/>
      <c r="L813" s="43"/>
      <c r="M813" s="43"/>
      <c r="N813" s="43"/>
    </row>
    <row r="814">
      <c r="D814" s="64"/>
      <c r="E814" s="43"/>
      <c r="F814" s="43"/>
      <c r="G814" s="43"/>
      <c r="H814" s="43"/>
      <c r="I814" s="43"/>
      <c r="J814" s="43"/>
      <c r="K814" s="43"/>
      <c r="L814" s="43"/>
      <c r="M814" s="43"/>
      <c r="N814" s="43"/>
    </row>
    <row r="815">
      <c r="D815" s="64"/>
      <c r="E815" s="43"/>
      <c r="F815" s="43"/>
      <c r="G815" s="43"/>
      <c r="H815" s="43"/>
      <c r="I815" s="43"/>
      <c r="J815" s="43"/>
      <c r="K815" s="43"/>
      <c r="L815" s="43"/>
      <c r="M815" s="43"/>
      <c r="N815" s="43"/>
    </row>
    <row r="816">
      <c r="D816" s="64"/>
      <c r="E816" s="43"/>
      <c r="F816" s="43"/>
      <c r="G816" s="43"/>
      <c r="H816" s="43"/>
      <c r="I816" s="43"/>
      <c r="J816" s="43"/>
      <c r="K816" s="43"/>
      <c r="L816" s="43"/>
      <c r="M816" s="43"/>
      <c r="N816" s="43"/>
    </row>
    <row r="817">
      <c r="D817" s="64"/>
      <c r="E817" s="43"/>
      <c r="F817" s="43"/>
      <c r="G817" s="43"/>
      <c r="H817" s="43"/>
      <c r="I817" s="43"/>
      <c r="J817" s="43"/>
      <c r="K817" s="43"/>
      <c r="L817" s="43"/>
      <c r="M817" s="43"/>
      <c r="N817" s="43"/>
    </row>
    <row r="818">
      <c r="D818" s="64"/>
      <c r="E818" s="43"/>
      <c r="F818" s="43"/>
      <c r="G818" s="43"/>
      <c r="H818" s="43"/>
      <c r="I818" s="43"/>
      <c r="J818" s="43"/>
      <c r="K818" s="43"/>
      <c r="L818" s="43"/>
      <c r="M818" s="43"/>
      <c r="N818" s="43"/>
    </row>
    <row r="819">
      <c r="D819" s="64"/>
      <c r="E819" s="43"/>
      <c r="F819" s="43"/>
      <c r="G819" s="43"/>
      <c r="H819" s="43"/>
      <c r="I819" s="43"/>
      <c r="J819" s="43"/>
      <c r="K819" s="43"/>
      <c r="L819" s="43"/>
      <c r="M819" s="43"/>
      <c r="N819" s="43"/>
    </row>
    <row r="820">
      <c r="D820" s="64"/>
      <c r="E820" s="43"/>
      <c r="F820" s="43"/>
      <c r="G820" s="43"/>
      <c r="H820" s="43"/>
      <c r="I820" s="43"/>
      <c r="J820" s="43"/>
      <c r="K820" s="43"/>
      <c r="L820" s="43"/>
      <c r="M820" s="43"/>
      <c r="N820" s="43"/>
    </row>
    <row r="821">
      <c r="D821" s="64"/>
      <c r="E821" s="43"/>
      <c r="F821" s="43"/>
      <c r="G821" s="43"/>
      <c r="H821" s="43"/>
      <c r="I821" s="43"/>
      <c r="J821" s="43"/>
      <c r="K821" s="43"/>
      <c r="L821" s="43"/>
      <c r="M821" s="43"/>
      <c r="N821" s="43"/>
    </row>
    <row r="822">
      <c r="D822" s="64"/>
      <c r="E822" s="43"/>
      <c r="F822" s="43"/>
      <c r="G822" s="43"/>
      <c r="H822" s="43"/>
      <c r="I822" s="43"/>
      <c r="J822" s="43"/>
      <c r="K822" s="43"/>
      <c r="L822" s="43"/>
      <c r="M822" s="43"/>
      <c r="N822" s="43"/>
    </row>
    <row r="823">
      <c r="D823" s="64"/>
      <c r="E823" s="43"/>
      <c r="F823" s="43"/>
      <c r="G823" s="43"/>
      <c r="H823" s="43"/>
      <c r="I823" s="43"/>
      <c r="J823" s="43"/>
      <c r="K823" s="43"/>
      <c r="L823" s="43"/>
      <c r="M823" s="43"/>
      <c r="N823" s="43"/>
    </row>
    <row r="824">
      <c r="D824" s="64"/>
      <c r="E824" s="43"/>
      <c r="F824" s="43"/>
      <c r="G824" s="43"/>
      <c r="H824" s="43"/>
      <c r="I824" s="43"/>
      <c r="J824" s="43"/>
      <c r="K824" s="43"/>
      <c r="L824" s="43"/>
      <c r="M824" s="43"/>
      <c r="N824" s="43"/>
    </row>
    <row r="825">
      <c r="D825" s="64"/>
      <c r="E825" s="43"/>
      <c r="F825" s="43"/>
      <c r="G825" s="43"/>
      <c r="H825" s="43"/>
      <c r="I825" s="43"/>
      <c r="J825" s="43"/>
      <c r="K825" s="43"/>
      <c r="L825" s="43"/>
      <c r="M825" s="43"/>
      <c r="N825" s="43"/>
    </row>
    <row r="826">
      <c r="D826" s="64"/>
      <c r="E826" s="43"/>
      <c r="F826" s="43"/>
      <c r="G826" s="43"/>
      <c r="H826" s="43"/>
      <c r="I826" s="43"/>
      <c r="J826" s="43"/>
      <c r="K826" s="43"/>
      <c r="L826" s="43"/>
      <c r="M826" s="43"/>
      <c r="N826" s="43"/>
    </row>
    <row r="827">
      <c r="D827" s="64"/>
      <c r="E827" s="43"/>
      <c r="F827" s="43"/>
      <c r="G827" s="43"/>
      <c r="H827" s="43"/>
      <c r="I827" s="43"/>
      <c r="J827" s="43"/>
      <c r="K827" s="43"/>
      <c r="L827" s="43"/>
      <c r="M827" s="43"/>
      <c r="N827" s="43"/>
    </row>
    <row r="828">
      <c r="D828" s="64"/>
      <c r="E828" s="43"/>
      <c r="F828" s="43"/>
      <c r="G828" s="43"/>
      <c r="H828" s="43"/>
      <c r="I828" s="43"/>
      <c r="J828" s="43"/>
      <c r="K828" s="43"/>
      <c r="L828" s="43"/>
      <c r="M828" s="43"/>
      <c r="N828" s="43"/>
    </row>
    <row r="829">
      <c r="D829" s="64"/>
      <c r="E829" s="43"/>
      <c r="F829" s="43"/>
      <c r="G829" s="43"/>
      <c r="H829" s="43"/>
      <c r="I829" s="43"/>
      <c r="J829" s="43"/>
      <c r="K829" s="43"/>
      <c r="L829" s="43"/>
      <c r="M829" s="43"/>
      <c r="N829" s="43"/>
    </row>
    <row r="830">
      <c r="D830" s="64"/>
      <c r="E830" s="43"/>
      <c r="F830" s="43"/>
      <c r="G830" s="43"/>
      <c r="H830" s="43"/>
      <c r="I830" s="43"/>
      <c r="J830" s="43"/>
      <c r="K830" s="43"/>
      <c r="L830" s="43"/>
      <c r="M830" s="43"/>
      <c r="N830" s="43"/>
    </row>
    <row r="831">
      <c r="D831" s="64"/>
      <c r="E831" s="43"/>
      <c r="F831" s="43"/>
      <c r="G831" s="43"/>
      <c r="H831" s="43"/>
      <c r="I831" s="43"/>
      <c r="J831" s="43"/>
      <c r="K831" s="43"/>
      <c r="L831" s="43"/>
      <c r="M831" s="43"/>
      <c r="N831" s="43"/>
    </row>
    <row r="832">
      <c r="D832" s="64"/>
      <c r="E832" s="43"/>
      <c r="F832" s="43"/>
      <c r="G832" s="43"/>
      <c r="H832" s="43"/>
      <c r="I832" s="43"/>
      <c r="J832" s="43"/>
      <c r="K832" s="43"/>
      <c r="L832" s="43"/>
      <c r="M832" s="43"/>
      <c r="N832" s="43"/>
    </row>
    <row r="833">
      <c r="D833" s="64"/>
      <c r="E833" s="43"/>
      <c r="F833" s="43"/>
      <c r="G833" s="43"/>
      <c r="H833" s="43"/>
      <c r="I833" s="43"/>
      <c r="J833" s="43"/>
      <c r="K833" s="43"/>
      <c r="L833" s="43"/>
      <c r="M833" s="43"/>
      <c r="N833" s="43"/>
    </row>
    <row r="834">
      <c r="D834" s="64"/>
      <c r="E834" s="43"/>
      <c r="F834" s="43"/>
      <c r="G834" s="43"/>
      <c r="H834" s="43"/>
      <c r="I834" s="43"/>
      <c r="J834" s="43"/>
      <c r="K834" s="43"/>
      <c r="L834" s="43"/>
      <c r="M834" s="43"/>
      <c r="N834" s="43"/>
    </row>
    <row r="835">
      <c r="D835" s="64"/>
      <c r="E835" s="43"/>
      <c r="F835" s="43"/>
      <c r="G835" s="43"/>
      <c r="H835" s="43"/>
      <c r="I835" s="43"/>
      <c r="J835" s="43"/>
      <c r="K835" s="43"/>
      <c r="L835" s="43"/>
      <c r="M835" s="43"/>
      <c r="N835" s="43"/>
    </row>
    <row r="836">
      <c r="D836" s="64"/>
      <c r="E836" s="43"/>
      <c r="F836" s="43"/>
      <c r="G836" s="43"/>
      <c r="H836" s="43"/>
      <c r="I836" s="43"/>
      <c r="J836" s="43"/>
      <c r="K836" s="43"/>
      <c r="L836" s="43"/>
      <c r="M836" s="43"/>
      <c r="N836" s="43"/>
    </row>
    <row r="837">
      <c r="D837" s="64"/>
      <c r="E837" s="43"/>
      <c r="F837" s="43"/>
      <c r="G837" s="43"/>
      <c r="H837" s="43"/>
      <c r="I837" s="43"/>
      <c r="J837" s="43"/>
      <c r="K837" s="43"/>
      <c r="L837" s="43"/>
      <c r="M837" s="43"/>
      <c r="N837" s="43"/>
    </row>
    <row r="838">
      <c r="D838" s="64"/>
      <c r="E838" s="43"/>
      <c r="F838" s="43"/>
      <c r="G838" s="43"/>
      <c r="H838" s="43"/>
      <c r="I838" s="43"/>
      <c r="J838" s="43"/>
      <c r="K838" s="43"/>
      <c r="L838" s="43"/>
      <c r="M838" s="43"/>
      <c r="N838" s="43"/>
    </row>
    <row r="839">
      <c r="D839" s="64"/>
      <c r="E839" s="43"/>
      <c r="F839" s="43"/>
      <c r="G839" s="43"/>
      <c r="H839" s="43"/>
      <c r="I839" s="43"/>
      <c r="J839" s="43"/>
      <c r="K839" s="43"/>
      <c r="L839" s="43"/>
      <c r="M839" s="43"/>
      <c r="N839" s="43"/>
    </row>
    <row r="840">
      <c r="D840" s="64"/>
      <c r="E840" s="43"/>
      <c r="F840" s="43"/>
      <c r="G840" s="43"/>
      <c r="H840" s="43"/>
      <c r="I840" s="43"/>
      <c r="J840" s="43"/>
      <c r="K840" s="43"/>
      <c r="L840" s="43"/>
      <c r="M840" s="43"/>
      <c r="N840" s="43"/>
    </row>
    <row r="841">
      <c r="D841" s="64"/>
      <c r="E841" s="43"/>
      <c r="F841" s="43"/>
      <c r="G841" s="43"/>
      <c r="H841" s="43"/>
      <c r="I841" s="43"/>
      <c r="J841" s="43"/>
      <c r="K841" s="43"/>
      <c r="L841" s="43"/>
      <c r="M841" s="43"/>
      <c r="N841" s="43"/>
    </row>
    <row r="842">
      <c r="D842" s="64"/>
      <c r="E842" s="43"/>
      <c r="F842" s="43"/>
      <c r="G842" s="43"/>
      <c r="H842" s="43"/>
      <c r="I842" s="43"/>
      <c r="J842" s="43"/>
      <c r="K842" s="43"/>
      <c r="L842" s="43"/>
      <c r="M842" s="43"/>
      <c r="N842" s="43"/>
    </row>
    <row r="843">
      <c r="D843" s="64"/>
      <c r="E843" s="43"/>
      <c r="F843" s="43"/>
      <c r="G843" s="43"/>
      <c r="H843" s="43"/>
      <c r="I843" s="43"/>
      <c r="J843" s="43"/>
      <c r="K843" s="43"/>
      <c r="L843" s="43"/>
      <c r="M843" s="43"/>
      <c r="N843" s="43"/>
    </row>
    <row r="844">
      <c r="D844" s="64"/>
      <c r="E844" s="43"/>
      <c r="F844" s="43"/>
      <c r="G844" s="43"/>
      <c r="H844" s="43"/>
      <c r="I844" s="43"/>
      <c r="J844" s="43"/>
      <c r="K844" s="43"/>
      <c r="L844" s="43"/>
      <c r="M844" s="43"/>
      <c r="N844" s="43"/>
    </row>
    <row r="845">
      <c r="D845" s="64"/>
      <c r="E845" s="43"/>
      <c r="F845" s="43"/>
      <c r="G845" s="43"/>
      <c r="H845" s="43"/>
      <c r="I845" s="43"/>
      <c r="J845" s="43"/>
      <c r="K845" s="43"/>
      <c r="L845" s="43"/>
      <c r="M845" s="43"/>
      <c r="N845" s="43"/>
    </row>
    <row r="846">
      <c r="D846" s="64"/>
      <c r="E846" s="43"/>
      <c r="F846" s="43"/>
      <c r="G846" s="43"/>
      <c r="H846" s="43"/>
      <c r="I846" s="43"/>
      <c r="J846" s="43"/>
      <c r="K846" s="43"/>
      <c r="L846" s="43"/>
      <c r="M846" s="43"/>
      <c r="N846" s="43"/>
    </row>
    <row r="847">
      <c r="D847" s="64"/>
      <c r="E847" s="43"/>
      <c r="F847" s="43"/>
      <c r="G847" s="43"/>
      <c r="H847" s="43"/>
      <c r="I847" s="43"/>
      <c r="J847" s="43"/>
      <c r="K847" s="43"/>
      <c r="L847" s="43"/>
      <c r="M847" s="43"/>
      <c r="N847" s="43"/>
    </row>
    <row r="848">
      <c r="D848" s="64"/>
      <c r="E848" s="43"/>
      <c r="F848" s="43"/>
      <c r="G848" s="43"/>
      <c r="H848" s="43"/>
      <c r="I848" s="43"/>
      <c r="J848" s="43"/>
      <c r="K848" s="43"/>
      <c r="L848" s="43"/>
      <c r="M848" s="43"/>
      <c r="N848" s="43"/>
    </row>
    <row r="849">
      <c r="D849" s="64"/>
      <c r="E849" s="43"/>
      <c r="F849" s="43"/>
      <c r="G849" s="43"/>
      <c r="H849" s="43"/>
      <c r="I849" s="43"/>
      <c r="J849" s="43"/>
      <c r="K849" s="43"/>
      <c r="L849" s="43"/>
      <c r="M849" s="43"/>
      <c r="N849" s="43"/>
    </row>
    <row r="850">
      <c r="D850" s="64"/>
      <c r="E850" s="43"/>
      <c r="F850" s="43"/>
      <c r="G850" s="43"/>
      <c r="H850" s="43"/>
      <c r="I850" s="43"/>
      <c r="J850" s="43"/>
      <c r="K850" s="43"/>
      <c r="L850" s="43"/>
      <c r="M850" s="43"/>
      <c r="N850" s="43"/>
    </row>
    <row r="851">
      <c r="D851" s="64"/>
      <c r="E851" s="43"/>
      <c r="F851" s="43"/>
      <c r="G851" s="43"/>
      <c r="H851" s="43"/>
      <c r="I851" s="43"/>
      <c r="J851" s="43"/>
      <c r="K851" s="43"/>
      <c r="L851" s="43"/>
      <c r="M851" s="43"/>
      <c r="N851" s="43"/>
    </row>
    <row r="852">
      <c r="D852" s="64"/>
      <c r="E852" s="43"/>
      <c r="F852" s="43"/>
      <c r="G852" s="43"/>
      <c r="H852" s="43"/>
      <c r="I852" s="43"/>
      <c r="J852" s="43"/>
      <c r="K852" s="43"/>
      <c r="L852" s="43"/>
      <c r="M852" s="43"/>
      <c r="N852" s="43"/>
    </row>
    <row r="853">
      <c r="D853" s="64"/>
      <c r="E853" s="43"/>
      <c r="F853" s="43"/>
      <c r="G853" s="43"/>
      <c r="H853" s="43"/>
      <c r="I853" s="43"/>
      <c r="J853" s="43"/>
      <c r="K853" s="43"/>
      <c r="L853" s="43"/>
      <c r="M853" s="43"/>
      <c r="N853" s="43"/>
    </row>
    <row r="854">
      <c r="D854" s="64"/>
      <c r="E854" s="43"/>
      <c r="F854" s="43"/>
      <c r="G854" s="43"/>
      <c r="H854" s="43"/>
      <c r="I854" s="43"/>
      <c r="J854" s="43"/>
      <c r="K854" s="43"/>
      <c r="L854" s="43"/>
      <c r="M854" s="43"/>
      <c r="N854" s="43"/>
    </row>
    <row r="855">
      <c r="D855" s="64"/>
      <c r="E855" s="43"/>
      <c r="F855" s="43"/>
      <c r="G855" s="43"/>
      <c r="H855" s="43"/>
      <c r="I855" s="43"/>
      <c r="J855" s="43"/>
      <c r="K855" s="43"/>
      <c r="L855" s="43"/>
      <c r="M855" s="43"/>
      <c r="N855" s="43"/>
    </row>
    <row r="856">
      <c r="D856" s="64"/>
      <c r="E856" s="43"/>
      <c r="F856" s="43"/>
      <c r="G856" s="43"/>
      <c r="H856" s="43"/>
      <c r="I856" s="43"/>
      <c r="J856" s="43"/>
      <c r="K856" s="43"/>
      <c r="L856" s="43"/>
      <c r="M856" s="43"/>
      <c r="N856" s="43"/>
    </row>
    <row r="857">
      <c r="D857" s="64"/>
      <c r="E857" s="43"/>
      <c r="F857" s="43"/>
      <c r="G857" s="43"/>
      <c r="H857" s="43"/>
      <c r="I857" s="43"/>
      <c r="J857" s="43"/>
      <c r="K857" s="43"/>
      <c r="L857" s="43"/>
      <c r="M857" s="43"/>
      <c r="N857" s="43"/>
    </row>
    <row r="858">
      <c r="D858" s="64"/>
      <c r="E858" s="43"/>
      <c r="F858" s="43"/>
      <c r="G858" s="43"/>
      <c r="H858" s="43"/>
      <c r="I858" s="43"/>
      <c r="J858" s="43"/>
      <c r="K858" s="43"/>
      <c r="L858" s="43"/>
      <c r="M858" s="43"/>
      <c r="N858" s="43"/>
    </row>
    <row r="859">
      <c r="D859" s="64"/>
      <c r="E859" s="43"/>
      <c r="F859" s="43"/>
      <c r="G859" s="43"/>
      <c r="H859" s="43"/>
      <c r="I859" s="43"/>
      <c r="J859" s="43"/>
      <c r="K859" s="43"/>
      <c r="L859" s="43"/>
      <c r="M859" s="43"/>
      <c r="N859" s="43"/>
    </row>
    <row r="860">
      <c r="D860" s="64"/>
      <c r="E860" s="43"/>
      <c r="F860" s="43"/>
      <c r="G860" s="43"/>
      <c r="H860" s="43"/>
      <c r="I860" s="43"/>
      <c r="J860" s="43"/>
      <c r="K860" s="43"/>
      <c r="L860" s="43"/>
      <c r="M860" s="43"/>
      <c r="N860" s="43"/>
    </row>
    <row r="861">
      <c r="D861" s="64"/>
      <c r="E861" s="43"/>
      <c r="F861" s="43"/>
      <c r="G861" s="43"/>
      <c r="H861" s="43"/>
      <c r="I861" s="43"/>
      <c r="J861" s="43"/>
      <c r="K861" s="43"/>
      <c r="L861" s="43"/>
      <c r="M861" s="43"/>
      <c r="N861" s="43"/>
    </row>
    <row r="862">
      <c r="D862" s="64"/>
      <c r="E862" s="43"/>
      <c r="F862" s="43"/>
      <c r="G862" s="43"/>
      <c r="H862" s="43"/>
      <c r="I862" s="43"/>
      <c r="J862" s="43"/>
      <c r="K862" s="43"/>
      <c r="L862" s="43"/>
      <c r="M862" s="43"/>
      <c r="N862" s="43"/>
    </row>
    <row r="863">
      <c r="D863" s="64"/>
      <c r="E863" s="43"/>
      <c r="F863" s="43"/>
      <c r="G863" s="43"/>
      <c r="H863" s="43"/>
      <c r="I863" s="43"/>
      <c r="J863" s="43"/>
      <c r="K863" s="43"/>
      <c r="L863" s="43"/>
      <c r="M863" s="43"/>
      <c r="N863" s="43"/>
    </row>
    <row r="864">
      <c r="D864" s="64"/>
      <c r="E864" s="43"/>
      <c r="F864" s="43"/>
      <c r="G864" s="43"/>
      <c r="H864" s="43"/>
      <c r="I864" s="43"/>
      <c r="J864" s="43"/>
      <c r="K864" s="43"/>
      <c r="L864" s="43"/>
      <c r="M864" s="43"/>
      <c r="N864" s="43"/>
    </row>
    <row r="865">
      <c r="D865" s="64"/>
      <c r="E865" s="43"/>
      <c r="F865" s="43"/>
      <c r="G865" s="43"/>
      <c r="H865" s="43"/>
      <c r="I865" s="43"/>
      <c r="J865" s="43"/>
      <c r="K865" s="43"/>
      <c r="L865" s="43"/>
      <c r="M865" s="43"/>
      <c r="N865" s="43"/>
    </row>
    <row r="866">
      <c r="D866" s="64"/>
      <c r="E866" s="43"/>
      <c r="F866" s="43"/>
      <c r="G866" s="43"/>
      <c r="H866" s="43"/>
      <c r="I866" s="43"/>
      <c r="J866" s="43"/>
      <c r="K866" s="43"/>
      <c r="L866" s="43"/>
      <c r="M866" s="43"/>
      <c r="N866" s="43"/>
    </row>
    <row r="867">
      <c r="D867" s="64"/>
      <c r="E867" s="43"/>
      <c r="F867" s="43"/>
      <c r="G867" s="43"/>
      <c r="H867" s="43"/>
      <c r="I867" s="43"/>
      <c r="J867" s="43"/>
      <c r="K867" s="43"/>
      <c r="L867" s="43"/>
      <c r="M867" s="43"/>
      <c r="N867" s="43"/>
    </row>
    <row r="868">
      <c r="D868" s="64"/>
      <c r="E868" s="43"/>
      <c r="F868" s="43"/>
      <c r="G868" s="43"/>
      <c r="H868" s="43"/>
      <c r="I868" s="43"/>
      <c r="J868" s="43"/>
      <c r="K868" s="43"/>
      <c r="L868" s="43"/>
      <c r="M868" s="43"/>
      <c r="N868" s="43"/>
    </row>
    <row r="869">
      <c r="D869" s="64"/>
      <c r="E869" s="43"/>
      <c r="F869" s="43"/>
      <c r="G869" s="43"/>
      <c r="H869" s="43"/>
      <c r="I869" s="43"/>
      <c r="J869" s="43"/>
      <c r="K869" s="43"/>
      <c r="L869" s="43"/>
      <c r="M869" s="43"/>
      <c r="N869" s="43"/>
    </row>
    <row r="870">
      <c r="D870" s="64"/>
      <c r="E870" s="43"/>
      <c r="F870" s="43"/>
      <c r="G870" s="43"/>
      <c r="H870" s="43"/>
      <c r="I870" s="43"/>
      <c r="J870" s="43"/>
      <c r="K870" s="43"/>
      <c r="L870" s="43"/>
      <c r="M870" s="43"/>
      <c r="N870" s="43"/>
    </row>
    <row r="871">
      <c r="D871" s="64"/>
      <c r="E871" s="43"/>
      <c r="F871" s="43"/>
      <c r="G871" s="43"/>
      <c r="H871" s="43"/>
      <c r="I871" s="43"/>
      <c r="J871" s="43"/>
      <c r="K871" s="43"/>
      <c r="L871" s="43"/>
      <c r="M871" s="43"/>
      <c r="N871" s="43"/>
    </row>
    <row r="872">
      <c r="D872" s="64"/>
      <c r="E872" s="43"/>
      <c r="F872" s="43"/>
      <c r="G872" s="43"/>
      <c r="H872" s="43"/>
      <c r="I872" s="43"/>
      <c r="J872" s="43"/>
      <c r="K872" s="43"/>
      <c r="L872" s="43"/>
      <c r="M872" s="43"/>
      <c r="N872" s="43"/>
    </row>
    <row r="873">
      <c r="D873" s="64"/>
      <c r="E873" s="43"/>
      <c r="F873" s="43"/>
      <c r="G873" s="43"/>
      <c r="H873" s="43"/>
      <c r="I873" s="43"/>
      <c r="J873" s="43"/>
      <c r="K873" s="43"/>
      <c r="L873" s="43"/>
      <c r="M873" s="43"/>
      <c r="N873" s="43"/>
    </row>
    <row r="874">
      <c r="D874" s="64"/>
      <c r="E874" s="43"/>
      <c r="F874" s="43"/>
      <c r="G874" s="43"/>
      <c r="H874" s="43"/>
      <c r="I874" s="43"/>
      <c r="J874" s="43"/>
      <c r="K874" s="43"/>
      <c r="L874" s="43"/>
      <c r="M874" s="43"/>
      <c r="N874" s="43"/>
    </row>
    <row r="875">
      <c r="D875" s="64"/>
      <c r="E875" s="43"/>
      <c r="F875" s="43"/>
      <c r="G875" s="43"/>
      <c r="H875" s="43"/>
      <c r="I875" s="43"/>
      <c r="J875" s="43"/>
      <c r="K875" s="43"/>
      <c r="L875" s="43"/>
      <c r="M875" s="43"/>
      <c r="N875" s="43"/>
    </row>
    <row r="876">
      <c r="D876" s="64"/>
      <c r="E876" s="43"/>
      <c r="F876" s="43"/>
      <c r="G876" s="43"/>
      <c r="H876" s="43"/>
      <c r="I876" s="43"/>
      <c r="J876" s="43"/>
      <c r="K876" s="43"/>
      <c r="L876" s="43"/>
      <c r="M876" s="43"/>
      <c r="N876" s="43"/>
    </row>
    <row r="877">
      <c r="D877" s="64"/>
      <c r="E877" s="43"/>
      <c r="F877" s="43"/>
      <c r="G877" s="43"/>
      <c r="H877" s="43"/>
      <c r="I877" s="43"/>
      <c r="J877" s="43"/>
      <c r="K877" s="43"/>
      <c r="L877" s="43"/>
      <c r="M877" s="43"/>
      <c r="N877" s="43"/>
    </row>
    <row r="878">
      <c r="D878" s="64"/>
      <c r="E878" s="43"/>
      <c r="F878" s="43"/>
      <c r="G878" s="43"/>
      <c r="H878" s="43"/>
      <c r="I878" s="43"/>
      <c r="J878" s="43"/>
      <c r="K878" s="43"/>
      <c r="L878" s="43"/>
      <c r="M878" s="43"/>
      <c r="N878" s="43"/>
    </row>
    <row r="879">
      <c r="D879" s="64"/>
      <c r="E879" s="43"/>
      <c r="F879" s="43"/>
      <c r="G879" s="43"/>
      <c r="H879" s="43"/>
      <c r="I879" s="43"/>
      <c r="J879" s="43"/>
      <c r="K879" s="43"/>
      <c r="L879" s="43"/>
      <c r="M879" s="43"/>
      <c r="N879" s="43"/>
    </row>
    <row r="880">
      <c r="D880" s="64"/>
      <c r="E880" s="43"/>
      <c r="F880" s="43"/>
      <c r="G880" s="43"/>
      <c r="H880" s="43"/>
      <c r="I880" s="43"/>
      <c r="J880" s="43"/>
      <c r="K880" s="43"/>
      <c r="L880" s="43"/>
      <c r="M880" s="43"/>
      <c r="N880" s="43"/>
    </row>
    <row r="881">
      <c r="D881" s="64"/>
      <c r="E881" s="43"/>
      <c r="F881" s="43"/>
      <c r="G881" s="43"/>
      <c r="H881" s="43"/>
      <c r="I881" s="43"/>
      <c r="J881" s="43"/>
      <c r="K881" s="43"/>
      <c r="L881" s="43"/>
      <c r="M881" s="43"/>
      <c r="N881" s="43"/>
    </row>
    <row r="882">
      <c r="D882" s="64"/>
      <c r="E882" s="43"/>
      <c r="F882" s="43"/>
      <c r="G882" s="43"/>
      <c r="H882" s="43"/>
      <c r="I882" s="43"/>
      <c r="J882" s="43"/>
      <c r="K882" s="43"/>
      <c r="L882" s="43"/>
      <c r="M882" s="43"/>
      <c r="N882" s="43"/>
    </row>
    <row r="883">
      <c r="D883" s="64"/>
      <c r="E883" s="43"/>
      <c r="F883" s="43"/>
      <c r="G883" s="43"/>
      <c r="H883" s="43"/>
      <c r="I883" s="43"/>
      <c r="J883" s="43"/>
      <c r="K883" s="43"/>
      <c r="L883" s="43"/>
      <c r="M883" s="43"/>
      <c r="N883" s="43"/>
    </row>
    <row r="884">
      <c r="D884" s="64"/>
      <c r="E884" s="43"/>
      <c r="F884" s="43"/>
      <c r="G884" s="43"/>
      <c r="H884" s="43"/>
      <c r="I884" s="43"/>
      <c r="J884" s="43"/>
      <c r="K884" s="43"/>
      <c r="L884" s="43"/>
      <c r="M884" s="43"/>
      <c r="N884" s="43"/>
    </row>
    <row r="885">
      <c r="D885" s="64"/>
      <c r="E885" s="43"/>
      <c r="F885" s="43"/>
      <c r="G885" s="43"/>
      <c r="H885" s="43"/>
      <c r="I885" s="43"/>
      <c r="J885" s="43"/>
      <c r="K885" s="43"/>
      <c r="L885" s="43"/>
      <c r="M885" s="43"/>
      <c r="N885" s="43"/>
    </row>
    <row r="886">
      <c r="D886" s="64"/>
      <c r="E886" s="43"/>
      <c r="F886" s="43"/>
      <c r="G886" s="43"/>
      <c r="H886" s="43"/>
      <c r="I886" s="43"/>
      <c r="J886" s="43"/>
      <c r="K886" s="43"/>
      <c r="L886" s="43"/>
      <c r="M886" s="43"/>
      <c r="N886" s="43"/>
    </row>
    <row r="887">
      <c r="D887" s="64"/>
      <c r="E887" s="43"/>
      <c r="F887" s="43"/>
      <c r="G887" s="43"/>
      <c r="H887" s="43"/>
      <c r="I887" s="43"/>
      <c r="J887" s="43"/>
      <c r="K887" s="43"/>
      <c r="L887" s="43"/>
      <c r="M887" s="43"/>
      <c r="N887" s="43"/>
    </row>
    <row r="888">
      <c r="D888" s="64"/>
      <c r="E888" s="43"/>
      <c r="F888" s="43"/>
      <c r="G888" s="43"/>
      <c r="H888" s="43"/>
      <c r="I888" s="43"/>
      <c r="J888" s="43"/>
      <c r="K888" s="43"/>
      <c r="L888" s="43"/>
      <c r="M888" s="43"/>
      <c r="N888" s="43"/>
    </row>
    <row r="889">
      <c r="D889" s="64"/>
      <c r="E889" s="43"/>
      <c r="F889" s="43"/>
      <c r="G889" s="43"/>
      <c r="H889" s="43"/>
      <c r="I889" s="43"/>
      <c r="J889" s="43"/>
      <c r="K889" s="43"/>
      <c r="L889" s="43"/>
      <c r="M889" s="43"/>
      <c r="N889" s="43"/>
    </row>
    <row r="890">
      <c r="D890" s="64"/>
      <c r="E890" s="43"/>
      <c r="F890" s="43"/>
      <c r="G890" s="43"/>
      <c r="H890" s="43"/>
      <c r="I890" s="43"/>
      <c r="J890" s="43"/>
      <c r="K890" s="43"/>
      <c r="L890" s="43"/>
      <c r="M890" s="43"/>
      <c r="N890" s="43"/>
    </row>
    <row r="891">
      <c r="D891" s="64"/>
      <c r="E891" s="43"/>
      <c r="F891" s="43"/>
      <c r="G891" s="43"/>
      <c r="H891" s="43"/>
      <c r="I891" s="43"/>
      <c r="J891" s="43"/>
      <c r="K891" s="43"/>
      <c r="L891" s="43"/>
      <c r="M891" s="43"/>
      <c r="N891" s="43"/>
    </row>
    <row r="892">
      <c r="D892" s="64"/>
      <c r="E892" s="43"/>
      <c r="F892" s="43"/>
      <c r="G892" s="43"/>
      <c r="H892" s="43"/>
      <c r="I892" s="43"/>
      <c r="J892" s="43"/>
      <c r="K892" s="43"/>
      <c r="L892" s="43"/>
      <c r="M892" s="43"/>
      <c r="N892" s="43"/>
    </row>
    <row r="893">
      <c r="D893" s="64"/>
      <c r="E893" s="43"/>
      <c r="F893" s="43"/>
      <c r="G893" s="43"/>
      <c r="H893" s="43"/>
      <c r="I893" s="43"/>
      <c r="J893" s="43"/>
      <c r="K893" s="43"/>
      <c r="L893" s="43"/>
      <c r="M893" s="43"/>
      <c r="N893" s="43"/>
    </row>
    <row r="894">
      <c r="D894" s="64"/>
      <c r="E894" s="43"/>
      <c r="F894" s="43"/>
      <c r="G894" s="43"/>
      <c r="H894" s="43"/>
      <c r="I894" s="43"/>
      <c r="J894" s="43"/>
      <c r="K894" s="43"/>
      <c r="L894" s="43"/>
      <c r="M894" s="43"/>
      <c r="N894" s="43"/>
    </row>
    <row r="895">
      <c r="D895" s="64"/>
      <c r="E895" s="43"/>
      <c r="F895" s="43"/>
      <c r="G895" s="43"/>
      <c r="H895" s="43"/>
      <c r="I895" s="43"/>
      <c r="J895" s="43"/>
      <c r="K895" s="43"/>
      <c r="L895" s="43"/>
      <c r="M895" s="43"/>
      <c r="N895" s="43"/>
    </row>
    <row r="896">
      <c r="D896" s="64"/>
      <c r="E896" s="43"/>
      <c r="F896" s="43"/>
      <c r="G896" s="43"/>
      <c r="H896" s="43"/>
      <c r="I896" s="43"/>
      <c r="J896" s="43"/>
      <c r="K896" s="43"/>
      <c r="L896" s="43"/>
      <c r="M896" s="43"/>
      <c r="N896" s="43"/>
    </row>
    <row r="897">
      <c r="D897" s="64"/>
      <c r="E897" s="43"/>
      <c r="F897" s="43"/>
      <c r="G897" s="43"/>
      <c r="H897" s="43"/>
      <c r="I897" s="43"/>
      <c r="J897" s="43"/>
      <c r="K897" s="43"/>
      <c r="L897" s="43"/>
      <c r="M897" s="43"/>
      <c r="N897" s="43"/>
    </row>
    <row r="898">
      <c r="D898" s="64"/>
      <c r="E898" s="43"/>
      <c r="F898" s="43"/>
      <c r="G898" s="43"/>
      <c r="H898" s="43"/>
      <c r="I898" s="43"/>
      <c r="J898" s="43"/>
      <c r="K898" s="43"/>
      <c r="L898" s="43"/>
      <c r="M898" s="43"/>
      <c r="N898" s="43"/>
    </row>
    <row r="899">
      <c r="D899" s="64"/>
      <c r="E899" s="43"/>
      <c r="F899" s="43"/>
      <c r="G899" s="43"/>
      <c r="H899" s="43"/>
      <c r="I899" s="43"/>
      <c r="J899" s="43"/>
      <c r="K899" s="43"/>
      <c r="L899" s="43"/>
      <c r="M899" s="43"/>
      <c r="N899" s="43"/>
    </row>
    <row r="900">
      <c r="D900" s="64"/>
      <c r="E900" s="43"/>
      <c r="F900" s="43"/>
      <c r="G900" s="43"/>
      <c r="H900" s="43"/>
      <c r="I900" s="43"/>
      <c r="J900" s="43"/>
      <c r="K900" s="43"/>
      <c r="L900" s="43"/>
      <c r="M900" s="43"/>
      <c r="N900" s="43"/>
    </row>
    <row r="901">
      <c r="D901" s="64"/>
      <c r="E901" s="43"/>
      <c r="F901" s="43"/>
      <c r="G901" s="43"/>
      <c r="H901" s="43"/>
      <c r="I901" s="43"/>
      <c r="J901" s="43"/>
      <c r="K901" s="43"/>
      <c r="L901" s="43"/>
      <c r="M901" s="43"/>
      <c r="N901" s="43"/>
    </row>
    <row r="902">
      <c r="D902" s="64"/>
      <c r="E902" s="43"/>
      <c r="F902" s="43"/>
      <c r="G902" s="43"/>
      <c r="H902" s="43"/>
      <c r="I902" s="43"/>
      <c r="J902" s="43"/>
      <c r="K902" s="43"/>
      <c r="L902" s="43"/>
      <c r="M902" s="43"/>
      <c r="N902" s="43"/>
    </row>
    <row r="903">
      <c r="D903" s="64"/>
      <c r="E903" s="43"/>
      <c r="F903" s="43"/>
      <c r="G903" s="43"/>
      <c r="H903" s="43"/>
      <c r="I903" s="43"/>
      <c r="J903" s="43"/>
      <c r="K903" s="43"/>
      <c r="L903" s="43"/>
      <c r="M903" s="43"/>
      <c r="N903" s="43"/>
    </row>
    <row r="904">
      <c r="D904" s="64"/>
      <c r="E904" s="43"/>
      <c r="F904" s="43"/>
      <c r="G904" s="43"/>
      <c r="H904" s="43"/>
      <c r="I904" s="43"/>
      <c r="J904" s="43"/>
      <c r="K904" s="43"/>
      <c r="L904" s="43"/>
      <c r="M904" s="43"/>
      <c r="N904" s="43"/>
    </row>
    <row r="905">
      <c r="D905" s="64"/>
      <c r="E905" s="43"/>
      <c r="F905" s="43"/>
      <c r="G905" s="43"/>
      <c r="H905" s="43"/>
      <c r="I905" s="43"/>
      <c r="J905" s="43"/>
      <c r="K905" s="43"/>
      <c r="L905" s="43"/>
      <c r="M905" s="43"/>
      <c r="N905" s="43"/>
    </row>
    <row r="906">
      <c r="D906" s="64"/>
      <c r="E906" s="43"/>
      <c r="F906" s="43"/>
      <c r="G906" s="43"/>
      <c r="H906" s="43"/>
      <c r="I906" s="43"/>
      <c r="J906" s="43"/>
      <c r="K906" s="43"/>
      <c r="L906" s="43"/>
      <c r="M906" s="43"/>
      <c r="N906" s="43"/>
    </row>
    <row r="907">
      <c r="D907" s="64"/>
      <c r="E907" s="43"/>
      <c r="F907" s="43"/>
      <c r="G907" s="43"/>
      <c r="H907" s="43"/>
      <c r="I907" s="43"/>
      <c r="J907" s="43"/>
      <c r="K907" s="43"/>
      <c r="L907" s="43"/>
      <c r="M907" s="43"/>
      <c r="N907" s="43"/>
    </row>
    <row r="908">
      <c r="D908" s="64"/>
      <c r="E908" s="43"/>
      <c r="F908" s="43"/>
      <c r="G908" s="43"/>
      <c r="H908" s="43"/>
      <c r="I908" s="43"/>
      <c r="J908" s="43"/>
      <c r="K908" s="43"/>
      <c r="L908" s="43"/>
      <c r="M908" s="43"/>
      <c r="N908" s="43"/>
    </row>
    <row r="909">
      <c r="D909" s="64"/>
      <c r="E909" s="43"/>
      <c r="F909" s="43"/>
      <c r="G909" s="43"/>
      <c r="H909" s="43"/>
      <c r="I909" s="43"/>
      <c r="J909" s="43"/>
      <c r="K909" s="43"/>
      <c r="L909" s="43"/>
      <c r="M909" s="43"/>
      <c r="N909" s="43"/>
    </row>
    <row r="910">
      <c r="D910" s="64"/>
      <c r="E910" s="43"/>
      <c r="F910" s="43"/>
      <c r="G910" s="43"/>
      <c r="H910" s="43"/>
      <c r="I910" s="43"/>
      <c r="J910" s="43"/>
      <c r="K910" s="43"/>
      <c r="L910" s="43"/>
      <c r="M910" s="43"/>
      <c r="N910" s="43"/>
    </row>
    <row r="911">
      <c r="D911" s="64"/>
      <c r="E911" s="43"/>
      <c r="F911" s="43"/>
      <c r="G911" s="43"/>
      <c r="H911" s="43"/>
      <c r="I911" s="43"/>
      <c r="J911" s="43"/>
      <c r="K911" s="43"/>
      <c r="L911" s="43"/>
      <c r="M911" s="43"/>
      <c r="N911" s="43"/>
    </row>
    <row r="912">
      <c r="D912" s="64"/>
      <c r="E912" s="43"/>
      <c r="F912" s="43"/>
      <c r="G912" s="43"/>
      <c r="H912" s="43"/>
      <c r="I912" s="43"/>
      <c r="J912" s="43"/>
      <c r="K912" s="43"/>
      <c r="L912" s="43"/>
      <c r="M912" s="43"/>
      <c r="N912" s="43"/>
    </row>
    <row r="913">
      <c r="D913" s="64"/>
      <c r="E913" s="43"/>
      <c r="F913" s="43"/>
      <c r="G913" s="43"/>
      <c r="H913" s="43"/>
      <c r="I913" s="43"/>
      <c r="J913" s="43"/>
      <c r="K913" s="43"/>
      <c r="L913" s="43"/>
      <c r="M913" s="43"/>
      <c r="N913" s="43"/>
    </row>
    <row r="914">
      <c r="D914" s="64"/>
      <c r="E914" s="43"/>
      <c r="F914" s="43"/>
      <c r="G914" s="43"/>
      <c r="H914" s="43"/>
      <c r="I914" s="43"/>
      <c r="J914" s="43"/>
      <c r="K914" s="43"/>
      <c r="L914" s="43"/>
      <c r="M914" s="43"/>
      <c r="N914" s="43"/>
    </row>
    <row r="915">
      <c r="D915" s="64"/>
      <c r="E915" s="43"/>
      <c r="F915" s="43"/>
      <c r="G915" s="43"/>
      <c r="H915" s="43"/>
      <c r="I915" s="43"/>
      <c r="J915" s="43"/>
      <c r="K915" s="43"/>
      <c r="L915" s="43"/>
      <c r="M915" s="43"/>
      <c r="N915" s="43"/>
    </row>
    <row r="916">
      <c r="D916" s="64"/>
      <c r="E916" s="43"/>
      <c r="F916" s="43"/>
      <c r="G916" s="43"/>
      <c r="H916" s="43"/>
      <c r="I916" s="43"/>
      <c r="J916" s="43"/>
      <c r="K916" s="43"/>
      <c r="L916" s="43"/>
      <c r="M916" s="43"/>
      <c r="N916" s="43"/>
    </row>
    <row r="917">
      <c r="D917" s="64"/>
      <c r="E917" s="43"/>
      <c r="F917" s="43"/>
      <c r="G917" s="43"/>
      <c r="H917" s="43"/>
      <c r="I917" s="43"/>
      <c r="J917" s="43"/>
      <c r="K917" s="43"/>
      <c r="L917" s="43"/>
      <c r="M917" s="43"/>
      <c r="N917" s="43"/>
    </row>
    <row r="918">
      <c r="D918" s="64"/>
      <c r="E918" s="43"/>
      <c r="F918" s="43"/>
      <c r="G918" s="43"/>
      <c r="H918" s="43"/>
      <c r="I918" s="43"/>
      <c r="J918" s="43"/>
      <c r="K918" s="43"/>
      <c r="L918" s="43"/>
      <c r="M918" s="43"/>
      <c r="N918" s="43"/>
    </row>
    <row r="919">
      <c r="D919" s="64"/>
      <c r="E919" s="43"/>
      <c r="F919" s="43"/>
      <c r="G919" s="43"/>
      <c r="H919" s="43"/>
      <c r="I919" s="43"/>
      <c r="J919" s="43"/>
      <c r="K919" s="43"/>
      <c r="L919" s="43"/>
      <c r="M919" s="43"/>
      <c r="N919" s="43"/>
    </row>
    <row r="920">
      <c r="D920" s="64"/>
      <c r="E920" s="43"/>
      <c r="F920" s="43"/>
      <c r="G920" s="43"/>
      <c r="H920" s="43"/>
      <c r="I920" s="43"/>
      <c r="J920" s="43"/>
      <c r="K920" s="43"/>
      <c r="L920" s="43"/>
      <c r="M920" s="43"/>
      <c r="N920" s="43"/>
    </row>
    <row r="921">
      <c r="D921" s="64"/>
      <c r="E921" s="43"/>
      <c r="F921" s="43"/>
      <c r="G921" s="43"/>
      <c r="H921" s="43"/>
      <c r="I921" s="43"/>
      <c r="J921" s="43"/>
      <c r="K921" s="43"/>
      <c r="L921" s="43"/>
      <c r="M921" s="43"/>
      <c r="N921" s="43"/>
    </row>
    <row r="922">
      <c r="D922" s="64"/>
      <c r="E922" s="43"/>
      <c r="F922" s="43"/>
      <c r="G922" s="43"/>
      <c r="H922" s="43"/>
      <c r="I922" s="43"/>
      <c r="J922" s="43"/>
      <c r="K922" s="43"/>
      <c r="L922" s="43"/>
      <c r="M922" s="43"/>
      <c r="N922" s="43"/>
    </row>
    <row r="923">
      <c r="D923" s="64"/>
      <c r="E923" s="43"/>
      <c r="F923" s="43"/>
      <c r="G923" s="43"/>
      <c r="H923" s="43"/>
      <c r="I923" s="43"/>
      <c r="J923" s="43"/>
      <c r="K923" s="43"/>
      <c r="L923" s="43"/>
      <c r="M923" s="43"/>
      <c r="N923" s="43"/>
    </row>
    <row r="924">
      <c r="D924" s="64"/>
      <c r="E924" s="43"/>
      <c r="F924" s="43"/>
      <c r="G924" s="43"/>
      <c r="H924" s="43"/>
      <c r="I924" s="43"/>
      <c r="J924" s="43"/>
      <c r="K924" s="43"/>
      <c r="L924" s="43"/>
      <c r="M924" s="43"/>
      <c r="N924" s="43"/>
    </row>
    <row r="925">
      <c r="D925" s="64"/>
      <c r="E925" s="43"/>
      <c r="F925" s="43"/>
      <c r="G925" s="43"/>
      <c r="H925" s="43"/>
      <c r="I925" s="43"/>
      <c r="J925" s="43"/>
      <c r="K925" s="43"/>
      <c r="L925" s="43"/>
      <c r="M925" s="43"/>
      <c r="N925" s="43"/>
    </row>
    <row r="926">
      <c r="D926" s="64"/>
      <c r="E926" s="43"/>
      <c r="F926" s="43"/>
      <c r="G926" s="43"/>
      <c r="H926" s="43"/>
      <c r="I926" s="43"/>
      <c r="J926" s="43"/>
      <c r="K926" s="43"/>
      <c r="L926" s="43"/>
      <c r="M926" s="43"/>
      <c r="N926" s="43"/>
    </row>
    <row r="927">
      <c r="D927" s="64"/>
      <c r="E927" s="43"/>
      <c r="F927" s="43"/>
      <c r="G927" s="43"/>
      <c r="H927" s="43"/>
      <c r="I927" s="43"/>
      <c r="J927" s="43"/>
      <c r="K927" s="43"/>
      <c r="L927" s="43"/>
      <c r="M927" s="43"/>
      <c r="N927" s="43"/>
    </row>
    <row r="928">
      <c r="D928" s="64"/>
      <c r="E928" s="43"/>
      <c r="F928" s="43"/>
      <c r="G928" s="43"/>
      <c r="H928" s="43"/>
      <c r="I928" s="43"/>
      <c r="J928" s="43"/>
      <c r="K928" s="43"/>
      <c r="L928" s="43"/>
      <c r="M928" s="43"/>
      <c r="N928" s="43"/>
    </row>
    <row r="929">
      <c r="D929" s="64"/>
      <c r="E929" s="43"/>
      <c r="F929" s="43"/>
      <c r="G929" s="43"/>
      <c r="H929" s="43"/>
      <c r="I929" s="43"/>
      <c r="J929" s="43"/>
      <c r="K929" s="43"/>
      <c r="L929" s="43"/>
      <c r="M929" s="43"/>
      <c r="N929" s="43"/>
    </row>
    <row r="930">
      <c r="D930" s="64"/>
      <c r="E930" s="43"/>
      <c r="F930" s="43"/>
      <c r="G930" s="43"/>
      <c r="H930" s="43"/>
      <c r="I930" s="43"/>
      <c r="J930" s="43"/>
      <c r="K930" s="43"/>
      <c r="L930" s="43"/>
      <c r="M930" s="43"/>
      <c r="N930" s="43"/>
    </row>
    <row r="931">
      <c r="D931" s="64"/>
      <c r="E931" s="43"/>
      <c r="F931" s="43"/>
      <c r="G931" s="43"/>
      <c r="H931" s="43"/>
      <c r="I931" s="43"/>
      <c r="J931" s="43"/>
      <c r="K931" s="43"/>
      <c r="L931" s="43"/>
      <c r="M931" s="43"/>
      <c r="N931" s="43"/>
    </row>
    <row r="932">
      <c r="D932" s="64"/>
      <c r="E932" s="43"/>
      <c r="F932" s="43"/>
      <c r="G932" s="43"/>
      <c r="H932" s="43"/>
      <c r="I932" s="43"/>
      <c r="J932" s="43"/>
      <c r="K932" s="43"/>
      <c r="L932" s="43"/>
      <c r="M932" s="43"/>
      <c r="N932" s="43"/>
    </row>
    <row r="933">
      <c r="D933" s="64"/>
      <c r="E933" s="43"/>
      <c r="F933" s="43"/>
      <c r="G933" s="43"/>
      <c r="H933" s="43"/>
      <c r="I933" s="43"/>
      <c r="J933" s="43"/>
      <c r="K933" s="43"/>
      <c r="L933" s="43"/>
      <c r="M933" s="43"/>
      <c r="N933" s="43"/>
    </row>
    <row r="934">
      <c r="D934" s="64"/>
      <c r="E934" s="43"/>
      <c r="F934" s="43"/>
      <c r="G934" s="43"/>
      <c r="H934" s="43"/>
      <c r="I934" s="43"/>
      <c r="J934" s="43"/>
      <c r="K934" s="43"/>
      <c r="L934" s="43"/>
      <c r="M934" s="43"/>
      <c r="N934" s="43"/>
    </row>
    <row r="935">
      <c r="D935" s="64"/>
      <c r="E935" s="43"/>
      <c r="F935" s="43"/>
      <c r="G935" s="43"/>
      <c r="H935" s="43"/>
      <c r="I935" s="43"/>
      <c r="J935" s="43"/>
      <c r="K935" s="43"/>
      <c r="L935" s="43"/>
      <c r="M935" s="43"/>
      <c r="N935" s="43"/>
    </row>
    <row r="936">
      <c r="D936" s="64"/>
      <c r="E936" s="43"/>
      <c r="F936" s="43"/>
      <c r="G936" s="43"/>
      <c r="H936" s="43"/>
      <c r="I936" s="43"/>
      <c r="J936" s="43"/>
      <c r="K936" s="43"/>
      <c r="L936" s="43"/>
      <c r="M936" s="43"/>
      <c r="N936" s="43"/>
    </row>
    <row r="937">
      <c r="D937" s="64"/>
      <c r="E937" s="43"/>
      <c r="F937" s="43"/>
      <c r="G937" s="43"/>
      <c r="H937" s="43"/>
      <c r="I937" s="43"/>
      <c r="J937" s="43"/>
      <c r="K937" s="43"/>
      <c r="L937" s="43"/>
      <c r="M937" s="43"/>
      <c r="N937" s="43"/>
    </row>
    <row r="938">
      <c r="D938" s="64"/>
      <c r="E938" s="43"/>
      <c r="F938" s="43"/>
      <c r="G938" s="43"/>
      <c r="H938" s="43"/>
      <c r="I938" s="43"/>
      <c r="J938" s="43"/>
      <c r="K938" s="43"/>
      <c r="L938" s="43"/>
      <c r="M938" s="43"/>
      <c r="N938" s="43"/>
    </row>
    <row r="939">
      <c r="D939" s="64"/>
      <c r="E939" s="43"/>
      <c r="F939" s="43"/>
      <c r="G939" s="43"/>
      <c r="H939" s="43"/>
      <c r="I939" s="43"/>
      <c r="J939" s="43"/>
      <c r="K939" s="43"/>
      <c r="L939" s="43"/>
      <c r="M939" s="43"/>
      <c r="N939" s="43"/>
    </row>
    <row r="940">
      <c r="D940" s="64"/>
      <c r="E940" s="43"/>
      <c r="F940" s="43"/>
      <c r="G940" s="43"/>
      <c r="H940" s="43"/>
      <c r="I940" s="43"/>
      <c r="J940" s="43"/>
      <c r="K940" s="43"/>
      <c r="L940" s="43"/>
      <c r="M940" s="43"/>
      <c r="N940" s="43"/>
    </row>
    <row r="941">
      <c r="D941" s="64"/>
      <c r="E941" s="43"/>
      <c r="F941" s="43"/>
      <c r="G941" s="43"/>
      <c r="H941" s="43"/>
      <c r="I941" s="43"/>
      <c r="J941" s="43"/>
      <c r="K941" s="43"/>
      <c r="L941" s="43"/>
      <c r="M941" s="43"/>
      <c r="N941" s="43"/>
    </row>
    <row r="942">
      <c r="D942" s="64"/>
      <c r="E942" s="43"/>
      <c r="F942" s="43"/>
      <c r="G942" s="43"/>
      <c r="H942" s="43"/>
      <c r="I942" s="43"/>
      <c r="J942" s="43"/>
      <c r="K942" s="43"/>
      <c r="L942" s="43"/>
      <c r="M942" s="43"/>
      <c r="N942" s="43"/>
    </row>
    <row r="943">
      <c r="D943" s="64"/>
      <c r="E943" s="43"/>
      <c r="F943" s="43"/>
      <c r="G943" s="43"/>
      <c r="H943" s="43"/>
      <c r="I943" s="43"/>
      <c r="J943" s="43"/>
      <c r="K943" s="43"/>
      <c r="L943" s="43"/>
      <c r="M943" s="43"/>
      <c r="N943" s="43"/>
    </row>
    <row r="944">
      <c r="D944" s="64"/>
      <c r="E944" s="43"/>
      <c r="F944" s="43"/>
      <c r="G944" s="43"/>
      <c r="H944" s="43"/>
      <c r="I944" s="43"/>
      <c r="J944" s="43"/>
      <c r="K944" s="43"/>
      <c r="L944" s="43"/>
      <c r="M944" s="43"/>
      <c r="N944" s="43"/>
    </row>
    <row r="945">
      <c r="D945" s="64"/>
      <c r="E945" s="43"/>
      <c r="F945" s="43"/>
      <c r="G945" s="43"/>
      <c r="H945" s="43"/>
      <c r="I945" s="43"/>
      <c r="J945" s="43"/>
      <c r="K945" s="43"/>
      <c r="L945" s="43"/>
      <c r="M945" s="43"/>
      <c r="N945" s="43"/>
    </row>
    <row r="946">
      <c r="D946" s="64"/>
      <c r="E946" s="43"/>
      <c r="F946" s="43"/>
      <c r="G946" s="43"/>
      <c r="H946" s="43"/>
      <c r="I946" s="43"/>
      <c r="J946" s="43"/>
      <c r="K946" s="43"/>
      <c r="L946" s="43"/>
      <c r="M946" s="43"/>
      <c r="N946" s="43"/>
    </row>
    <row r="947">
      <c r="D947" s="64"/>
      <c r="E947" s="43"/>
      <c r="F947" s="43"/>
      <c r="G947" s="43"/>
      <c r="H947" s="43"/>
      <c r="I947" s="43"/>
      <c r="J947" s="43"/>
      <c r="K947" s="43"/>
      <c r="L947" s="43"/>
      <c r="M947" s="43"/>
      <c r="N947" s="43"/>
    </row>
    <row r="948">
      <c r="D948" s="64"/>
      <c r="E948" s="43"/>
      <c r="F948" s="43"/>
      <c r="G948" s="43"/>
      <c r="H948" s="43"/>
      <c r="I948" s="43"/>
      <c r="J948" s="43"/>
      <c r="K948" s="43"/>
      <c r="L948" s="43"/>
      <c r="M948" s="43"/>
      <c r="N948" s="43"/>
    </row>
    <row r="949">
      <c r="D949" s="64"/>
      <c r="E949" s="43"/>
      <c r="F949" s="43"/>
      <c r="G949" s="43"/>
      <c r="H949" s="43"/>
      <c r="I949" s="43"/>
      <c r="J949" s="43"/>
      <c r="K949" s="43"/>
      <c r="L949" s="43"/>
      <c r="M949" s="43"/>
      <c r="N949" s="43"/>
    </row>
    <row r="950">
      <c r="D950" s="64"/>
      <c r="E950" s="43"/>
      <c r="F950" s="43"/>
      <c r="G950" s="43"/>
      <c r="H950" s="43"/>
      <c r="I950" s="43"/>
      <c r="J950" s="43"/>
      <c r="K950" s="43"/>
      <c r="L950" s="43"/>
      <c r="M950" s="43"/>
      <c r="N950" s="43"/>
    </row>
    <row r="951">
      <c r="D951" s="64"/>
      <c r="E951" s="43"/>
      <c r="F951" s="43"/>
      <c r="G951" s="43"/>
      <c r="H951" s="43"/>
      <c r="I951" s="43"/>
      <c r="J951" s="43"/>
      <c r="K951" s="43"/>
      <c r="L951" s="43"/>
      <c r="M951" s="43"/>
      <c r="N951" s="43"/>
    </row>
    <row r="952">
      <c r="D952" s="64"/>
      <c r="E952" s="43"/>
      <c r="F952" s="43"/>
      <c r="G952" s="43"/>
      <c r="H952" s="43"/>
      <c r="I952" s="43"/>
      <c r="J952" s="43"/>
      <c r="K952" s="43"/>
      <c r="L952" s="43"/>
      <c r="M952" s="43"/>
      <c r="N952" s="43"/>
    </row>
    <row r="953">
      <c r="D953" s="64"/>
      <c r="E953" s="43"/>
      <c r="F953" s="43"/>
      <c r="G953" s="43"/>
      <c r="H953" s="43"/>
      <c r="I953" s="43"/>
      <c r="J953" s="43"/>
      <c r="K953" s="43"/>
      <c r="L953" s="43"/>
      <c r="M953" s="43"/>
      <c r="N953" s="43"/>
    </row>
    <row r="954">
      <c r="D954" s="64"/>
      <c r="E954" s="43"/>
      <c r="F954" s="43"/>
      <c r="G954" s="43"/>
      <c r="H954" s="43"/>
      <c r="I954" s="43"/>
      <c r="J954" s="43"/>
      <c r="K954" s="43"/>
      <c r="L954" s="43"/>
      <c r="M954" s="43"/>
      <c r="N954" s="43"/>
    </row>
    <row r="955">
      <c r="D955" s="64"/>
      <c r="E955" s="43"/>
      <c r="F955" s="43"/>
      <c r="G955" s="43"/>
      <c r="H955" s="43"/>
      <c r="I955" s="43"/>
      <c r="J955" s="43"/>
      <c r="K955" s="43"/>
      <c r="L955" s="43"/>
      <c r="M955" s="43"/>
      <c r="N955" s="43"/>
    </row>
    <row r="956">
      <c r="D956" s="64"/>
      <c r="E956" s="43"/>
      <c r="F956" s="43"/>
      <c r="G956" s="43"/>
      <c r="H956" s="43"/>
      <c r="I956" s="43"/>
      <c r="J956" s="43"/>
      <c r="K956" s="43"/>
      <c r="L956" s="43"/>
      <c r="M956" s="43"/>
      <c r="N956" s="43"/>
    </row>
    <row r="957">
      <c r="D957" s="64"/>
      <c r="E957" s="43"/>
      <c r="F957" s="43"/>
      <c r="G957" s="43"/>
      <c r="H957" s="43"/>
      <c r="I957" s="43"/>
      <c r="J957" s="43"/>
      <c r="K957" s="43"/>
      <c r="L957" s="43"/>
      <c r="M957" s="43"/>
      <c r="N957" s="43"/>
    </row>
    <row r="958">
      <c r="D958" s="64"/>
      <c r="E958" s="43"/>
      <c r="F958" s="43"/>
      <c r="G958" s="43"/>
      <c r="H958" s="43"/>
      <c r="I958" s="43"/>
      <c r="J958" s="43"/>
      <c r="K958" s="43"/>
      <c r="L958" s="43"/>
      <c r="M958" s="43"/>
      <c r="N958" s="43"/>
    </row>
    <row r="959">
      <c r="D959" s="64"/>
      <c r="E959" s="43"/>
      <c r="F959" s="43"/>
      <c r="G959" s="43"/>
      <c r="H959" s="43"/>
      <c r="I959" s="43"/>
      <c r="J959" s="43"/>
      <c r="K959" s="43"/>
      <c r="L959" s="43"/>
      <c r="M959" s="43"/>
      <c r="N959" s="43"/>
    </row>
    <row r="960">
      <c r="D960" s="64"/>
      <c r="E960" s="43"/>
      <c r="F960" s="43"/>
      <c r="G960" s="43"/>
      <c r="H960" s="43"/>
      <c r="I960" s="43"/>
      <c r="J960" s="43"/>
      <c r="K960" s="43"/>
      <c r="L960" s="43"/>
      <c r="M960" s="43"/>
      <c r="N960" s="43"/>
    </row>
    <row r="961">
      <c r="D961" s="64"/>
      <c r="E961" s="43"/>
      <c r="F961" s="43"/>
      <c r="G961" s="43"/>
      <c r="H961" s="43"/>
      <c r="I961" s="43"/>
      <c r="J961" s="43"/>
      <c r="K961" s="43"/>
      <c r="L961" s="43"/>
      <c r="M961" s="43"/>
      <c r="N961" s="43"/>
    </row>
    <row r="962">
      <c r="D962" s="64"/>
      <c r="E962" s="43"/>
      <c r="F962" s="43"/>
      <c r="G962" s="43"/>
      <c r="H962" s="43"/>
      <c r="I962" s="43"/>
      <c r="J962" s="43"/>
      <c r="K962" s="43"/>
      <c r="L962" s="43"/>
      <c r="M962" s="43"/>
      <c r="N962" s="43"/>
    </row>
    <row r="963">
      <c r="D963" s="64"/>
      <c r="E963" s="43"/>
      <c r="F963" s="43"/>
      <c r="G963" s="43"/>
      <c r="H963" s="43"/>
      <c r="I963" s="43"/>
      <c r="J963" s="43"/>
      <c r="K963" s="43"/>
      <c r="L963" s="43"/>
      <c r="M963" s="43"/>
      <c r="N963" s="43"/>
    </row>
    <row r="964">
      <c r="D964" s="64"/>
      <c r="E964" s="43"/>
      <c r="F964" s="43"/>
      <c r="G964" s="43"/>
      <c r="H964" s="43"/>
      <c r="I964" s="43"/>
      <c r="J964" s="43"/>
      <c r="K964" s="43"/>
      <c r="L964" s="43"/>
      <c r="M964" s="43"/>
      <c r="N964" s="43"/>
    </row>
    <row r="965">
      <c r="D965" s="64"/>
      <c r="E965" s="43"/>
      <c r="F965" s="43"/>
      <c r="G965" s="43"/>
      <c r="H965" s="43"/>
      <c r="I965" s="43"/>
      <c r="J965" s="43"/>
      <c r="K965" s="43"/>
      <c r="L965" s="43"/>
      <c r="M965" s="43"/>
      <c r="N965" s="43"/>
    </row>
    <row r="966">
      <c r="D966" s="64"/>
      <c r="E966" s="43"/>
      <c r="F966" s="43"/>
      <c r="G966" s="43"/>
      <c r="H966" s="43"/>
      <c r="I966" s="43"/>
      <c r="J966" s="43"/>
      <c r="K966" s="43"/>
      <c r="L966" s="43"/>
      <c r="M966" s="43"/>
      <c r="N966" s="43"/>
    </row>
    <row r="967">
      <c r="D967" s="64"/>
      <c r="E967" s="43"/>
      <c r="F967" s="43"/>
      <c r="G967" s="43"/>
      <c r="H967" s="43"/>
      <c r="I967" s="43"/>
      <c r="J967" s="43"/>
      <c r="K967" s="43"/>
      <c r="L967" s="43"/>
      <c r="M967" s="43"/>
      <c r="N967" s="43"/>
    </row>
    <row r="968">
      <c r="D968" s="64"/>
      <c r="E968" s="43"/>
      <c r="F968" s="43"/>
      <c r="G968" s="43"/>
      <c r="H968" s="43"/>
      <c r="I968" s="43"/>
      <c r="J968" s="43"/>
      <c r="K968" s="43"/>
      <c r="L968" s="43"/>
      <c r="M968" s="43"/>
      <c r="N968" s="43"/>
    </row>
    <row r="969">
      <c r="D969" s="64"/>
      <c r="E969" s="43"/>
      <c r="F969" s="43"/>
      <c r="G969" s="43"/>
      <c r="H969" s="43"/>
      <c r="I969" s="43"/>
      <c r="J969" s="43"/>
      <c r="K969" s="43"/>
      <c r="L969" s="43"/>
      <c r="M969" s="43"/>
      <c r="N969" s="43"/>
    </row>
    <row r="970">
      <c r="D970" s="64"/>
      <c r="E970" s="43"/>
      <c r="F970" s="43"/>
      <c r="G970" s="43"/>
      <c r="H970" s="43"/>
      <c r="I970" s="43"/>
      <c r="J970" s="43"/>
      <c r="K970" s="43"/>
      <c r="L970" s="43"/>
      <c r="M970" s="43"/>
      <c r="N970" s="43"/>
    </row>
    <row r="971">
      <c r="D971" s="64"/>
      <c r="E971" s="43"/>
      <c r="F971" s="43"/>
      <c r="G971" s="43"/>
      <c r="H971" s="43"/>
      <c r="I971" s="43"/>
      <c r="J971" s="43"/>
      <c r="K971" s="43"/>
      <c r="L971" s="43"/>
      <c r="M971" s="43"/>
      <c r="N971" s="43"/>
    </row>
    <row r="972">
      <c r="D972" s="64"/>
      <c r="E972" s="43"/>
      <c r="F972" s="43"/>
      <c r="G972" s="43"/>
      <c r="H972" s="43"/>
      <c r="I972" s="43"/>
      <c r="J972" s="43"/>
      <c r="K972" s="43"/>
      <c r="L972" s="43"/>
      <c r="M972" s="43"/>
      <c r="N972" s="43"/>
    </row>
    <row r="973">
      <c r="D973" s="64"/>
      <c r="E973" s="43"/>
      <c r="F973" s="43"/>
      <c r="G973" s="43"/>
      <c r="H973" s="43"/>
      <c r="I973" s="43"/>
      <c r="J973" s="43"/>
      <c r="K973" s="43"/>
      <c r="L973" s="43"/>
      <c r="M973" s="43"/>
      <c r="N973" s="43"/>
    </row>
    <row r="974">
      <c r="D974" s="64"/>
      <c r="E974" s="43"/>
      <c r="F974" s="43"/>
      <c r="G974" s="43"/>
      <c r="H974" s="43"/>
      <c r="I974" s="43"/>
      <c r="J974" s="43"/>
      <c r="K974" s="43"/>
      <c r="L974" s="43"/>
      <c r="M974" s="43"/>
      <c r="N974" s="43"/>
    </row>
    <row r="975">
      <c r="D975" s="64"/>
      <c r="E975" s="43"/>
      <c r="F975" s="43"/>
      <c r="G975" s="43"/>
      <c r="H975" s="43"/>
      <c r="I975" s="43"/>
      <c r="J975" s="43"/>
      <c r="K975" s="43"/>
      <c r="L975" s="43"/>
      <c r="M975" s="43"/>
      <c r="N975" s="43"/>
    </row>
    <row r="976">
      <c r="D976" s="64"/>
      <c r="E976" s="43"/>
      <c r="F976" s="43"/>
      <c r="G976" s="43"/>
      <c r="H976" s="43"/>
      <c r="I976" s="43"/>
      <c r="J976" s="43"/>
      <c r="K976" s="43"/>
      <c r="L976" s="43"/>
      <c r="M976" s="43"/>
      <c r="N976" s="43"/>
    </row>
    <row r="977">
      <c r="D977" s="64"/>
      <c r="E977" s="43"/>
      <c r="F977" s="43"/>
      <c r="G977" s="43"/>
      <c r="H977" s="43"/>
      <c r="I977" s="43"/>
      <c r="J977" s="43"/>
      <c r="K977" s="43"/>
      <c r="L977" s="43"/>
      <c r="M977" s="43"/>
      <c r="N977" s="43"/>
    </row>
    <row r="978">
      <c r="D978" s="64"/>
      <c r="E978" s="43"/>
      <c r="F978" s="43"/>
      <c r="G978" s="43"/>
      <c r="H978" s="43"/>
      <c r="I978" s="43"/>
      <c r="J978" s="43"/>
      <c r="K978" s="43"/>
      <c r="L978" s="43"/>
      <c r="M978" s="43"/>
      <c r="N978" s="43"/>
    </row>
    <row r="979">
      <c r="D979" s="64"/>
      <c r="E979" s="43"/>
      <c r="F979" s="43"/>
      <c r="G979" s="43"/>
      <c r="H979" s="43"/>
      <c r="I979" s="43"/>
      <c r="J979" s="43"/>
      <c r="K979" s="43"/>
      <c r="L979" s="43"/>
      <c r="M979" s="43"/>
      <c r="N979" s="43"/>
    </row>
    <row r="980">
      <c r="D980" s="64"/>
      <c r="E980" s="43"/>
      <c r="F980" s="43"/>
      <c r="G980" s="43"/>
      <c r="H980" s="43"/>
      <c r="I980" s="43"/>
      <c r="J980" s="43"/>
      <c r="K980" s="43"/>
      <c r="L980" s="43"/>
      <c r="M980" s="43"/>
      <c r="N980" s="43"/>
    </row>
    <row r="981">
      <c r="D981" s="64"/>
      <c r="E981" s="43"/>
      <c r="F981" s="43"/>
      <c r="G981" s="43"/>
      <c r="H981" s="43"/>
      <c r="I981" s="43"/>
      <c r="J981" s="43"/>
      <c r="K981" s="43"/>
      <c r="L981" s="43"/>
      <c r="M981" s="43"/>
      <c r="N981" s="43"/>
    </row>
    <row r="982">
      <c r="D982" s="64"/>
      <c r="E982" s="43"/>
      <c r="F982" s="43"/>
      <c r="G982" s="43"/>
      <c r="H982" s="43"/>
      <c r="I982" s="43"/>
      <c r="J982" s="43"/>
      <c r="K982" s="43"/>
      <c r="L982" s="43"/>
      <c r="M982" s="43"/>
      <c r="N982" s="43"/>
    </row>
    <row r="983">
      <c r="D983" s="64"/>
      <c r="E983" s="43"/>
      <c r="F983" s="43"/>
      <c r="G983" s="43"/>
      <c r="H983" s="43"/>
      <c r="I983" s="43"/>
      <c r="J983" s="43"/>
      <c r="K983" s="43"/>
      <c r="L983" s="43"/>
      <c r="M983" s="43"/>
      <c r="N983" s="43"/>
    </row>
    <row r="984">
      <c r="D984" s="64"/>
      <c r="E984" s="43"/>
      <c r="F984" s="43"/>
      <c r="G984" s="43"/>
      <c r="H984" s="43"/>
      <c r="I984" s="43"/>
      <c r="J984" s="43"/>
      <c r="K984" s="43"/>
      <c r="L984" s="43"/>
      <c r="M984" s="43"/>
      <c r="N984" s="43"/>
    </row>
    <row r="985">
      <c r="D985" s="64"/>
      <c r="E985" s="43"/>
      <c r="F985" s="43"/>
      <c r="G985" s="43"/>
      <c r="H985" s="43"/>
      <c r="I985" s="43"/>
      <c r="J985" s="43"/>
      <c r="K985" s="43"/>
      <c r="L985" s="43"/>
      <c r="M985" s="43"/>
      <c r="N985" s="43"/>
    </row>
    <row r="986">
      <c r="D986" s="64"/>
      <c r="E986" s="43"/>
      <c r="F986" s="43"/>
      <c r="G986" s="43"/>
      <c r="H986" s="43"/>
      <c r="I986" s="43"/>
      <c r="J986" s="43"/>
      <c r="K986" s="43"/>
      <c r="L986" s="43"/>
      <c r="M986" s="43"/>
      <c r="N986" s="43"/>
    </row>
    <row r="987">
      <c r="D987" s="64"/>
      <c r="E987" s="43"/>
      <c r="F987" s="43"/>
      <c r="G987" s="43"/>
      <c r="H987" s="43"/>
      <c r="I987" s="43"/>
      <c r="J987" s="43"/>
      <c r="K987" s="43"/>
      <c r="L987" s="43"/>
      <c r="M987" s="43"/>
      <c r="N987" s="43"/>
    </row>
    <row r="988">
      <c r="D988" s="64"/>
      <c r="E988" s="43"/>
      <c r="F988" s="43"/>
      <c r="G988" s="43"/>
      <c r="H988" s="43"/>
      <c r="I988" s="43"/>
      <c r="J988" s="43"/>
      <c r="K988" s="43"/>
      <c r="L988" s="43"/>
      <c r="M988" s="43"/>
      <c r="N988" s="43"/>
    </row>
    <row r="989">
      <c r="D989" s="64"/>
      <c r="E989" s="43"/>
      <c r="F989" s="43"/>
      <c r="G989" s="43"/>
      <c r="H989" s="43"/>
      <c r="I989" s="43"/>
      <c r="J989" s="43"/>
      <c r="K989" s="43"/>
      <c r="L989" s="43"/>
      <c r="M989" s="43"/>
      <c r="N989" s="43"/>
    </row>
    <row r="990">
      <c r="D990" s="64"/>
      <c r="E990" s="43"/>
      <c r="F990" s="43"/>
      <c r="G990" s="43"/>
      <c r="H990" s="43"/>
      <c r="I990" s="43"/>
      <c r="J990" s="43"/>
      <c r="K990" s="43"/>
      <c r="L990" s="43"/>
      <c r="M990" s="43"/>
      <c r="N990" s="43"/>
    </row>
    <row r="991">
      <c r="D991" s="64"/>
      <c r="E991" s="43"/>
      <c r="F991" s="43"/>
      <c r="G991" s="43"/>
      <c r="H991" s="43"/>
      <c r="I991" s="43"/>
      <c r="J991" s="43"/>
      <c r="K991" s="43"/>
      <c r="L991" s="43"/>
      <c r="M991" s="43"/>
      <c r="N991" s="43"/>
    </row>
    <row r="992">
      <c r="D992" s="64"/>
      <c r="E992" s="43"/>
      <c r="F992" s="43"/>
      <c r="G992" s="43"/>
      <c r="H992" s="43"/>
      <c r="I992" s="43"/>
      <c r="J992" s="43"/>
      <c r="K992" s="43"/>
      <c r="L992" s="43"/>
      <c r="M992" s="43"/>
      <c r="N992" s="43"/>
    </row>
    <row r="993">
      <c r="D993" s="64"/>
      <c r="E993" s="43"/>
      <c r="F993" s="43"/>
      <c r="G993" s="43"/>
      <c r="H993" s="43"/>
      <c r="I993" s="43"/>
      <c r="J993" s="43"/>
      <c r="K993" s="43"/>
      <c r="L993" s="43"/>
      <c r="M993" s="43"/>
      <c r="N993" s="43"/>
    </row>
    <row r="994">
      <c r="D994" s="64"/>
      <c r="E994" s="43"/>
      <c r="F994" s="43"/>
      <c r="G994" s="43"/>
      <c r="H994" s="43"/>
      <c r="I994" s="43"/>
      <c r="J994" s="43"/>
      <c r="K994" s="43"/>
      <c r="L994" s="43"/>
      <c r="M994" s="43"/>
      <c r="N994" s="43"/>
    </row>
    <row r="995">
      <c r="D995" s="64"/>
      <c r="E995" s="43"/>
      <c r="F995" s="43"/>
      <c r="G995" s="43"/>
      <c r="H995" s="43"/>
      <c r="I995" s="43"/>
      <c r="J995" s="43"/>
      <c r="K995" s="43"/>
      <c r="L995" s="43"/>
      <c r="M995" s="43"/>
      <c r="N995" s="43"/>
    </row>
    <row r="996">
      <c r="D996" s="64"/>
      <c r="E996" s="43"/>
      <c r="F996" s="43"/>
      <c r="G996" s="43"/>
      <c r="H996" s="43"/>
      <c r="I996" s="43"/>
      <c r="J996" s="43"/>
      <c r="K996" s="43"/>
      <c r="L996" s="43"/>
      <c r="M996" s="43"/>
      <c r="N996" s="43"/>
    </row>
    <row r="997">
      <c r="D997" s="64"/>
      <c r="E997" s="43"/>
      <c r="F997" s="43"/>
      <c r="G997" s="43"/>
      <c r="H997" s="43"/>
      <c r="I997" s="43"/>
      <c r="J997" s="43"/>
      <c r="K997" s="43"/>
      <c r="L997" s="43"/>
      <c r="M997" s="43"/>
      <c r="N997" s="43"/>
    </row>
    <row r="998">
      <c r="D998" s="64"/>
      <c r="E998" s="43"/>
      <c r="F998" s="43"/>
      <c r="G998" s="43"/>
      <c r="H998" s="43"/>
      <c r="I998" s="43"/>
      <c r="J998" s="43"/>
      <c r="K998" s="43"/>
      <c r="L998" s="43"/>
      <c r="M998" s="43"/>
      <c r="N998" s="43"/>
    </row>
    <row r="999">
      <c r="D999" s="64"/>
      <c r="E999" s="43"/>
      <c r="F999" s="43"/>
      <c r="G999" s="43"/>
      <c r="H999" s="43"/>
      <c r="I999" s="43"/>
      <c r="J999" s="43"/>
      <c r="K999" s="43"/>
      <c r="L999" s="43"/>
      <c r="M999" s="43"/>
      <c r="N999" s="43"/>
    </row>
    <row r="1000">
      <c r="D1000" s="64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</row>
    <row r="1001">
      <c r="D1001" s="64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</row>
    <row r="1002">
      <c r="D1002" s="64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</row>
    <row r="1003">
      <c r="D1003" s="64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</row>
    <row r="1004">
      <c r="D1004" s="64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</row>
    <row r="1005">
      <c r="D1005" s="64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</row>
    <row r="1006">
      <c r="D1006" s="64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</row>
    <row r="1007">
      <c r="D1007" s="64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</row>
    <row r="1008">
      <c r="D1008" s="64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</row>
    <row r="1009">
      <c r="D1009" s="64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</row>
    <row r="1010">
      <c r="D1010" s="64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</row>
    <row r="1011">
      <c r="D1011" s="64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</row>
    <row r="1012">
      <c r="D1012" s="64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</row>
    <row r="1013">
      <c r="D1013" s="64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</row>
    <row r="1014">
      <c r="D1014" s="64"/>
      <c r="E1014" s="43"/>
      <c r="F1014" s="43"/>
      <c r="G1014" s="43"/>
      <c r="H1014" s="43"/>
      <c r="I1014" s="43"/>
      <c r="J1014" s="43"/>
      <c r="K1014" s="43"/>
      <c r="L1014" s="43"/>
      <c r="M1014" s="43"/>
      <c r="N1014" s="43"/>
    </row>
    <row r="1015">
      <c r="D1015" s="64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</row>
    <row r="1016">
      <c r="D1016" s="64"/>
      <c r="E1016" s="43"/>
      <c r="F1016" s="43"/>
      <c r="G1016" s="43"/>
      <c r="H1016" s="43"/>
      <c r="I1016" s="43"/>
      <c r="J1016" s="43"/>
      <c r="K1016" s="43"/>
      <c r="L1016" s="43"/>
      <c r="M1016" s="43"/>
      <c r="N1016" s="43"/>
    </row>
    <row r="1017">
      <c r="D1017" s="64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</row>
    <row r="1018">
      <c r="D1018" s="64"/>
      <c r="E1018" s="43"/>
      <c r="F1018" s="43"/>
      <c r="G1018" s="43"/>
      <c r="H1018" s="43"/>
      <c r="I1018" s="43"/>
      <c r="J1018" s="43"/>
      <c r="K1018" s="43"/>
      <c r="L1018" s="43"/>
      <c r="M1018" s="43"/>
      <c r="N1018" s="43"/>
    </row>
    <row r="1019">
      <c r="D1019" s="64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</row>
    <row r="1020">
      <c r="D1020" s="64"/>
      <c r="E1020" s="43"/>
      <c r="F1020" s="43"/>
      <c r="G1020" s="43"/>
      <c r="H1020" s="43"/>
      <c r="I1020" s="43"/>
      <c r="J1020" s="43"/>
      <c r="K1020" s="43"/>
      <c r="L1020" s="43"/>
      <c r="M1020" s="43"/>
      <c r="N1020" s="43"/>
    </row>
    <row r="1021">
      <c r="D1021" s="64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</row>
    <row r="1022">
      <c r="D1022" s="64"/>
      <c r="E1022" s="43"/>
      <c r="F1022" s="43"/>
      <c r="G1022" s="43"/>
      <c r="H1022" s="43"/>
      <c r="I1022" s="43"/>
      <c r="J1022" s="43"/>
      <c r="K1022" s="43"/>
      <c r="L1022" s="43"/>
      <c r="M1022" s="43"/>
      <c r="N1022" s="43"/>
    </row>
    <row r="1023">
      <c r="D1023" s="64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</row>
    <row r="1024">
      <c r="D1024" s="64"/>
      <c r="E1024" s="43"/>
      <c r="F1024" s="43"/>
      <c r="G1024" s="43"/>
      <c r="H1024" s="43"/>
      <c r="I1024" s="43"/>
      <c r="J1024" s="43"/>
      <c r="K1024" s="43"/>
      <c r="L1024" s="43"/>
      <c r="M1024" s="43"/>
      <c r="N1024" s="43"/>
    </row>
    <row r="1025">
      <c r="D1025" s="64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</row>
    <row r="1026">
      <c r="D1026" s="64"/>
      <c r="E1026" s="43"/>
      <c r="F1026" s="43"/>
      <c r="G1026" s="43"/>
      <c r="H1026" s="43"/>
      <c r="I1026" s="43"/>
      <c r="J1026" s="43"/>
      <c r="K1026" s="43"/>
      <c r="L1026" s="43"/>
      <c r="M1026" s="43"/>
      <c r="N1026" s="43"/>
    </row>
    <row r="1027">
      <c r="D1027" s="64"/>
      <c r="E1027" s="43"/>
      <c r="F1027" s="43"/>
      <c r="G1027" s="43"/>
      <c r="H1027" s="43"/>
      <c r="I1027" s="43"/>
      <c r="J1027" s="43"/>
      <c r="K1027" s="43"/>
      <c r="L1027" s="43"/>
      <c r="M1027" s="43"/>
      <c r="N1027" s="43"/>
    </row>
    <row r="1028">
      <c r="D1028" s="64"/>
      <c r="E1028" s="43"/>
      <c r="F1028" s="43"/>
      <c r="G1028" s="43"/>
      <c r="H1028" s="43"/>
      <c r="I1028" s="43"/>
      <c r="J1028" s="43"/>
      <c r="K1028" s="43"/>
      <c r="L1028" s="43"/>
      <c r="M1028" s="43"/>
      <c r="N1028" s="43"/>
    </row>
    <row r="1029">
      <c r="D1029" s="64"/>
      <c r="E1029" s="43"/>
      <c r="F1029" s="43"/>
      <c r="G1029" s="43"/>
      <c r="H1029" s="43"/>
      <c r="I1029" s="43"/>
      <c r="J1029" s="43"/>
      <c r="K1029" s="43"/>
      <c r="L1029" s="43"/>
      <c r="M1029" s="43"/>
      <c r="N1029" s="43"/>
    </row>
    <row r="1030">
      <c r="D1030" s="64"/>
      <c r="E1030" s="43"/>
      <c r="F1030" s="43"/>
      <c r="G1030" s="43"/>
      <c r="H1030" s="43"/>
      <c r="I1030" s="43"/>
      <c r="J1030" s="43"/>
      <c r="K1030" s="43"/>
      <c r="L1030" s="43"/>
      <c r="M1030" s="43"/>
      <c r="N1030" s="43"/>
    </row>
    <row r="1031">
      <c r="D1031" s="64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</row>
    <row r="1032">
      <c r="D1032" s="64"/>
      <c r="E1032" s="43"/>
      <c r="F1032" s="43"/>
      <c r="G1032" s="43"/>
      <c r="H1032" s="43"/>
      <c r="I1032" s="43"/>
      <c r="J1032" s="43"/>
      <c r="K1032" s="43"/>
      <c r="L1032" s="43"/>
      <c r="M1032" s="43"/>
      <c r="N1032" s="43"/>
    </row>
    <row r="1033">
      <c r="D1033" s="64"/>
      <c r="E1033" s="43"/>
      <c r="F1033" s="43"/>
      <c r="G1033" s="43"/>
      <c r="H1033" s="43"/>
      <c r="I1033" s="43"/>
      <c r="J1033" s="43"/>
      <c r="K1033" s="43"/>
      <c r="L1033" s="43"/>
      <c r="M1033" s="43"/>
      <c r="N1033" s="43"/>
    </row>
    <row r="1034">
      <c r="D1034" s="64"/>
      <c r="E1034" s="43"/>
      <c r="F1034" s="43"/>
      <c r="G1034" s="43"/>
      <c r="H1034" s="43"/>
      <c r="I1034" s="43"/>
      <c r="J1034" s="43"/>
      <c r="K1034" s="43"/>
      <c r="L1034" s="43"/>
      <c r="M1034" s="43"/>
      <c r="N1034" s="43"/>
    </row>
    <row r="1035">
      <c r="D1035" s="64"/>
      <c r="E1035" s="43"/>
      <c r="F1035" s="43"/>
      <c r="G1035" s="43"/>
      <c r="H1035" s="43"/>
      <c r="I1035" s="43"/>
      <c r="J1035" s="43"/>
      <c r="K1035" s="43"/>
      <c r="L1035" s="43"/>
      <c r="M1035" s="43"/>
      <c r="N1035" s="43"/>
    </row>
    <row r="1036">
      <c r="D1036" s="64"/>
      <c r="E1036" s="43"/>
      <c r="F1036" s="43"/>
      <c r="G1036" s="43"/>
      <c r="H1036" s="43"/>
      <c r="I1036" s="43"/>
      <c r="J1036" s="43"/>
      <c r="K1036" s="43"/>
      <c r="L1036" s="43"/>
      <c r="M1036" s="43"/>
      <c r="N1036" s="43"/>
    </row>
    <row r="1037">
      <c r="D1037" s="64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</row>
    <row r="1038">
      <c r="D1038" s="64"/>
      <c r="E1038" s="43"/>
      <c r="F1038" s="43"/>
      <c r="G1038" s="43"/>
      <c r="H1038" s="43"/>
      <c r="I1038" s="43"/>
      <c r="J1038" s="43"/>
      <c r="K1038" s="43"/>
      <c r="L1038" s="43"/>
      <c r="M1038" s="43"/>
      <c r="N1038" s="43"/>
    </row>
    <row r="1039">
      <c r="D1039" s="64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</row>
    <row r="1040">
      <c r="D1040" s="64"/>
      <c r="E1040" s="43"/>
      <c r="F1040" s="43"/>
      <c r="G1040" s="43"/>
      <c r="H1040" s="43"/>
      <c r="I1040" s="43"/>
      <c r="J1040" s="43"/>
      <c r="K1040" s="43"/>
      <c r="L1040" s="43"/>
      <c r="M1040" s="43"/>
      <c r="N1040" s="43"/>
    </row>
    <row r="1041">
      <c r="D1041" s="64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</row>
    <row r="1042">
      <c r="D1042" s="64"/>
      <c r="E1042" s="43"/>
      <c r="F1042" s="43"/>
      <c r="G1042" s="43"/>
      <c r="H1042" s="43"/>
      <c r="I1042" s="43"/>
      <c r="J1042" s="43"/>
      <c r="K1042" s="43"/>
      <c r="L1042" s="43"/>
      <c r="M1042" s="43"/>
      <c r="N1042" s="43"/>
    </row>
    <row r="1043">
      <c r="D1043" s="64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</row>
    <row r="1044">
      <c r="D1044" s="64"/>
      <c r="E1044" s="43"/>
      <c r="F1044" s="43"/>
      <c r="G1044" s="43"/>
      <c r="H1044" s="43"/>
      <c r="I1044" s="43"/>
      <c r="J1044" s="43"/>
      <c r="K1044" s="43"/>
      <c r="L1044" s="43"/>
      <c r="M1044" s="43"/>
      <c r="N1044" s="43"/>
    </row>
    <row r="1045">
      <c r="D1045" s="64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</row>
    <row r="1046">
      <c r="D1046" s="64"/>
      <c r="E1046" s="43"/>
      <c r="F1046" s="43"/>
      <c r="G1046" s="43"/>
      <c r="H1046" s="43"/>
      <c r="I1046" s="43"/>
      <c r="J1046" s="43"/>
      <c r="K1046" s="43"/>
      <c r="L1046" s="43"/>
      <c r="M1046" s="43"/>
      <c r="N1046" s="43"/>
    </row>
    <row r="1047">
      <c r="D1047" s="64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</row>
    <row r="1048">
      <c r="D1048" s="64"/>
      <c r="E1048" s="43"/>
      <c r="F1048" s="43"/>
      <c r="G1048" s="43"/>
      <c r="H1048" s="43"/>
      <c r="I1048" s="43"/>
      <c r="J1048" s="43"/>
      <c r="K1048" s="43"/>
      <c r="L1048" s="43"/>
      <c r="M1048" s="43"/>
      <c r="N1048" s="43"/>
    </row>
    <row r="1049">
      <c r="D1049" s="64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</row>
    <row r="1050">
      <c r="D1050" s="64"/>
      <c r="E1050" s="43"/>
      <c r="F1050" s="43"/>
      <c r="G1050" s="43"/>
      <c r="H1050" s="43"/>
      <c r="I1050" s="43"/>
      <c r="J1050" s="43"/>
      <c r="K1050" s="43"/>
      <c r="L1050" s="43"/>
      <c r="M1050" s="43"/>
      <c r="N1050" s="43"/>
    </row>
    <row r="1051">
      <c r="D1051" s="64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</row>
    <row r="1052">
      <c r="D1052" s="64"/>
      <c r="E1052" s="43"/>
      <c r="F1052" s="43"/>
      <c r="G1052" s="43"/>
      <c r="H1052" s="43"/>
      <c r="I1052" s="43"/>
      <c r="J1052" s="43"/>
      <c r="K1052" s="43"/>
      <c r="L1052" s="43"/>
      <c r="M1052" s="43"/>
      <c r="N1052" s="43"/>
    </row>
    <row r="1053">
      <c r="D1053" s="64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</row>
    <row r="1054">
      <c r="D1054" s="64"/>
      <c r="E1054" s="43"/>
      <c r="F1054" s="43"/>
      <c r="G1054" s="43"/>
      <c r="H1054" s="43"/>
      <c r="I1054" s="43"/>
      <c r="J1054" s="43"/>
      <c r="K1054" s="43"/>
      <c r="L1054" s="43"/>
      <c r="M1054" s="43"/>
      <c r="N1054" s="43"/>
    </row>
    <row r="1055">
      <c r="D1055" s="64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</row>
    <row r="1056">
      <c r="D1056" s="64"/>
      <c r="E1056" s="43"/>
      <c r="F1056" s="43"/>
      <c r="G1056" s="43"/>
      <c r="H1056" s="43"/>
      <c r="I1056" s="43"/>
      <c r="J1056" s="43"/>
      <c r="K1056" s="43"/>
      <c r="L1056" s="43"/>
      <c r="M1056" s="43"/>
      <c r="N1056" s="43"/>
    </row>
    <row r="1057">
      <c r="D1057" s="64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</row>
    <row r="1058">
      <c r="D1058" s="64"/>
      <c r="E1058" s="43"/>
      <c r="F1058" s="43"/>
      <c r="G1058" s="43"/>
      <c r="H1058" s="43"/>
      <c r="I1058" s="43"/>
      <c r="J1058" s="43"/>
      <c r="K1058" s="43"/>
      <c r="L1058" s="43"/>
      <c r="M1058" s="43"/>
      <c r="N1058" s="43"/>
    </row>
    <row r="1059">
      <c r="D1059" s="64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</row>
    <row r="1060">
      <c r="D1060" s="64"/>
      <c r="E1060" s="43"/>
      <c r="F1060" s="43"/>
      <c r="G1060" s="43"/>
      <c r="H1060" s="43"/>
      <c r="I1060" s="43"/>
      <c r="J1060" s="43"/>
      <c r="K1060" s="43"/>
      <c r="L1060" s="43"/>
      <c r="M1060" s="43"/>
      <c r="N1060" s="43"/>
    </row>
    <row r="1061">
      <c r="D1061" s="64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</row>
    <row r="1062">
      <c r="D1062" s="64"/>
      <c r="E1062" s="43"/>
      <c r="F1062" s="43"/>
      <c r="G1062" s="43"/>
      <c r="H1062" s="43"/>
      <c r="I1062" s="43"/>
      <c r="J1062" s="43"/>
      <c r="K1062" s="43"/>
      <c r="L1062" s="43"/>
      <c r="M1062" s="43"/>
      <c r="N1062" s="43"/>
    </row>
    <row r="1063">
      <c r="D1063" s="64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</row>
    <row r="1064">
      <c r="D1064" s="64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</row>
    <row r="1065">
      <c r="D1065" s="64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</row>
    <row r="1066">
      <c r="D1066" s="64"/>
      <c r="E1066" s="43"/>
      <c r="F1066" s="43"/>
      <c r="G1066" s="43"/>
      <c r="H1066" s="43"/>
      <c r="I1066" s="43"/>
      <c r="J1066" s="43"/>
      <c r="K1066" s="43"/>
      <c r="L1066" s="43"/>
      <c r="M1066" s="43"/>
      <c r="N1066" s="43"/>
    </row>
    <row r="1067">
      <c r="D1067" s="64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</row>
    <row r="1068">
      <c r="D1068" s="64"/>
      <c r="E1068" s="43"/>
      <c r="F1068" s="43"/>
      <c r="G1068" s="43"/>
      <c r="H1068" s="43"/>
      <c r="I1068" s="43"/>
      <c r="J1068" s="43"/>
      <c r="K1068" s="43"/>
      <c r="L1068" s="43"/>
      <c r="M1068" s="43"/>
      <c r="N1068" s="43"/>
    </row>
  </sheetData>
  <mergeCells count="17">
    <mergeCell ref="H1:H2"/>
    <mergeCell ref="I1:I2"/>
    <mergeCell ref="J1:J2"/>
    <mergeCell ref="K1:K2"/>
    <mergeCell ref="L1:L2"/>
    <mergeCell ref="M1:M2"/>
    <mergeCell ref="N1:N2"/>
    <mergeCell ref="A3:B3"/>
    <mergeCell ref="A31:B31"/>
    <mergeCell ref="A59:B59"/>
    <mergeCell ref="A1:A2"/>
    <mergeCell ref="B1:B2"/>
    <mergeCell ref="C1:C2"/>
    <mergeCell ref="D1:D2"/>
    <mergeCell ref="E1:E2"/>
    <mergeCell ref="F1:F2"/>
    <mergeCell ref="G1:G2"/>
  </mergeCells>
  <conditionalFormatting sqref="E4:N71">
    <cfRule type="expression" dxfId="0" priority="1">
      <formula>E4&lt;&gt;E4</formula>
    </cfRule>
  </conditionalFormatting>
  <hyperlinks>
    <hyperlink r:id="rId1" ref="C2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3.88"/>
    <col customWidth="1" min="2" max="2" width="28.25"/>
    <col customWidth="1" min="3" max="3" width="40.75"/>
    <col customWidth="1" min="4" max="4" width="31.0"/>
    <col customWidth="1" min="5" max="5" width="30.38"/>
    <col customWidth="1" min="6" max="6" width="30.0"/>
    <col customWidth="1" min="7" max="7" width="30.5"/>
    <col customWidth="1" min="8" max="8" width="31.5"/>
    <col customWidth="1" min="9" max="9" width="30.0"/>
    <col customWidth="1" min="10" max="10" width="31.38"/>
    <col customWidth="1" min="11" max="15" width="30.0"/>
  </cols>
  <sheetData>
    <row r="1">
      <c r="A1" s="44" t="s">
        <v>0</v>
      </c>
      <c r="B1" s="45" t="s">
        <v>1</v>
      </c>
      <c r="C1" s="46" t="s">
        <v>2</v>
      </c>
      <c r="D1" s="3" t="s">
        <v>478</v>
      </c>
      <c r="E1" s="3" t="s">
        <v>479</v>
      </c>
      <c r="F1" s="3" t="s">
        <v>480</v>
      </c>
      <c r="G1" s="3" t="s">
        <v>481</v>
      </c>
      <c r="H1" s="3" t="s">
        <v>482</v>
      </c>
      <c r="I1" s="3" t="s">
        <v>483</v>
      </c>
      <c r="J1" s="3" t="s">
        <v>484</v>
      </c>
      <c r="K1" s="3" t="s">
        <v>485</v>
      </c>
      <c r="L1" s="47" t="s">
        <v>486</v>
      </c>
      <c r="M1" s="3" t="s">
        <v>487</v>
      </c>
      <c r="N1" s="47" t="s">
        <v>488</v>
      </c>
      <c r="O1" s="47" t="s">
        <v>489</v>
      </c>
    </row>
    <row r="2">
      <c r="A2" s="4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48" t="s">
        <v>6</v>
      </c>
      <c r="B3" s="5"/>
      <c r="C3" s="49"/>
      <c r="D3" s="50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>
      <c r="A4" s="9" t="s">
        <v>7</v>
      </c>
      <c r="B4" s="10" t="s">
        <v>7</v>
      </c>
      <c r="C4" s="11" t="s">
        <v>8</v>
      </c>
      <c r="D4" s="29" t="s">
        <v>490</v>
      </c>
      <c r="E4" s="13" t="s">
        <v>491</v>
      </c>
      <c r="F4" s="12" t="s">
        <v>491</v>
      </c>
      <c r="G4" s="12" t="s">
        <v>491</v>
      </c>
      <c r="H4" s="12" t="s">
        <v>491</v>
      </c>
      <c r="I4" s="12" t="s">
        <v>491</v>
      </c>
      <c r="J4" s="12" t="s">
        <v>491</v>
      </c>
      <c r="K4" s="12" t="s">
        <v>491</v>
      </c>
      <c r="L4" s="12" t="s">
        <v>491</v>
      </c>
      <c r="M4" s="13" t="s">
        <v>492</v>
      </c>
      <c r="N4" s="12" t="s">
        <v>492</v>
      </c>
      <c r="O4" s="12" t="s">
        <v>492</v>
      </c>
    </row>
    <row r="5">
      <c r="A5" s="9" t="s">
        <v>12</v>
      </c>
      <c r="B5" s="14" t="s">
        <v>13</v>
      </c>
      <c r="C5" s="11" t="s">
        <v>14</v>
      </c>
      <c r="D5" s="29" t="s">
        <v>493</v>
      </c>
      <c r="E5" s="12" t="s">
        <v>493</v>
      </c>
      <c r="F5" s="12" t="s">
        <v>493</v>
      </c>
      <c r="G5" s="12" t="s">
        <v>493</v>
      </c>
      <c r="H5" s="12" t="s">
        <v>493</v>
      </c>
      <c r="I5" s="12" t="s">
        <v>493</v>
      </c>
      <c r="J5" s="12" t="s">
        <v>493</v>
      </c>
      <c r="K5" s="12" t="s">
        <v>493</v>
      </c>
      <c r="L5" s="12" t="s">
        <v>493</v>
      </c>
      <c r="M5" s="13" t="s">
        <v>16</v>
      </c>
      <c r="N5" s="12" t="s">
        <v>16</v>
      </c>
      <c r="O5" s="12" t="s">
        <v>16</v>
      </c>
    </row>
    <row r="6">
      <c r="A6" s="9" t="s">
        <v>17</v>
      </c>
      <c r="B6" s="10" t="s">
        <v>18</v>
      </c>
      <c r="C6" s="15" t="str">
        <f>HYPERLINK("https://android-cret.corp.google.com/#fusion:id=com.google.android.gms","com.google.android.gms")</f>
        <v>com.google.android.gms</v>
      </c>
      <c r="D6" s="63" t="s">
        <v>494</v>
      </c>
      <c r="E6" s="17" t="s">
        <v>495</v>
      </c>
      <c r="F6" s="17" t="s">
        <v>496</v>
      </c>
      <c r="G6" s="12" t="s">
        <v>496</v>
      </c>
      <c r="H6" s="13" t="s">
        <v>497</v>
      </c>
      <c r="I6" s="13" t="s">
        <v>498</v>
      </c>
      <c r="J6" s="13" t="s">
        <v>253</v>
      </c>
      <c r="K6" s="13" t="s">
        <v>256</v>
      </c>
      <c r="L6" s="12" t="s">
        <v>256</v>
      </c>
      <c r="M6" s="13" t="s">
        <v>257</v>
      </c>
      <c r="N6" s="12" t="s">
        <v>257</v>
      </c>
      <c r="O6" s="12" t="s">
        <v>257</v>
      </c>
    </row>
    <row r="7">
      <c r="A7" s="9" t="s">
        <v>21</v>
      </c>
      <c r="B7" s="10" t="s">
        <v>22</v>
      </c>
      <c r="C7" s="11" t="s">
        <v>23</v>
      </c>
      <c r="D7" s="29" t="s">
        <v>490</v>
      </c>
      <c r="E7" s="13" t="s">
        <v>491</v>
      </c>
      <c r="F7" s="13" t="s">
        <v>499</v>
      </c>
      <c r="G7" s="12" t="s">
        <v>499</v>
      </c>
      <c r="H7" s="12" t="s">
        <v>499</v>
      </c>
      <c r="I7" s="12" t="s">
        <v>499</v>
      </c>
      <c r="J7" s="12" t="s">
        <v>499</v>
      </c>
      <c r="K7" s="12" t="s">
        <v>499</v>
      </c>
      <c r="L7" s="12" t="s">
        <v>499</v>
      </c>
      <c r="M7" s="13" t="s">
        <v>492</v>
      </c>
      <c r="N7" s="12" t="s">
        <v>492</v>
      </c>
      <c r="O7" s="12" t="s">
        <v>492</v>
      </c>
    </row>
    <row r="8">
      <c r="A8" s="9" t="s">
        <v>261</v>
      </c>
      <c r="B8" s="10" t="s">
        <v>262</v>
      </c>
      <c r="C8" s="11" t="s">
        <v>263</v>
      </c>
      <c r="D8" s="29" t="s">
        <v>490</v>
      </c>
      <c r="E8" s="13" t="s">
        <v>491</v>
      </c>
      <c r="F8" s="12" t="s">
        <v>491</v>
      </c>
      <c r="G8" s="12" t="s">
        <v>491</v>
      </c>
      <c r="H8" s="12" t="s">
        <v>491</v>
      </c>
      <c r="I8" s="12" t="s">
        <v>491</v>
      </c>
      <c r="J8" s="12" t="s">
        <v>491</v>
      </c>
      <c r="K8" s="12" t="s">
        <v>491</v>
      </c>
      <c r="L8" s="12" t="s">
        <v>491</v>
      </c>
      <c r="M8" s="13" t="s">
        <v>492</v>
      </c>
      <c r="N8" s="12" t="s">
        <v>492</v>
      </c>
      <c r="O8" s="12" t="s">
        <v>492</v>
      </c>
    </row>
    <row r="9">
      <c r="A9" s="9" t="s">
        <v>26</v>
      </c>
      <c r="B9" s="10" t="s">
        <v>27</v>
      </c>
      <c r="C9" s="11" t="s">
        <v>28</v>
      </c>
      <c r="D9" s="29" t="s">
        <v>500</v>
      </c>
      <c r="E9" s="13" t="s">
        <v>501</v>
      </c>
      <c r="F9" s="12" t="s">
        <v>501</v>
      </c>
      <c r="G9" s="12" t="s">
        <v>501</v>
      </c>
      <c r="H9" s="12" t="s">
        <v>501</v>
      </c>
      <c r="I9" s="12" t="s">
        <v>501</v>
      </c>
      <c r="J9" s="13" t="s">
        <v>29</v>
      </c>
      <c r="K9" s="12" t="s">
        <v>29</v>
      </c>
      <c r="L9" s="12" t="s">
        <v>29</v>
      </c>
      <c r="M9" s="12" t="s">
        <v>29</v>
      </c>
      <c r="N9" s="13" t="s">
        <v>30</v>
      </c>
      <c r="O9" s="12" t="s">
        <v>30</v>
      </c>
    </row>
    <row r="10">
      <c r="A10" s="9" t="s">
        <v>31</v>
      </c>
      <c r="B10" s="10" t="s">
        <v>32</v>
      </c>
      <c r="C10" s="11" t="s">
        <v>33</v>
      </c>
      <c r="D10" s="63" t="s">
        <v>502</v>
      </c>
      <c r="E10" s="16" t="s">
        <v>502</v>
      </c>
      <c r="F10" s="17" t="s">
        <v>503</v>
      </c>
      <c r="G10" s="12" t="s">
        <v>503</v>
      </c>
      <c r="H10" s="13" t="s">
        <v>504</v>
      </c>
      <c r="I10" s="12" t="s">
        <v>504</v>
      </c>
      <c r="J10" s="13" t="s">
        <v>266</v>
      </c>
      <c r="K10" s="13" t="s">
        <v>34</v>
      </c>
      <c r="L10" s="12" t="s">
        <v>34</v>
      </c>
      <c r="M10" s="13" t="s">
        <v>269</v>
      </c>
      <c r="N10" s="12" t="s">
        <v>269</v>
      </c>
      <c r="O10" s="12" t="s">
        <v>269</v>
      </c>
    </row>
    <row r="11">
      <c r="A11" s="9" t="s">
        <v>36</v>
      </c>
      <c r="B11" s="10" t="s">
        <v>37</v>
      </c>
      <c r="C11" s="11" t="s">
        <v>38</v>
      </c>
      <c r="D11" s="29" t="s">
        <v>490</v>
      </c>
      <c r="E11" s="13" t="s">
        <v>491</v>
      </c>
      <c r="F11" s="12" t="s">
        <v>491</v>
      </c>
      <c r="G11" s="12" t="s">
        <v>491</v>
      </c>
      <c r="H11" s="12" t="s">
        <v>491</v>
      </c>
      <c r="I11" s="12" t="s">
        <v>491</v>
      </c>
      <c r="J11" s="12" t="s">
        <v>491</v>
      </c>
      <c r="K11" s="12" t="s">
        <v>491</v>
      </c>
      <c r="L11" s="12" t="s">
        <v>491</v>
      </c>
      <c r="M11" s="13" t="s">
        <v>492</v>
      </c>
      <c r="N11" s="12" t="s">
        <v>492</v>
      </c>
      <c r="O11" s="12" t="s">
        <v>492</v>
      </c>
    </row>
    <row r="12">
      <c r="A12" s="9" t="s">
        <v>39</v>
      </c>
      <c r="B12" s="10" t="s">
        <v>40</v>
      </c>
      <c r="C12" s="11" t="s">
        <v>41</v>
      </c>
      <c r="D12" s="29" t="s">
        <v>42</v>
      </c>
      <c r="E12" s="13" t="s">
        <v>42</v>
      </c>
      <c r="F12" s="12" t="s">
        <v>42</v>
      </c>
      <c r="G12" s="12" t="s">
        <v>42</v>
      </c>
      <c r="H12" s="12" t="s">
        <v>42</v>
      </c>
      <c r="I12" s="12" t="s">
        <v>42</v>
      </c>
      <c r="J12" s="12" t="s">
        <v>42</v>
      </c>
      <c r="K12" s="12" t="s">
        <v>42</v>
      </c>
      <c r="L12" s="12" t="s">
        <v>42</v>
      </c>
      <c r="M12" s="12" t="s">
        <v>42</v>
      </c>
      <c r="N12" s="12" t="s">
        <v>42</v>
      </c>
      <c r="O12" s="12" t="s">
        <v>42</v>
      </c>
    </row>
    <row r="13">
      <c r="A13" s="9" t="s">
        <v>43</v>
      </c>
      <c r="B13" s="10" t="s">
        <v>44</v>
      </c>
      <c r="C13" s="11" t="s">
        <v>45</v>
      </c>
      <c r="D13" s="29" t="s">
        <v>505</v>
      </c>
      <c r="E13" s="13" t="s">
        <v>271</v>
      </c>
      <c r="F13" s="12" t="s">
        <v>271</v>
      </c>
      <c r="G13" s="12" t="s">
        <v>271</v>
      </c>
      <c r="H13" s="12" t="s">
        <v>271</v>
      </c>
      <c r="I13" s="12" t="s">
        <v>271</v>
      </c>
      <c r="J13" s="12" t="s">
        <v>271</v>
      </c>
      <c r="K13" s="13" t="s">
        <v>46</v>
      </c>
      <c r="L13" s="12" t="s">
        <v>46</v>
      </c>
      <c r="M13" s="12" t="s">
        <v>46</v>
      </c>
      <c r="N13" s="12" t="s">
        <v>46</v>
      </c>
      <c r="O13" s="12" t="s">
        <v>46</v>
      </c>
    </row>
    <row r="14">
      <c r="A14" s="9" t="s">
        <v>48</v>
      </c>
      <c r="B14" s="10" t="s">
        <v>49</v>
      </c>
      <c r="C14" s="11" t="s">
        <v>50</v>
      </c>
      <c r="D14" s="63" t="s">
        <v>506</v>
      </c>
      <c r="E14" s="17" t="s">
        <v>507</v>
      </c>
      <c r="F14" s="17" t="s">
        <v>508</v>
      </c>
      <c r="G14" s="13" t="s">
        <v>509</v>
      </c>
      <c r="H14" s="13" t="s">
        <v>510</v>
      </c>
      <c r="I14" s="13" t="s">
        <v>511</v>
      </c>
      <c r="J14" s="13" t="s">
        <v>273</v>
      </c>
      <c r="K14" s="13" t="s">
        <v>276</v>
      </c>
      <c r="L14" s="13" t="s">
        <v>512</v>
      </c>
      <c r="M14" s="13" t="s">
        <v>278</v>
      </c>
      <c r="N14" s="12" t="s">
        <v>278</v>
      </c>
      <c r="O14" s="12" t="s">
        <v>278</v>
      </c>
    </row>
    <row r="15">
      <c r="A15" s="9" t="s">
        <v>53</v>
      </c>
      <c r="B15" s="10" t="s">
        <v>54</v>
      </c>
      <c r="C15" s="11" t="s">
        <v>55</v>
      </c>
      <c r="D15" s="63" t="s">
        <v>513</v>
      </c>
      <c r="E15" s="17" t="s">
        <v>514</v>
      </c>
      <c r="F15" s="17" t="s">
        <v>515</v>
      </c>
      <c r="G15" s="13" t="s">
        <v>516</v>
      </c>
      <c r="H15" s="12" t="s">
        <v>516</v>
      </c>
      <c r="I15" s="12" t="s">
        <v>516</v>
      </c>
      <c r="J15" s="13" t="s">
        <v>283</v>
      </c>
      <c r="K15" s="13" t="s">
        <v>285</v>
      </c>
      <c r="L15" s="13" t="s">
        <v>286</v>
      </c>
      <c r="M15" s="13" t="s">
        <v>287</v>
      </c>
      <c r="N15" s="13" t="s">
        <v>517</v>
      </c>
      <c r="O15" s="12" t="s">
        <v>517</v>
      </c>
    </row>
    <row r="16">
      <c r="A16" s="9" t="s">
        <v>58</v>
      </c>
      <c r="B16" s="10" t="s">
        <v>59</v>
      </c>
      <c r="C16" s="11" t="s">
        <v>60</v>
      </c>
      <c r="D16" s="29" t="s">
        <v>518</v>
      </c>
      <c r="E16" s="12" t="s">
        <v>518</v>
      </c>
      <c r="F16" s="12" t="s">
        <v>518</v>
      </c>
      <c r="G16" s="13" t="s">
        <v>289</v>
      </c>
      <c r="H16" s="12" t="s">
        <v>289</v>
      </c>
      <c r="I16" s="13" t="s">
        <v>290</v>
      </c>
      <c r="J16" s="12" t="s">
        <v>290</v>
      </c>
      <c r="K16" s="13" t="s">
        <v>291</v>
      </c>
      <c r="L16" s="13" t="s">
        <v>61</v>
      </c>
      <c r="M16" s="12" t="s">
        <v>61</v>
      </c>
      <c r="N16" s="12" t="s">
        <v>61</v>
      </c>
      <c r="O16" s="12" t="s">
        <v>61</v>
      </c>
    </row>
    <row r="17">
      <c r="A17" s="9" t="s">
        <v>62</v>
      </c>
      <c r="B17" s="10" t="s">
        <v>63</v>
      </c>
      <c r="C17" s="15" t="str">
        <f>HYPERLINK("https://android-cret.corp.google.com/#fusion:id=com.google.android.googlequicksearchbox","com.google.android.googlequicksearchbox")</f>
        <v>com.google.android.googlequicksearchbox</v>
      </c>
      <c r="D17" s="63" t="s">
        <v>519</v>
      </c>
      <c r="E17" s="16" t="s">
        <v>519</v>
      </c>
      <c r="F17" s="17" t="s">
        <v>520</v>
      </c>
      <c r="G17" s="13" t="s">
        <v>521</v>
      </c>
      <c r="H17" s="13" t="s">
        <v>522</v>
      </c>
      <c r="I17" s="13" t="s">
        <v>523</v>
      </c>
      <c r="J17" s="13" t="s">
        <v>524</v>
      </c>
      <c r="K17" s="13" t="s">
        <v>298</v>
      </c>
      <c r="L17" s="12" t="s">
        <v>298</v>
      </c>
      <c r="M17" s="13" t="s">
        <v>299</v>
      </c>
      <c r="N17" s="12" t="s">
        <v>299</v>
      </c>
      <c r="O17" s="12" t="s">
        <v>299</v>
      </c>
    </row>
    <row r="18">
      <c r="A18" s="9" t="s">
        <v>66</v>
      </c>
      <c r="B18" s="10" t="s">
        <v>67</v>
      </c>
      <c r="C18" s="11" t="s">
        <v>68</v>
      </c>
      <c r="D18" s="66" t="s">
        <v>525</v>
      </c>
      <c r="E18" s="21" t="s">
        <v>525</v>
      </c>
      <c r="F18" s="21" t="s">
        <v>525</v>
      </c>
      <c r="G18" s="13" t="s">
        <v>526</v>
      </c>
      <c r="H18" s="12" t="s">
        <v>526</v>
      </c>
      <c r="I18" s="12" t="s">
        <v>526</v>
      </c>
      <c r="J18" s="12" t="s">
        <v>526</v>
      </c>
      <c r="K18" s="12" t="s">
        <v>526</v>
      </c>
      <c r="L18" s="12" t="s">
        <v>526</v>
      </c>
      <c r="M18" s="13" t="s">
        <v>69</v>
      </c>
      <c r="N18" s="12" t="s">
        <v>69</v>
      </c>
      <c r="O18" s="12" t="s">
        <v>69</v>
      </c>
    </row>
    <row r="19">
      <c r="A19" s="9" t="s">
        <v>72</v>
      </c>
      <c r="B19" s="10" t="s">
        <v>73</v>
      </c>
      <c r="C19" s="15" t="s">
        <v>74</v>
      </c>
      <c r="D19" s="63" t="s">
        <v>527</v>
      </c>
      <c r="E19" s="16" t="s">
        <v>527</v>
      </c>
      <c r="F19" s="17" t="s">
        <v>528</v>
      </c>
      <c r="G19" s="12" t="s">
        <v>528</v>
      </c>
      <c r="H19" s="13" t="s">
        <v>529</v>
      </c>
      <c r="I19" s="12" t="s">
        <v>529</v>
      </c>
      <c r="J19" s="13" t="s">
        <v>530</v>
      </c>
      <c r="K19" s="13" t="s">
        <v>306</v>
      </c>
      <c r="L19" s="12" t="s">
        <v>306</v>
      </c>
      <c r="M19" s="13" t="s">
        <v>75</v>
      </c>
      <c r="N19" s="12" t="s">
        <v>75</v>
      </c>
      <c r="O19" s="12" t="s">
        <v>75</v>
      </c>
    </row>
    <row r="20">
      <c r="A20" s="9" t="s">
        <v>77</v>
      </c>
      <c r="B20" s="10" t="s">
        <v>78</v>
      </c>
      <c r="C20" s="55" t="s">
        <v>79</v>
      </c>
      <c r="D20" s="63" t="s">
        <v>531</v>
      </c>
      <c r="E20" s="17" t="s">
        <v>308</v>
      </c>
      <c r="F20" s="67" t="s">
        <v>308</v>
      </c>
      <c r="G20" s="12" t="s">
        <v>308</v>
      </c>
      <c r="H20" s="12" t="s">
        <v>308</v>
      </c>
      <c r="I20" s="12" t="s">
        <v>308</v>
      </c>
      <c r="J20" s="12" t="s">
        <v>308</v>
      </c>
      <c r="K20" s="12" t="s">
        <v>308</v>
      </c>
      <c r="L20" s="12" t="s">
        <v>308</v>
      </c>
      <c r="M20" s="13" t="s">
        <v>80</v>
      </c>
      <c r="N20" s="13" t="s">
        <v>308</v>
      </c>
      <c r="O20" s="12" t="s">
        <v>308</v>
      </c>
    </row>
    <row r="21">
      <c r="A21" s="9" t="s">
        <v>82</v>
      </c>
      <c r="B21" s="10" t="s">
        <v>83</v>
      </c>
      <c r="C21" s="56" t="s">
        <v>84</v>
      </c>
      <c r="D21" s="63" t="s">
        <v>532</v>
      </c>
      <c r="E21" s="17" t="s">
        <v>533</v>
      </c>
      <c r="F21" s="67" t="s">
        <v>533</v>
      </c>
      <c r="G21" s="12" t="s">
        <v>533</v>
      </c>
      <c r="H21" s="13" t="s">
        <v>534</v>
      </c>
      <c r="I21" s="12" t="s">
        <v>534</v>
      </c>
      <c r="J21" s="13" t="s">
        <v>311</v>
      </c>
      <c r="K21" s="13" t="s">
        <v>312</v>
      </c>
      <c r="L21" s="12" t="s">
        <v>312</v>
      </c>
      <c r="M21" s="13" t="s">
        <v>85</v>
      </c>
      <c r="N21" s="12" t="s">
        <v>85</v>
      </c>
      <c r="O21" s="12" t="s">
        <v>85</v>
      </c>
    </row>
    <row r="22">
      <c r="A22" s="9" t="s">
        <v>87</v>
      </c>
      <c r="B22" s="10" t="s">
        <v>88</v>
      </c>
      <c r="C22" s="11" t="s">
        <v>89</v>
      </c>
      <c r="D22" s="29" t="s">
        <v>535</v>
      </c>
      <c r="E22" s="13" t="s">
        <v>314</v>
      </c>
      <c r="F22" s="12" t="s">
        <v>314</v>
      </c>
      <c r="G22" s="12" t="s">
        <v>314</v>
      </c>
      <c r="H22" s="12" t="s">
        <v>314</v>
      </c>
      <c r="I22" s="12" t="s">
        <v>314</v>
      </c>
      <c r="J22" s="13" t="s">
        <v>315</v>
      </c>
      <c r="K22" s="12" t="s">
        <v>315</v>
      </c>
      <c r="L22" s="12" t="s">
        <v>315</v>
      </c>
      <c r="M22" s="12" t="s">
        <v>315</v>
      </c>
      <c r="N22" s="12" t="s">
        <v>315</v>
      </c>
      <c r="O22" s="12" t="s">
        <v>315</v>
      </c>
    </row>
    <row r="23">
      <c r="A23" s="27" t="s">
        <v>317</v>
      </c>
      <c r="B23" s="28" t="s">
        <v>318</v>
      </c>
      <c r="C23" s="15" t="str">
        <f>HYPERLINK("https://android-cret.corp.google.com/#fusion:id=com.google.android.ims","com.google.android.ims")</f>
        <v>com.google.android.ims</v>
      </c>
      <c r="D23" s="63" t="s">
        <v>319</v>
      </c>
      <c r="E23" s="16" t="s">
        <v>319</v>
      </c>
      <c r="F23" s="67" t="s">
        <v>319</v>
      </c>
      <c r="G23" s="12" t="s">
        <v>319</v>
      </c>
      <c r="H23" s="12" t="s">
        <v>319</v>
      </c>
      <c r="I23" s="12" t="s">
        <v>319</v>
      </c>
      <c r="J23" s="12" t="s">
        <v>319</v>
      </c>
      <c r="K23" s="12" t="s">
        <v>319</v>
      </c>
      <c r="L23" s="12" t="s">
        <v>319</v>
      </c>
      <c r="M23" s="20" t="s">
        <v>319</v>
      </c>
      <c r="N23" s="12" t="s">
        <v>319</v>
      </c>
      <c r="O23" s="12" t="s">
        <v>319</v>
      </c>
    </row>
    <row r="24">
      <c r="A24" s="27" t="s">
        <v>97</v>
      </c>
      <c r="B24" s="28" t="s">
        <v>98</v>
      </c>
      <c r="C24" s="15" t="str">
        <f>HYPERLINK("https://android-cret.corp.google.com/#fusion:id=com.google.android.dialer","com.google.android.dialer")</f>
        <v>com.google.android.dialer</v>
      </c>
      <c r="D24" s="63" t="s">
        <v>536</v>
      </c>
      <c r="E24" s="16" t="s">
        <v>536</v>
      </c>
      <c r="F24" s="17" t="s">
        <v>537</v>
      </c>
      <c r="G24" s="12" t="s">
        <v>537</v>
      </c>
      <c r="H24" s="13" t="s">
        <v>538</v>
      </c>
      <c r="I24" s="12" t="s">
        <v>538</v>
      </c>
      <c r="J24" s="13" t="s">
        <v>539</v>
      </c>
      <c r="K24" s="13" t="s">
        <v>324</v>
      </c>
      <c r="L24" s="12" t="s">
        <v>324</v>
      </c>
      <c r="M24" s="13" t="s">
        <v>325</v>
      </c>
      <c r="N24" s="12" t="s">
        <v>325</v>
      </c>
      <c r="O24" s="12" t="s">
        <v>325</v>
      </c>
    </row>
    <row r="25">
      <c r="A25" s="27" t="s">
        <v>327</v>
      </c>
      <c r="B25" s="28" t="s">
        <v>328</v>
      </c>
      <c r="C25" s="11" t="s">
        <v>329</v>
      </c>
      <c r="D25" s="29" t="s">
        <v>330</v>
      </c>
      <c r="E25" s="13" t="s">
        <v>330</v>
      </c>
      <c r="F25" s="12" t="s">
        <v>330</v>
      </c>
      <c r="G25" s="12" t="s">
        <v>330</v>
      </c>
      <c r="H25" s="12" t="s">
        <v>330</v>
      </c>
      <c r="I25" s="12" t="s">
        <v>330</v>
      </c>
      <c r="J25" s="12" t="s">
        <v>330</v>
      </c>
      <c r="K25" s="12" t="s">
        <v>330</v>
      </c>
      <c r="L25" s="12" t="s">
        <v>330</v>
      </c>
      <c r="M25" s="12" t="s">
        <v>330</v>
      </c>
      <c r="N25" s="12" t="s">
        <v>330</v>
      </c>
      <c r="O25" s="12" t="s">
        <v>330</v>
      </c>
    </row>
    <row r="26">
      <c r="A26" s="27" t="s">
        <v>101</v>
      </c>
      <c r="B26" s="28" t="s">
        <v>102</v>
      </c>
      <c r="C26" s="15" t="str">
        <f>HYPERLINK("https://android-cret.corp.google.com/#fusion:id=com.google.android.apps.turbo","com.google.android.apps.turbo")</f>
        <v>com.google.android.apps.turbo</v>
      </c>
      <c r="D26" s="63" t="s">
        <v>332</v>
      </c>
      <c r="E26" s="16" t="s">
        <v>332</v>
      </c>
      <c r="F26" s="67" t="s">
        <v>332</v>
      </c>
      <c r="G26" s="12" t="s">
        <v>332</v>
      </c>
      <c r="H26" s="12" t="s">
        <v>332</v>
      </c>
      <c r="I26" s="12" t="s">
        <v>332</v>
      </c>
      <c r="J26" s="12" t="s">
        <v>332</v>
      </c>
      <c r="K26" s="12" t="s">
        <v>332</v>
      </c>
      <c r="L26" s="12" t="s">
        <v>332</v>
      </c>
      <c r="M26" s="13" t="s">
        <v>103</v>
      </c>
      <c r="N26" s="12" t="s">
        <v>103</v>
      </c>
      <c r="O26" s="12" t="s">
        <v>103</v>
      </c>
    </row>
    <row r="27">
      <c r="A27" s="27" t="s">
        <v>105</v>
      </c>
      <c r="B27" s="28" t="s">
        <v>106</v>
      </c>
      <c r="C27" s="15" t="s">
        <v>107</v>
      </c>
      <c r="D27" s="63" t="s">
        <v>540</v>
      </c>
      <c r="E27" s="16" t="s">
        <v>540</v>
      </c>
      <c r="F27" s="17" t="s">
        <v>541</v>
      </c>
      <c r="G27" s="12" t="s">
        <v>541</v>
      </c>
      <c r="H27" s="13" t="s">
        <v>542</v>
      </c>
      <c r="I27" s="12" t="s">
        <v>542</v>
      </c>
      <c r="J27" s="13" t="s">
        <v>335</v>
      </c>
      <c r="K27" s="12" t="s">
        <v>335</v>
      </c>
      <c r="L27" s="12" t="s">
        <v>335</v>
      </c>
      <c r="M27" s="13" t="s">
        <v>338</v>
      </c>
      <c r="N27" s="12" t="s">
        <v>338</v>
      </c>
      <c r="O27" s="12" t="s">
        <v>338</v>
      </c>
    </row>
    <row r="28">
      <c r="A28" s="29" t="s">
        <v>110</v>
      </c>
      <c r="B28" s="11" t="s">
        <v>111</v>
      </c>
      <c r="C28" s="11" t="s">
        <v>112</v>
      </c>
      <c r="D28" s="29" t="s">
        <v>490</v>
      </c>
      <c r="E28" s="13" t="s">
        <v>491</v>
      </c>
      <c r="F28" s="12" t="s">
        <v>491</v>
      </c>
      <c r="G28" s="12" t="s">
        <v>491</v>
      </c>
      <c r="H28" s="13" t="s">
        <v>543</v>
      </c>
      <c r="I28" s="12" t="s">
        <v>543</v>
      </c>
      <c r="J28" s="12" t="s">
        <v>543</v>
      </c>
      <c r="K28" s="12" t="s">
        <v>543</v>
      </c>
      <c r="L28" s="12" t="s">
        <v>543</v>
      </c>
      <c r="M28" s="13" t="s">
        <v>544</v>
      </c>
      <c r="N28" s="12" t="s">
        <v>544</v>
      </c>
      <c r="O28" s="12" t="s">
        <v>544</v>
      </c>
    </row>
    <row r="29">
      <c r="A29" s="29"/>
      <c r="B29" s="11"/>
      <c r="C29" s="11"/>
      <c r="D29" s="29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>
      <c r="A30" s="48" t="s">
        <v>113</v>
      </c>
      <c r="B30" s="5"/>
      <c r="C30" s="58"/>
      <c r="D30" s="50"/>
      <c r="E30" s="8"/>
      <c r="F30" s="8"/>
      <c r="G30" s="8"/>
      <c r="H30" s="8"/>
      <c r="I30" s="8"/>
      <c r="J30" s="8"/>
      <c r="K30" s="8"/>
      <c r="L30" s="8"/>
      <c r="M30" s="8"/>
      <c r="N30" s="12"/>
      <c r="O30" s="12"/>
    </row>
    <row r="31">
      <c r="A31" s="9" t="s">
        <v>114</v>
      </c>
      <c r="B31" s="10" t="s">
        <v>114</v>
      </c>
      <c r="C31" s="15" t="str">
        <f>HYPERLINK("https://android-cret.corp.google.com/#fusion:id=com.android.chrome","com.android.chrome")</f>
        <v>com.android.chrome</v>
      </c>
      <c r="D31" s="63" t="s">
        <v>545</v>
      </c>
      <c r="E31" s="16" t="s">
        <v>545</v>
      </c>
      <c r="F31" s="17" t="s">
        <v>546</v>
      </c>
      <c r="G31" s="12" t="s">
        <v>546</v>
      </c>
      <c r="H31" s="13" t="s">
        <v>547</v>
      </c>
      <c r="I31" s="12" t="s">
        <v>547</v>
      </c>
      <c r="J31" s="13" t="s">
        <v>344</v>
      </c>
      <c r="K31" s="13" t="s">
        <v>548</v>
      </c>
      <c r="L31" s="12" t="s">
        <v>548</v>
      </c>
      <c r="M31" s="13" t="s">
        <v>115</v>
      </c>
      <c r="N31" s="12" t="s">
        <v>115</v>
      </c>
      <c r="O31" s="12" t="s">
        <v>115</v>
      </c>
    </row>
    <row r="32">
      <c r="A32" s="9" t="s">
        <v>117</v>
      </c>
      <c r="B32" s="10" t="s">
        <v>117</v>
      </c>
      <c r="C32" s="15" t="str">
        <f>HYPERLINK("https://android-cret.corp.google.com/#fusion:id=com.google.android.apps.docs","com.google.android.apps.docs")</f>
        <v>com.google.android.apps.docs</v>
      </c>
      <c r="D32" s="63" t="s">
        <v>549</v>
      </c>
      <c r="E32" s="16" t="s">
        <v>549</v>
      </c>
      <c r="F32" s="17" t="s">
        <v>550</v>
      </c>
      <c r="G32" s="12" t="s">
        <v>550</v>
      </c>
      <c r="H32" s="13" t="s">
        <v>551</v>
      </c>
      <c r="I32" s="12" t="s">
        <v>551</v>
      </c>
      <c r="J32" s="13" t="s">
        <v>350</v>
      </c>
      <c r="K32" s="12" t="s">
        <v>350</v>
      </c>
      <c r="L32" s="12" t="s">
        <v>350</v>
      </c>
      <c r="M32" s="13" t="s">
        <v>552</v>
      </c>
      <c r="N32" s="12" t="s">
        <v>552</v>
      </c>
      <c r="O32" s="12" t="s">
        <v>552</v>
      </c>
    </row>
    <row r="33">
      <c r="A33" s="9" t="s">
        <v>120</v>
      </c>
      <c r="B33" s="10" t="s">
        <v>120</v>
      </c>
      <c r="C33" s="15" t="str">
        <f>HYPERLINK("https://android-cret.corp.google.com/#fusion:id=com.google.android.apps.tachyon","com.google.android.apps.tachyon")</f>
        <v>com.google.android.apps.tachyon</v>
      </c>
      <c r="D33" s="63" t="s">
        <v>553</v>
      </c>
      <c r="E33" s="16" t="s">
        <v>553</v>
      </c>
      <c r="F33" s="17" t="s">
        <v>554</v>
      </c>
      <c r="G33" s="12" t="s">
        <v>554</v>
      </c>
      <c r="H33" s="13" t="s">
        <v>555</v>
      </c>
      <c r="I33" s="12" t="s">
        <v>555</v>
      </c>
      <c r="J33" s="13" t="s">
        <v>556</v>
      </c>
      <c r="K33" s="13" t="s">
        <v>360</v>
      </c>
      <c r="L33" s="12" t="s">
        <v>360</v>
      </c>
      <c r="M33" s="13" t="s">
        <v>361</v>
      </c>
      <c r="N33" s="12" t="s">
        <v>361</v>
      </c>
      <c r="O33" s="12" t="s">
        <v>361</v>
      </c>
    </row>
    <row r="34">
      <c r="A34" s="9" t="s">
        <v>123</v>
      </c>
      <c r="B34" s="10" t="s">
        <v>124</v>
      </c>
      <c r="C34" s="15" t="str">
        <f>HYPERLINK("https://android-cret.corp.google.com/#fusion:id=com.google.android.gm","com.google.android.gm")</f>
        <v>com.google.android.gm</v>
      </c>
      <c r="D34" s="63" t="s">
        <v>557</v>
      </c>
      <c r="E34" s="17" t="s">
        <v>558</v>
      </c>
      <c r="F34" s="17" t="s">
        <v>559</v>
      </c>
      <c r="G34" s="12" t="s">
        <v>559</v>
      </c>
      <c r="H34" s="13" t="s">
        <v>560</v>
      </c>
      <c r="I34" s="12" t="s">
        <v>560</v>
      </c>
      <c r="J34" s="13" t="s">
        <v>561</v>
      </c>
      <c r="K34" s="13" t="s">
        <v>367</v>
      </c>
      <c r="L34" s="12" t="s">
        <v>367</v>
      </c>
      <c r="M34" s="13" t="s">
        <v>368</v>
      </c>
      <c r="N34" s="12" t="s">
        <v>368</v>
      </c>
      <c r="O34" s="12" t="s">
        <v>368</v>
      </c>
    </row>
    <row r="35">
      <c r="A35" s="9" t="s">
        <v>127</v>
      </c>
      <c r="B35" s="10" t="s">
        <v>128</v>
      </c>
      <c r="C35" s="11" t="s">
        <v>129</v>
      </c>
      <c r="D35" s="29" t="s">
        <v>562</v>
      </c>
      <c r="E35" s="12" t="s">
        <v>562</v>
      </c>
      <c r="F35" s="12" t="s">
        <v>562</v>
      </c>
      <c r="G35" s="12" t="s">
        <v>562</v>
      </c>
      <c r="H35" s="12" t="s">
        <v>562</v>
      </c>
      <c r="I35" s="12" t="s">
        <v>562</v>
      </c>
      <c r="J35" s="12" t="s">
        <v>562</v>
      </c>
      <c r="K35" s="12" t="s">
        <v>562</v>
      </c>
      <c r="L35" s="12" t="s">
        <v>562</v>
      </c>
      <c r="M35" s="13" t="s">
        <v>130</v>
      </c>
      <c r="N35" s="12" t="s">
        <v>130</v>
      </c>
      <c r="O35" s="12" t="s">
        <v>130</v>
      </c>
    </row>
    <row r="36">
      <c r="A36" s="9" t="s">
        <v>131</v>
      </c>
      <c r="B36" s="10" t="s">
        <v>131</v>
      </c>
      <c r="C36" s="15" t="str">
        <f>HYPERLINK("https://android-cret.corp.google.com/#fusion:id=com.google.android.apps.maps","com.google.android.apps.maps")</f>
        <v>com.google.android.apps.maps</v>
      </c>
      <c r="D36" s="63" t="s">
        <v>563</v>
      </c>
      <c r="E36" s="16" t="s">
        <v>563</v>
      </c>
      <c r="F36" s="17" t="s">
        <v>564</v>
      </c>
      <c r="G36" s="12" t="s">
        <v>564</v>
      </c>
      <c r="H36" s="13" t="s">
        <v>565</v>
      </c>
      <c r="I36" s="12" t="s">
        <v>565</v>
      </c>
      <c r="J36" s="13" t="s">
        <v>566</v>
      </c>
      <c r="K36" s="13" t="s">
        <v>374</v>
      </c>
      <c r="L36" s="12" t="s">
        <v>374</v>
      </c>
      <c r="M36" s="13" t="s">
        <v>375</v>
      </c>
      <c r="N36" s="12" t="s">
        <v>375</v>
      </c>
      <c r="O36" s="12" t="s">
        <v>375</v>
      </c>
    </row>
    <row r="37">
      <c r="A37" s="9" t="s">
        <v>134</v>
      </c>
      <c r="B37" s="10" t="s">
        <v>135</v>
      </c>
      <c r="C37" s="15" t="str">
        <f>HYPERLINK("https://android-cret.corp.google.com/#fusion:id=com.google.android.apps.photos","com.google.android.apps.photos")</f>
        <v>com.google.android.apps.photos</v>
      </c>
      <c r="D37" s="63" t="s">
        <v>567</v>
      </c>
      <c r="E37" s="16" t="s">
        <v>567</v>
      </c>
      <c r="F37" s="17" t="s">
        <v>568</v>
      </c>
      <c r="G37" s="12" t="s">
        <v>568</v>
      </c>
      <c r="H37" s="13" t="s">
        <v>569</v>
      </c>
      <c r="I37" s="12" t="s">
        <v>569</v>
      </c>
      <c r="J37" s="13" t="s">
        <v>570</v>
      </c>
      <c r="K37" s="13" t="s">
        <v>381</v>
      </c>
      <c r="L37" s="12" t="s">
        <v>381</v>
      </c>
      <c r="M37" s="13" t="s">
        <v>382</v>
      </c>
      <c r="N37" s="12" t="s">
        <v>382</v>
      </c>
      <c r="O37" s="12" t="s">
        <v>382</v>
      </c>
    </row>
    <row r="38">
      <c r="A38" s="9" t="s">
        <v>138</v>
      </c>
      <c r="B38" s="10" t="s">
        <v>139</v>
      </c>
      <c r="C38" s="15" t="str">
        <f>HYPERLINK("https://android-cret.corp.google.com/#fusion:id=com.google.android.videos","com.google.android.videos")</f>
        <v>com.google.android.videos</v>
      </c>
      <c r="D38" s="63" t="s">
        <v>571</v>
      </c>
      <c r="E38" s="16" t="s">
        <v>571</v>
      </c>
      <c r="F38" s="67" t="s">
        <v>571</v>
      </c>
      <c r="G38" s="13" t="s">
        <v>572</v>
      </c>
      <c r="H38" s="13" t="s">
        <v>573</v>
      </c>
      <c r="I38" s="12" t="s">
        <v>573</v>
      </c>
      <c r="J38" s="13" t="s">
        <v>385</v>
      </c>
      <c r="K38" s="13" t="s">
        <v>388</v>
      </c>
      <c r="L38" s="12" t="s">
        <v>388</v>
      </c>
      <c r="M38" s="13" t="s">
        <v>140</v>
      </c>
      <c r="N38" s="12" t="s">
        <v>140</v>
      </c>
      <c r="O38" s="12" t="s">
        <v>140</v>
      </c>
    </row>
    <row r="39">
      <c r="A39" s="9" t="s">
        <v>142</v>
      </c>
      <c r="B39" s="10" t="s">
        <v>143</v>
      </c>
      <c r="C39" s="15" t="str">
        <f>HYPERLINK("https://android-cret.corp.google.com/#fusion:id=com.google.android.webview","com.google.android.webview")</f>
        <v>com.google.android.webview</v>
      </c>
      <c r="D39" s="63" t="s">
        <v>545</v>
      </c>
      <c r="E39" s="16" t="s">
        <v>545</v>
      </c>
      <c r="F39" s="17" t="s">
        <v>546</v>
      </c>
      <c r="G39" s="12" t="s">
        <v>546</v>
      </c>
      <c r="H39" s="13" t="s">
        <v>547</v>
      </c>
      <c r="I39" s="12" t="s">
        <v>547</v>
      </c>
      <c r="J39" s="13" t="s">
        <v>344</v>
      </c>
      <c r="K39" s="13" t="s">
        <v>347</v>
      </c>
      <c r="L39" s="12" t="s">
        <v>347</v>
      </c>
      <c r="M39" s="13" t="s">
        <v>115</v>
      </c>
      <c r="N39" s="12" t="s">
        <v>115</v>
      </c>
      <c r="O39" s="12" t="s">
        <v>115</v>
      </c>
    </row>
    <row r="40">
      <c r="A40" s="9" t="s">
        <v>145</v>
      </c>
      <c r="B40" s="10" t="s">
        <v>145</v>
      </c>
      <c r="C40" s="15" t="str">
        <f>HYPERLINK("https://android-cret.corp.google.com/#fusion:id=com.google.android.youtube","com.google.android.youtube")</f>
        <v>com.google.android.youtube</v>
      </c>
      <c r="D40" s="63" t="s">
        <v>574</v>
      </c>
      <c r="E40" s="16" t="s">
        <v>574</v>
      </c>
      <c r="F40" s="67" t="s">
        <v>574</v>
      </c>
      <c r="G40" s="12" t="s">
        <v>574</v>
      </c>
      <c r="H40" s="13" t="s">
        <v>575</v>
      </c>
      <c r="I40" s="12" t="s">
        <v>575</v>
      </c>
      <c r="J40" s="13" t="s">
        <v>576</v>
      </c>
      <c r="K40" s="13" t="s">
        <v>394</v>
      </c>
      <c r="L40" s="12" t="s">
        <v>394</v>
      </c>
      <c r="M40" s="13" t="s">
        <v>147</v>
      </c>
      <c r="N40" s="12" t="s">
        <v>147</v>
      </c>
      <c r="O40" s="12" t="s">
        <v>147</v>
      </c>
    </row>
    <row r="41">
      <c r="A41" s="9" t="s">
        <v>148</v>
      </c>
      <c r="B41" s="10" t="s">
        <v>149</v>
      </c>
      <c r="C41" s="11" t="s">
        <v>150</v>
      </c>
      <c r="D41" s="63" t="s">
        <v>577</v>
      </c>
      <c r="E41" s="16" t="s">
        <v>577</v>
      </c>
      <c r="F41" s="17" t="s">
        <v>578</v>
      </c>
      <c r="G41" s="12" t="s">
        <v>578</v>
      </c>
      <c r="H41" s="12" t="s">
        <v>578</v>
      </c>
      <c r="I41" s="12" t="s">
        <v>578</v>
      </c>
      <c r="J41" s="13" t="s">
        <v>579</v>
      </c>
      <c r="K41" s="13" t="s">
        <v>399</v>
      </c>
      <c r="L41" s="12" t="s">
        <v>399</v>
      </c>
      <c r="M41" s="13" t="s">
        <v>400</v>
      </c>
      <c r="N41" s="12" t="s">
        <v>400</v>
      </c>
      <c r="O41" s="12" t="s">
        <v>400</v>
      </c>
    </row>
    <row r="42">
      <c r="A42" s="9" t="s">
        <v>153</v>
      </c>
      <c r="B42" s="10" t="s">
        <v>154</v>
      </c>
      <c r="C42" s="15" t="str">
        <f>HYPERLINK("https://android-cret.corp.google.com/#fusion:id=com.google.android.tts","com.google.android.tts")</f>
        <v>com.google.android.tts</v>
      </c>
      <c r="D42" s="29" t="s">
        <v>580</v>
      </c>
      <c r="E42" s="12" t="s">
        <v>580</v>
      </c>
      <c r="F42" s="13" t="s">
        <v>581</v>
      </c>
      <c r="G42" s="12" t="s">
        <v>581</v>
      </c>
      <c r="H42" s="12" t="s">
        <v>581</v>
      </c>
      <c r="I42" s="12" t="s">
        <v>581</v>
      </c>
      <c r="J42" s="12" t="s">
        <v>581</v>
      </c>
      <c r="K42" s="12" t="s">
        <v>581</v>
      </c>
      <c r="L42" s="12" t="s">
        <v>581</v>
      </c>
      <c r="M42" s="13" t="s">
        <v>155</v>
      </c>
      <c r="N42" s="12" t="s">
        <v>155</v>
      </c>
      <c r="O42" s="12" t="s">
        <v>155</v>
      </c>
    </row>
    <row r="43">
      <c r="A43" s="27" t="s">
        <v>157</v>
      </c>
      <c r="B43" s="28" t="s">
        <v>158</v>
      </c>
      <c r="C43" s="11" t="s">
        <v>159</v>
      </c>
      <c r="D43" s="63" t="s">
        <v>582</v>
      </c>
      <c r="E43" s="16" t="s">
        <v>582</v>
      </c>
      <c r="F43" s="17" t="s">
        <v>402</v>
      </c>
      <c r="G43" s="12" t="s">
        <v>402</v>
      </c>
      <c r="H43" s="12" t="s">
        <v>402</v>
      </c>
      <c r="I43" s="12" t="s">
        <v>402</v>
      </c>
      <c r="J43" s="13" t="s">
        <v>403</v>
      </c>
      <c r="K43" s="13" t="s">
        <v>160</v>
      </c>
      <c r="L43" s="12" t="s">
        <v>160</v>
      </c>
      <c r="M43" s="12" t="s">
        <v>160</v>
      </c>
      <c r="N43" s="12" t="s">
        <v>160</v>
      </c>
      <c r="O43" s="12" t="s">
        <v>160</v>
      </c>
    </row>
    <row r="44">
      <c r="A44" s="27" t="s">
        <v>162</v>
      </c>
      <c r="B44" s="28" t="s">
        <v>163</v>
      </c>
      <c r="C44" s="15" t="str">
        <f>HYPERLINK("https://android-cret.corp.google.com/#fusion:id=com.google.android.calendar","com.google.android.calendar")</f>
        <v>com.google.android.calendar</v>
      </c>
      <c r="D44" s="63" t="s">
        <v>583</v>
      </c>
      <c r="E44" s="17" t="s">
        <v>584</v>
      </c>
      <c r="F44" s="17" t="s">
        <v>585</v>
      </c>
      <c r="G44" s="12" t="s">
        <v>585</v>
      </c>
      <c r="H44" s="13" t="s">
        <v>586</v>
      </c>
      <c r="I44" s="12" t="s">
        <v>586</v>
      </c>
      <c r="J44" s="13" t="s">
        <v>406</v>
      </c>
      <c r="K44" s="13" t="s">
        <v>409</v>
      </c>
      <c r="L44" s="12" t="s">
        <v>409</v>
      </c>
      <c r="M44" s="13" t="s">
        <v>410</v>
      </c>
      <c r="N44" s="12" t="s">
        <v>410</v>
      </c>
      <c r="O44" s="12" t="s">
        <v>410</v>
      </c>
    </row>
    <row r="45">
      <c r="A45" s="27" t="s">
        <v>166</v>
      </c>
      <c r="B45" s="28" t="s">
        <v>167</v>
      </c>
      <c r="C45" s="32" t="s">
        <v>168</v>
      </c>
      <c r="D45" s="63" t="s">
        <v>412</v>
      </c>
      <c r="E45" s="17" t="s">
        <v>412</v>
      </c>
      <c r="F45" s="67" t="s">
        <v>412</v>
      </c>
      <c r="G45" s="12" t="s">
        <v>412</v>
      </c>
      <c r="H45" s="12" t="s">
        <v>412</v>
      </c>
      <c r="I45" s="12" t="s">
        <v>412</v>
      </c>
      <c r="J45" s="12" t="s">
        <v>412</v>
      </c>
      <c r="K45" s="12" t="s">
        <v>412</v>
      </c>
      <c r="L45" s="12" t="s">
        <v>412</v>
      </c>
      <c r="M45" s="12" t="s">
        <v>412</v>
      </c>
      <c r="N45" s="12" t="s">
        <v>412</v>
      </c>
      <c r="O45" s="12" t="s">
        <v>412</v>
      </c>
    </row>
    <row r="46">
      <c r="A46" s="33" t="s">
        <v>171</v>
      </c>
      <c r="B46" s="33" t="s">
        <v>171</v>
      </c>
      <c r="C46" s="34" t="s">
        <v>172</v>
      </c>
      <c r="D46" s="68"/>
      <c r="E46" s="68"/>
      <c r="F46" s="68"/>
      <c r="G46" s="8"/>
      <c r="H46" s="13" t="s">
        <v>587</v>
      </c>
      <c r="I46" s="12" t="s">
        <v>587</v>
      </c>
      <c r="J46" s="13" t="s">
        <v>414</v>
      </c>
      <c r="K46" s="13" t="s">
        <v>173</v>
      </c>
      <c r="L46" s="12" t="s">
        <v>173</v>
      </c>
      <c r="M46" s="12" t="s">
        <v>173</v>
      </c>
      <c r="N46" s="12" t="s">
        <v>173</v>
      </c>
      <c r="O46" s="12" t="s">
        <v>173</v>
      </c>
    </row>
    <row r="47">
      <c r="A47" s="27" t="s">
        <v>175</v>
      </c>
      <c r="B47" s="28" t="s">
        <v>175</v>
      </c>
      <c r="C47" s="32" t="s">
        <v>176</v>
      </c>
      <c r="D47" s="63" t="s">
        <v>588</v>
      </c>
      <c r="E47" s="16" t="s">
        <v>588</v>
      </c>
      <c r="F47" s="67" t="s">
        <v>588</v>
      </c>
      <c r="G47" s="12" t="s">
        <v>588</v>
      </c>
      <c r="H47" s="12" t="s">
        <v>588</v>
      </c>
      <c r="I47" s="12" t="s">
        <v>588</v>
      </c>
      <c r="J47" s="13" t="s">
        <v>417</v>
      </c>
      <c r="K47" s="12" t="s">
        <v>417</v>
      </c>
      <c r="L47" s="12" t="s">
        <v>417</v>
      </c>
      <c r="M47" s="12" t="s">
        <v>417</v>
      </c>
      <c r="N47" s="12" t="s">
        <v>417</v>
      </c>
      <c r="O47" s="12" t="s">
        <v>417</v>
      </c>
    </row>
    <row r="48">
      <c r="A48" s="27" t="s">
        <v>179</v>
      </c>
      <c r="B48" s="28" t="s">
        <v>180</v>
      </c>
      <c r="C48" s="15" t="str">
        <f>HYPERLINK("https://android-cret.corp.google.com/#fusion:id=com.google.android.deskclock","com.google.android.deskclock")</f>
        <v>com.google.android.deskclock</v>
      </c>
      <c r="D48" s="63" t="s">
        <v>589</v>
      </c>
      <c r="E48" s="16" t="s">
        <v>589</v>
      </c>
      <c r="F48" s="17" t="s">
        <v>590</v>
      </c>
      <c r="G48" s="12" t="s">
        <v>590</v>
      </c>
      <c r="H48" s="13" t="s">
        <v>418</v>
      </c>
      <c r="I48" s="12" t="s">
        <v>418</v>
      </c>
      <c r="J48" s="13" t="s">
        <v>419</v>
      </c>
      <c r="K48" s="13" t="s">
        <v>181</v>
      </c>
      <c r="L48" s="12" t="s">
        <v>181</v>
      </c>
      <c r="M48" s="13" t="s">
        <v>182</v>
      </c>
      <c r="N48" s="12" t="s">
        <v>182</v>
      </c>
      <c r="O48" s="12" t="s">
        <v>182</v>
      </c>
    </row>
    <row r="49">
      <c r="A49" s="69" t="s">
        <v>183</v>
      </c>
      <c r="B49" s="69" t="s">
        <v>184</v>
      </c>
      <c r="C49" s="35" t="s">
        <v>185</v>
      </c>
      <c r="D49" s="63" t="s">
        <v>591</v>
      </c>
      <c r="E49" s="16" t="s">
        <v>591</v>
      </c>
      <c r="F49" s="17" t="s">
        <v>422</v>
      </c>
      <c r="G49" s="12" t="s">
        <v>422</v>
      </c>
      <c r="H49" s="12" t="s">
        <v>422</v>
      </c>
      <c r="I49" s="12" t="s">
        <v>422</v>
      </c>
      <c r="J49" s="13" t="s">
        <v>423</v>
      </c>
      <c r="K49" s="13" t="s">
        <v>186</v>
      </c>
      <c r="L49" s="12" t="s">
        <v>186</v>
      </c>
      <c r="M49" s="12" t="s">
        <v>186</v>
      </c>
      <c r="N49" s="12" t="s">
        <v>186</v>
      </c>
      <c r="O49" s="12" t="s">
        <v>186</v>
      </c>
    </row>
    <row r="50">
      <c r="A50" s="27" t="s">
        <v>187</v>
      </c>
      <c r="B50" s="28" t="s">
        <v>188</v>
      </c>
      <c r="C50" s="15" t="str">
        <f>HYPERLINK("https://android-cret.corp.google.com/#fusion:id=com.google.android.contacts","com.google.android.contacts")</f>
        <v>com.google.android.contacts</v>
      </c>
      <c r="D50" s="63" t="s">
        <v>592</v>
      </c>
      <c r="E50" s="16" t="s">
        <v>592</v>
      </c>
      <c r="F50" s="17" t="s">
        <v>593</v>
      </c>
      <c r="G50" s="12" t="s">
        <v>593</v>
      </c>
      <c r="H50" s="13" t="s">
        <v>594</v>
      </c>
      <c r="I50" s="12" t="s">
        <v>594</v>
      </c>
      <c r="J50" s="13" t="s">
        <v>426</v>
      </c>
      <c r="K50" s="13" t="s">
        <v>429</v>
      </c>
      <c r="L50" s="12" t="s">
        <v>429</v>
      </c>
      <c r="M50" s="13" t="s">
        <v>189</v>
      </c>
      <c r="N50" s="12" t="s">
        <v>189</v>
      </c>
      <c r="O50" s="12" t="s">
        <v>189</v>
      </c>
    </row>
    <row r="51">
      <c r="A51" s="27" t="s">
        <v>191</v>
      </c>
      <c r="B51" s="28" t="s">
        <v>191</v>
      </c>
      <c r="C51" s="15" t="str">
        <f>HYPERLINK("https://android-cret.corp.google.com/#fusion:id=com.google.android.keep","com.google.android.keep")</f>
        <v>com.google.android.keep</v>
      </c>
      <c r="D51" s="63" t="s">
        <v>595</v>
      </c>
      <c r="E51" s="16" t="s">
        <v>595</v>
      </c>
      <c r="F51" s="17" t="s">
        <v>596</v>
      </c>
      <c r="G51" s="12" t="s">
        <v>596</v>
      </c>
      <c r="H51" s="12" t="s">
        <v>596</v>
      </c>
      <c r="I51" s="12" t="s">
        <v>596</v>
      </c>
      <c r="J51" s="13" t="s">
        <v>597</v>
      </c>
      <c r="K51" s="13" t="s">
        <v>598</v>
      </c>
      <c r="L51" s="12" t="s">
        <v>598</v>
      </c>
      <c r="M51" s="13" t="s">
        <v>436</v>
      </c>
      <c r="N51" s="12" t="s">
        <v>436</v>
      </c>
      <c r="O51" s="12" t="s">
        <v>436</v>
      </c>
    </row>
    <row r="52">
      <c r="A52" s="27" t="s">
        <v>194</v>
      </c>
      <c r="B52" s="28" t="s">
        <v>195</v>
      </c>
      <c r="C52" s="15" t="str">
        <f>HYPERLINK("https://android-cret.corp.google.com/#fusion:id=com.google.android.inputmethod.latin","com.google.android.inputmethod.latin")</f>
        <v>com.google.android.inputmethod.latin</v>
      </c>
      <c r="D52" s="63" t="s">
        <v>599</v>
      </c>
      <c r="E52" s="16" t="s">
        <v>599</v>
      </c>
      <c r="F52" s="17" t="s">
        <v>600</v>
      </c>
      <c r="G52" s="12" t="s">
        <v>600</v>
      </c>
      <c r="H52" s="13" t="s">
        <v>601</v>
      </c>
      <c r="I52" s="12" t="s">
        <v>601</v>
      </c>
      <c r="J52" s="13" t="s">
        <v>439</v>
      </c>
      <c r="K52" s="13" t="s">
        <v>442</v>
      </c>
      <c r="L52" s="70" t="s">
        <v>442</v>
      </c>
      <c r="M52" s="13" t="s">
        <v>196</v>
      </c>
      <c r="N52" s="12" t="s">
        <v>196</v>
      </c>
      <c r="O52" s="12" t="s">
        <v>196</v>
      </c>
    </row>
    <row r="53">
      <c r="A53" s="27" t="s">
        <v>198</v>
      </c>
      <c r="B53" s="28" t="s">
        <v>199</v>
      </c>
      <c r="C53" s="15" t="str">
        <f>HYPERLINK("https://android-cret.corp.google.com/#fusion:id=com.google.android.marvin.talkback","com.google.android.marvin.talkback")</f>
        <v>com.google.android.marvin.talkback</v>
      </c>
      <c r="D53" s="63" t="s">
        <v>602</v>
      </c>
      <c r="E53" s="16" t="s">
        <v>602</v>
      </c>
      <c r="F53" s="17" t="s">
        <v>603</v>
      </c>
      <c r="G53" s="12" t="s">
        <v>603</v>
      </c>
      <c r="H53" s="13" t="s">
        <v>604</v>
      </c>
      <c r="I53" s="12" t="s">
        <v>604</v>
      </c>
      <c r="J53" s="13" t="s">
        <v>445</v>
      </c>
      <c r="K53" s="13" t="s">
        <v>447</v>
      </c>
      <c r="L53" s="70" t="s">
        <v>447</v>
      </c>
      <c r="M53" s="13" t="s">
        <v>200</v>
      </c>
      <c r="N53" s="12" t="s">
        <v>200</v>
      </c>
      <c r="O53" s="12" t="s">
        <v>200</v>
      </c>
    </row>
    <row r="54">
      <c r="A54" s="27" t="s">
        <v>202</v>
      </c>
      <c r="B54" s="28" t="s">
        <v>202</v>
      </c>
      <c r="C54" s="15" t="str">
        <f>HYPERLINK("https://android-cret.corp.google.com/#fusion:id=com.google.android.apps.messaging","com.google.android.apps.messaging")</f>
        <v>com.google.android.apps.messaging</v>
      </c>
      <c r="D54" s="29" t="s">
        <v>605</v>
      </c>
      <c r="E54" s="12" t="s">
        <v>605</v>
      </c>
      <c r="F54" s="13" t="s">
        <v>606</v>
      </c>
      <c r="G54" s="12" t="s">
        <v>606</v>
      </c>
      <c r="H54" s="13" t="s">
        <v>607</v>
      </c>
      <c r="I54" s="12" t="s">
        <v>607</v>
      </c>
      <c r="J54" s="13" t="s">
        <v>608</v>
      </c>
      <c r="K54" s="13" t="s">
        <v>454</v>
      </c>
      <c r="L54" s="70" t="s">
        <v>454</v>
      </c>
      <c r="M54" s="13" t="s">
        <v>203</v>
      </c>
      <c r="N54" s="12" t="s">
        <v>203</v>
      </c>
      <c r="O54" s="12" t="s">
        <v>203</v>
      </c>
    </row>
    <row r="55">
      <c r="A55" s="36" t="s">
        <v>205</v>
      </c>
      <c r="B55" s="37" t="s">
        <v>206</v>
      </c>
      <c r="C55" s="37" t="s">
        <v>207</v>
      </c>
      <c r="D55" s="29" t="s">
        <v>169</v>
      </c>
      <c r="E55" s="13" t="s">
        <v>169</v>
      </c>
      <c r="F55" s="12" t="s">
        <v>169</v>
      </c>
      <c r="G55" s="12" t="s">
        <v>169</v>
      </c>
      <c r="H55" s="12" t="s">
        <v>169</v>
      </c>
      <c r="I55" s="12" t="s">
        <v>169</v>
      </c>
      <c r="J55" s="12" t="s">
        <v>169</v>
      </c>
      <c r="K55" s="12" t="s">
        <v>169</v>
      </c>
      <c r="L55" s="12" t="s">
        <v>169</v>
      </c>
      <c r="M55" s="12" t="s">
        <v>169</v>
      </c>
      <c r="N55" s="12" t="s">
        <v>169</v>
      </c>
      <c r="O55" s="12" t="s">
        <v>169</v>
      </c>
    </row>
    <row r="56">
      <c r="A56" s="36" t="s">
        <v>208</v>
      </c>
      <c r="B56" s="37" t="s">
        <v>209</v>
      </c>
      <c r="C56" s="37" t="s">
        <v>210</v>
      </c>
      <c r="D56" s="52" t="s">
        <v>609</v>
      </c>
      <c r="E56" s="13" t="s">
        <v>211</v>
      </c>
      <c r="F56" s="12" t="s">
        <v>211</v>
      </c>
      <c r="G56" s="12" t="s">
        <v>211</v>
      </c>
      <c r="H56" s="12" t="s">
        <v>211</v>
      </c>
      <c r="I56" s="12" t="s">
        <v>211</v>
      </c>
      <c r="J56" s="12" t="s">
        <v>211</v>
      </c>
      <c r="K56" s="12" t="s">
        <v>211</v>
      </c>
      <c r="L56" s="12" t="s">
        <v>211</v>
      </c>
      <c r="M56" s="12" t="s">
        <v>211</v>
      </c>
      <c r="N56" s="12" t="s">
        <v>211</v>
      </c>
      <c r="O56" s="12" t="s">
        <v>211</v>
      </c>
    </row>
    <row r="57">
      <c r="A57" s="36"/>
      <c r="B57" s="37"/>
      <c r="C57" s="37"/>
      <c r="D57" s="6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>
      <c r="A58" s="48" t="s">
        <v>213</v>
      </c>
      <c r="B58" s="5"/>
      <c r="C58" s="58"/>
      <c r="D58" s="63"/>
      <c r="E58" s="8"/>
      <c r="F58" s="8"/>
      <c r="G58" s="8"/>
      <c r="H58" s="8"/>
      <c r="I58" s="8"/>
      <c r="J58" s="42"/>
      <c r="K58" s="42"/>
      <c r="L58" s="42"/>
      <c r="M58" s="42"/>
      <c r="N58" s="12"/>
      <c r="O58" s="12"/>
    </row>
    <row r="59">
      <c r="A59" s="40" t="s">
        <v>214</v>
      </c>
      <c r="B59" s="41" t="s">
        <v>215</v>
      </c>
      <c r="C59" s="15" t="str">
        <f>HYPERLINK("https://android-cret.corp.google.com/#fusion:id=com.google.android.apps.assistant","com.google.android.apps.assistant")</f>
        <v>com.google.android.apps.assistant</v>
      </c>
      <c r="D59" s="63" t="s">
        <v>610</v>
      </c>
      <c r="E59" s="17" t="s">
        <v>271</v>
      </c>
      <c r="F59" s="67" t="s">
        <v>271</v>
      </c>
      <c r="G59" s="12" t="s">
        <v>271</v>
      </c>
      <c r="H59" s="12" t="s">
        <v>271</v>
      </c>
      <c r="I59" s="12" t="s">
        <v>271</v>
      </c>
      <c r="J59" s="13" t="s">
        <v>46</v>
      </c>
      <c r="K59" s="12" t="s">
        <v>46</v>
      </c>
      <c r="L59" s="12" t="s">
        <v>46</v>
      </c>
      <c r="M59" s="12" t="s">
        <v>46</v>
      </c>
      <c r="N59" s="12" t="s">
        <v>46</v>
      </c>
      <c r="O59" s="12" t="s">
        <v>46</v>
      </c>
    </row>
    <row r="60">
      <c r="A60" s="40" t="s">
        <v>217</v>
      </c>
      <c r="B60" s="41" t="s">
        <v>218</v>
      </c>
      <c r="C60" s="15" t="str">
        <f>HYPERLINK("https://android-cret.corp.google.com/#fusion:id=com.google.android.apps.tachyon","com.google.android.apps.tachyon")</f>
        <v>com.google.android.apps.tachyon</v>
      </c>
      <c r="D60" s="63" t="s">
        <v>553</v>
      </c>
      <c r="E60" s="16" t="s">
        <v>553</v>
      </c>
      <c r="F60" s="17" t="s">
        <v>554</v>
      </c>
      <c r="G60" s="12" t="s">
        <v>554</v>
      </c>
      <c r="H60" s="13" t="s">
        <v>555</v>
      </c>
      <c r="I60" s="12" t="s">
        <v>555</v>
      </c>
      <c r="J60" s="13" t="s">
        <v>556</v>
      </c>
      <c r="K60" s="13" t="s">
        <v>360</v>
      </c>
      <c r="L60" s="12" t="s">
        <v>360</v>
      </c>
      <c r="M60" s="13" t="s">
        <v>361</v>
      </c>
      <c r="N60" s="12" t="s">
        <v>361</v>
      </c>
      <c r="O60" s="12" t="s">
        <v>361</v>
      </c>
    </row>
    <row r="61">
      <c r="A61" s="40" t="s">
        <v>219</v>
      </c>
      <c r="B61" s="41" t="s">
        <v>220</v>
      </c>
      <c r="C61" s="15" t="str">
        <f>HYPERLINK("https://android-cret.corp.google.com/#fusion:id=com.google.android.apps.nbu.files","com.google.android.apps.nbu.files")</f>
        <v>com.google.android.apps.nbu.files</v>
      </c>
      <c r="D61" s="29" t="s">
        <v>611</v>
      </c>
      <c r="E61" s="12" t="s">
        <v>611</v>
      </c>
      <c r="F61" s="13" t="s">
        <v>612</v>
      </c>
      <c r="G61" s="12" t="s">
        <v>612</v>
      </c>
      <c r="H61" s="13" t="s">
        <v>613</v>
      </c>
      <c r="I61" s="12" t="s">
        <v>613</v>
      </c>
      <c r="J61" s="13" t="s">
        <v>614</v>
      </c>
      <c r="K61" s="13" t="s">
        <v>615</v>
      </c>
      <c r="L61" s="12" t="s">
        <v>615</v>
      </c>
      <c r="M61" s="13" t="s">
        <v>460</v>
      </c>
      <c r="N61" s="12" t="s">
        <v>460</v>
      </c>
      <c r="O61" s="12" t="s">
        <v>460</v>
      </c>
    </row>
    <row r="62">
      <c r="A62" s="40" t="s">
        <v>223</v>
      </c>
      <c r="B62" s="41" t="s">
        <v>224</v>
      </c>
      <c r="C62" s="15" t="str">
        <f>HYPERLINK("https://android-cret.corp.google.com/#fusion:id=com.google.android.apps.photosgo","com.google.android.apps.photosgo")</f>
        <v>com.google.android.apps.photosgo</v>
      </c>
      <c r="D62" s="29" t="s">
        <v>616</v>
      </c>
      <c r="E62" s="12" t="s">
        <v>616</v>
      </c>
      <c r="F62" s="12" t="s">
        <v>616</v>
      </c>
      <c r="G62" s="12" t="s">
        <v>616</v>
      </c>
      <c r="H62" s="13" t="s">
        <v>225</v>
      </c>
      <c r="I62" s="12" t="s">
        <v>225</v>
      </c>
      <c r="J62" s="12" t="s">
        <v>225</v>
      </c>
      <c r="K62" s="12" t="s">
        <v>225</v>
      </c>
      <c r="L62" s="12" t="s">
        <v>225</v>
      </c>
      <c r="M62" s="12" t="s">
        <v>225</v>
      </c>
      <c r="N62" s="12" t="s">
        <v>225</v>
      </c>
      <c r="O62" s="12" t="s">
        <v>225</v>
      </c>
    </row>
    <row r="63">
      <c r="A63" s="40" t="s">
        <v>226</v>
      </c>
      <c r="B63" s="41" t="s">
        <v>227</v>
      </c>
      <c r="C63" s="15" t="str">
        <f>HYPERLINK("https://android-cret.corp.google.com/#fusion:id=com.google.android.gms","com.google.android.gms")</f>
        <v>com.google.android.gms</v>
      </c>
      <c r="D63" s="63" t="s">
        <v>617</v>
      </c>
      <c r="E63" s="17" t="s">
        <v>495</v>
      </c>
      <c r="F63" s="17" t="s">
        <v>618</v>
      </c>
      <c r="G63" s="12" t="s">
        <v>618</v>
      </c>
      <c r="H63" s="13" t="s">
        <v>619</v>
      </c>
      <c r="I63" s="13" t="s">
        <v>620</v>
      </c>
      <c r="J63" s="13" t="s">
        <v>466</v>
      </c>
      <c r="K63" s="13" t="s">
        <v>469</v>
      </c>
      <c r="L63" s="12" t="s">
        <v>469</v>
      </c>
      <c r="M63" s="13" t="s">
        <v>621</v>
      </c>
      <c r="N63" s="12" t="s">
        <v>621</v>
      </c>
      <c r="O63" s="12" t="s">
        <v>621</v>
      </c>
    </row>
    <row r="64">
      <c r="A64" s="40" t="s">
        <v>229</v>
      </c>
      <c r="B64" s="41" t="s">
        <v>230</v>
      </c>
      <c r="C64" s="15" t="str">
        <f>HYPERLINK("https://android-cret.corp.google.com/#fusion:id=com.google.android.apps.searchlite","com.google.android.apps.searchlite")</f>
        <v>com.google.android.apps.searchlite</v>
      </c>
      <c r="D64" s="63" t="s">
        <v>622</v>
      </c>
      <c r="E64" s="16" t="s">
        <v>622</v>
      </c>
      <c r="F64" s="67" t="s">
        <v>622</v>
      </c>
      <c r="G64" s="12" t="s">
        <v>622</v>
      </c>
      <c r="H64" s="12" t="s">
        <v>622</v>
      </c>
      <c r="I64" s="12" t="s">
        <v>622</v>
      </c>
      <c r="J64" s="13" t="s">
        <v>473</v>
      </c>
      <c r="K64" s="12" t="s">
        <v>473</v>
      </c>
      <c r="L64" s="12" t="s">
        <v>473</v>
      </c>
      <c r="M64" s="13" t="s">
        <v>475</v>
      </c>
      <c r="N64" s="12" t="s">
        <v>475</v>
      </c>
      <c r="O64" s="12" t="s">
        <v>475</v>
      </c>
    </row>
    <row r="65">
      <c r="A65" s="40" t="s">
        <v>233</v>
      </c>
      <c r="B65" s="41" t="s">
        <v>234</v>
      </c>
      <c r="C65" s="15" t="str">
        <f>HYPERLINK("https://android-cret.corp.google.com/#fusion:id=com.google.android.inputmethod.latin","com.google.android.inputmethod.latin")</f>
        <v>com.google.android.inputmethod.latin</v>
      </c>
      <c r="D65" s="63" t="s">
        <v>599</v>
      </c>
      <c r="E65" s="16" t="s">
        <v>599</v>
      </c>
      <c r="F65" s="17" t="s">
        <v>600</v>
      </c>
      <c r="G65" s="12" t="s">
        <v>600</v>
      </c>
      <c r="H65" s="13" t="s">
        <v>601</v>
      </c>
      <c r="I65" s="12" t="s">
        <v>601</v>
      </c>
      <c r="J65" s="13" t="s">
        <v>439</v>
      </c>
      <c r="K65" s="13" t="s">
        <v>442</v>
      </c>
      <c r="L65" s="12" t="s">
        <v>442</v>
      </c>
      <c r="M65" s="13" t="s">
        <v>196</v>
      </c>
      <c r="N65" s="12" t="s">
        <v>196</v>
      </c>
      <c r="O65" s="12" t="s">
        <v>196</v>
      </c>
    </row>
    <row r="66">
      <c r="A66" s="40" t="s">
        <v>235</v>
      </c>
      <c r="B66" s="41" t="s">
        <v>236</v>
      </c>
      <c r="C66" s="15" t="str">
        <f>HYPERLINK("https://android-cret.corp.google.com/#fusion:id=com.google.android.apps.messaging","com.google.android.apps.messaging")</f>
        <v>com.google.android.apps.messaging</v>
      </c>
      <c r="D66" s="63" t="s">
        <v>605</v>
      </c>
      <c r="E66" s="16" t="s">
        <v>605</v>
      </c>
      <c r="F66" s="17" t="s">
        <v>606</v>
      </c>
      <c r="G66" s="12" t="s">
        <v>606</v>
      </c>
      <c r="H66" s="13" t="s">
        <v>607</v>
      </c>
      <c r="I66" s="12" t="s">
        <v>607</v>
      </c>
      <c r="J66" s="13" t="s">
        <v>608</v>
      </c>
      <c r="K66" s="13" t="s">
        <v>454</v>
      </c>
      <c r="L66" s="12" t="s">
        <v>454</v>
      </c>
      <c r="M66" s="13" t="s">
        <v>203</v>
      </c>
      <c r="N66" s="12" t="s">
        <v>203</v>
      </c>
      <c r="O66" s="12" t="s">
        <v>203</v>
      </c>
    </row>
    <row r="67">
      <c r="D67" s="64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</row>
    <row r="68">
      <c r="D68" s="65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>
      <c r="D69" s="64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</row>
    <row r="70">
      <c r="D70" s="64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</row>
    <row r="71">
      <c r="D71" s="64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</row>
    <row r="72">
      <c r="D72" s="64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</row>
    <row r="73">
      <c r="D73" s="64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</row>
    <row r="74">
      <c r="D74" s="64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</row>
    <row r="75">
      <c r="D75" s="64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</row>
    <row r="76">
      <c r="D76" s="64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</row>
    <row r="77">
      <c r="D77" s="64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</row>
    <row r="78">
      <c r="D78" s="64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</row>
    <row r="79">
      <c r="D79" s="64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</row>
    <row r="80">
      <c r="D80" s="64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</row>
    <row r="81">
      <c r="D81" s="64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</row>
    <row r="82">
      <c r="D82" s="64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</row>
    <row r="83">
      <c r="D83" s="64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</row>
    <row r="84">
      <c r="D84" s="64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</row>
    <row r="85">
      <c r="D85" s="64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</row>
    <row r="86">
      <c r="D86" s="64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</row>
    <row r="87">
      <c r="D87" s="64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</row>
    <row r="88">
      <c r="D88" s="64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</row>
    <row r="89">
      <c r="D89" s="64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</row>
    <row r="90">
      <c r="D90" s="64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</row>
    <row r="91">
      <c r="D91" s="64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</row>
    <row r="92">
      <c r="D92" s="64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</row>
    <row r="93">
      <c r="D93" s="64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</row>
    <row r="94">
      <c r="D94" s="64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</row>
    <row r="95">
      <c r="D95" s="64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</row>
    <row r="96">
      <c r="D96" s="64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</row>
    <row r="97">
      <c r="D97" s="64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</row>
    <row r="98">
      <c r="D98" s="64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</row>
    <row r="99">
      <c r="D99" s="64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</row>
    <row r="100">
      <c r="D100" s="64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</row>
    <row r="101">
      <c r="D101" s="64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</row>
    <row r="102">
      <c r="D102" s="64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</row>
    <row r="103">
      <c r="D103" s="64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</row>
    <row r="104">
      <c r="D104" s="64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</row>
    <row r="105">
      <c r="D105" s="64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</row>
    <row r="106">
      <c r="D106" s="64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</row>
    <row r="107">
      <c r="D107" s="64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</row>
    <row r="108">
      <c r="D108" s="64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</row>
    <row r="109">
      <c r="D109" s="64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</row>
    <row r="110">
      <c r="D110" s="64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</row>
    <row r="111">
      <c r="D111" s="64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</row>
    <row r="112">
      <c r="D112" s="64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</row>
    <row r="113">
      <c r="D113" s="64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</row>
    <row r="114">
      <c r="D114" s="64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</row>
    <row r="115">
      <c r="D115" s="64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</row>
    <row r="116">
      <c r="D116" s="64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</row>
    <row r="117">
      <c r="D117" s="64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</row>
    <row r="118">
      <c r="D118" s="64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</row>
    <row r="119">
      <c r="D119" s="64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</row>
    <row r="120">
      <c r="D120" s="64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</row>
    <row r="121">
      <c r="D121" s="64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</row>
    <row r="122">
      <c r="D122" s="64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</row>
    <row r="123">
      <c r="D123" s="64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</row>
    <row r="124">
      <c r="D124" s="64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</row>
    <row r="125">
      <c r="D125" s="64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</row>
    <row r="126">
      <c r="D126" s="64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</row>
    <row r="127">
      <c r="D127" s="64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</row>
    <row r="128">
      <c r="D128" s="64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</row>
    <row r="129">
      <c r="D129" s="64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</row>
    <row r="130">
      <c r="D130" s="64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</row>
    <row r="131">
      <c r="D131" s="64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</row>
    <row r="132">
      <c r="D132" s="64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</row>
    <row r="133">
      <c r="D133" s="64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</row>
    <row r="134">
      <c r="D134" s="64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</row>
    <row r="135">
      <c r="D135" s="64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</row>
    <row r="136">
      <c r="D136" s="64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</row>
    <row r="137">
      <c r="D137" s="64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</row>
    <row r="138">
      <c r="D138" s="64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</row>
    <row r="139">
      <c r="D139" s="64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</row>
    <row r="140">
      <c r="D140" s="64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</row>
    <row r="141">
      <c r="D141" s="64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</row>
    <row r="142">
      <c r="D142" s="64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</row>
    <row r="143">
      <c r="D143" s="64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</row>
    <row r="144">
      <c r="D144" s="64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</row>
    <row r="145">
      <c r="D145" s="64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</row>
    <row r="146">
      <c r="D146" s="64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</row>
    <row r="147">
      <c r="D147" s="64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</row>
    <row r="148">
      <c r="D148" s="64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</row>
    <row r="149">
      <c r="D149" s="64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</row>
    <row r="150">
      <c r="D150" s="64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</row>
    <row r="151">
      <c r="D151" s="64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</row>
    <row r="152">
      <c r="D152" s="64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</row>
    <row r="153">
      <c r="D153" s="64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</row>
    <row r="154">
      <c r="D154" s="64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</row>
    <row r="155">
      <c r="D155" s="64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</row>
    <row r="156">
      <c r="D156" s="64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</row>
    <row r="157">
      <c r="D157" s="64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</row>
    <row r="158">
      <c r="D158" s="64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</row>
    <row r="159">
      <c r="D159" s="64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</row>
    <row r="160">
      <c r="D160" s="64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</row>
    <row r="161">
      <c r="D161" s="64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</row>
    <row r="162">
      <c r="D162" s="64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</row>
    <row r="163">
      <c r="D163" s="64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</row>
    <row r="164">
      <c r="D164" s="64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</row>
    <row r="165">
      <c r="D165" s="64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</row>
    <row r="166">
      <c r="D166" s="64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</row>
    <row r="167">
      <c r="D167" s="64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</row>
    <row r="168">
      <c r="D168" s="64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</row>
    <row r="169">
      <c r="D169" s="64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</row>
    <row r="170">
      <c r="D170" s="64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</row>
    <row r="171">
      <c r="D171" s="64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</row>
    <row r="172">
      <c r="D172" s="64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</row>
    <row r="173">
      <c r="D173" s="64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</row>
    <row r="174">
      <c r="D174" s="64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</row>
    <row r="175">
      <c r="D175" s="64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</row>
    <row r="176">
      <c r="D176" s="64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</row>
    <row r="177">
      <c r="D177" s="64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</row>
    <row r="178">
      <c r="D178" s="64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</row>
    <row r="179">
      <c r="D179" s="64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</row>
    <row r="180">
      <c r="D180" s="64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</row>
    <row r="181">
      <c r="D181" s="64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</row>
    <row r="182">
      <c r="D182" s="64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</row>
    <row r="183">
      <c r="D183" s="64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</row>
    <row r="184">
      <c r="D184" s="64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</row>
    <row r="185">
      <c r="D185" s="64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</row>
    <row r="186">
      <c r="D186" s="64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</row>
    <row r="187">
      <c r="D187" s="64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</row>
    <row r="188">
      <c r="D188" s="64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</row>
    <row r="189">
      <c r="D189" s="64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</row>
    <row r="190">
      <c r="D190" s="64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</row>
    <row r="191">
      <c r="D191" s="64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</row>
    <row r="192">
      <c r="D192" s="64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</row>
    <row r="193">
      <c r="D193" s="64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</row>
    <row r="194">
      <c r="D194" s="64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</row>
    <row r="195">
      <c r="D195" s="64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</row>
    <row r="196">
      <c r="D196" s="64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</row>
    <row r="197">
      <c r="D197" s="64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</row>
    <row r="198">
      <c r="D198" s="64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</row>
    <row r="199">
      <c r="D199" s="64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</row>
    <row r="200">
      <c r="D200" s="64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</row>
    <row r="201">
      <c r="D201" s="64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</row>
    <row r="202">
      <c r="D202" s="64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</row>
    <row r="203">
      <c r="D203" s="64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</row>
    <row r="204">
      <c r="D204" s="64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</row>
    <row r="205">
      <c r="D205" s="64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</row>
    <row r="206">
      <c r="D206" s="64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</row>
    <row r="207">
      <c r="D207" s="64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</row>
    <row r="208">
      <c r="D208" s="64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</row>
    <row r="209">
      <c r="D209" s="64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</row>
    <row r="210">
      <c r="D210" s="64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</row>
    <row r="211">
      <c r="D211" s="64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</row>
    <row r="212">
      <c r="D212" s="64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</row>
    <row r="213">
      <c r="D213" s="64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</row>
    <row r="214">
      <c r="D214" s="64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</row>
    <row r="215">
      <c r="D215" s="64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</row>
    <row r="216">
      <c r="D216" s="64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</row>
    <row r="217">
      <c r="D217" s="64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</row>
    <row r="218">
      <c r="D218" s="64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</row>
    <row r="219">
      <c r="D219" s="64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</row>
    <row r="220">
      <c r="D220" s="64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</row>
    <row r="221">
      <c r="D221" s="64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</row>
    <row r="222">
      <c r="D222" s="64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</row>
    <row r="223">
      <c r="D223" s="64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</row>
    <row r="224">
      <c r="D224" s="64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</row>
    <row r="225">
      <c r="D225" s="64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</row>
    <row r="226">
      <c r="D226" s="64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</row>
    <row r="227">
      <c r="D227" s="64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</row>
    <row r="228">
      <c r="D228" s="64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</row>
    <row r="229">
      <c r="D229" s="64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</row>
    <row r="230">
      <c r="D230" s="64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</row>
    <row r="231">
      <c r="D231" s="64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</row>
    <row r="232">
      <c r="D232" s="64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</row>
    <row r="233">
      <c r="D233" s="64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</row>
    <row r="234">
      <c r="D234" s="64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</row>
    <row r="235">
      <c r="D235" s="64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</row>
    <row r="236">
      <c r="D236" s="64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</row>
    <row r="237">
      <c r="D237" s="64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</row>
    <row r="238">
      <c r="D238" s="64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</row>
    <row r="239">
      <c r="D239" s="64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</row>
    <row r="240">
      <c r="D240" s="64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</row>
    <row r="241">
      <c r="D241" s="64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</row>
    <row r="242">
      <c r="D242" s="64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</row>
    <row r="243">
      <c r="D243" s="64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</row>
    <row r="244">
      <c r="D244" s="64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</row>
    <row r="245">
      <c r="D245" s="64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</row>
    <row r="246">
      <c r="D246" s="64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</row>
    <row r="247">
      <c r="D247" s="64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</row>
    <row r="248">
      <c r="D248" s="64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</row>
    <row r="249">
      <c r="D249" s="64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</row>
    <row r="250">
      <c r="D250" s="64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</row>
    <row r="251">
      <c r="D251" s="64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</row>
    <row r="252">
      <c r="D252" s="64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</row>
    <row r="253">
      <c r="D253" s="64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</row>
    <row r="254">
      <c r="D254" s="64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</row>
    <row r="255">
      <c r="D255" s="64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</row>
    <row r="256">
      <c r="D256" s="64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</row>
    <row r="257">
      <c r="D257" s="64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</row>
    <row r="258">
      <c r="D258" s="64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</row>
    <row r="259">
      <c r="D259" s="64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</row>
    <row r="260">
      <c r="D260" s="64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</row>
    <row r="261">
      <c r="D261" s="64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</row>
    <row r="262">
      <c r="D262" s="64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</row>
    <row r="263">
      <c r="D263" s="64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</row>
    <row r="264">
      <c r="D264" s="64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</row>
    <row r="265">
      <c r="D265" s="64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</row>
    <row r="266">
      <c r="D266" s="64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</row>
    <row r="267">
      <c r="D267" s="64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</row>
    <row r="268">
      <c r="D268" s="64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</row>
    <row r="269">
      <c r="D269" s="64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</row>
    <row r="270">
      <c r="D270" s="64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</row>
    <row r="271">
      <c r="D271" s="64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</row>
    <row r="272">
      <c r="D272" s="64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</row>
    <row r="273">
      <c r="D273" s="64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</row>
    <row r="274">
      <c r="D274" s="64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</row>
    <row r="275">
      <c r="D275" s="64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</row>
    <row r="276">
      <c r="D276" s="64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</row>
    <row r="277">
      <c r="D277" s="64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</row>
    <row r="278">
      <c r="D278" s="64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</row>
    <row r="279">
      <c r="D279" s="64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</row>
    <row r="280">
      <c r="D280" s="64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</row>
    <row r="281">
      <c r="D281" s="64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</row>
    <row r="282">
      <c r="D282" s="64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</row>
    <row r="283">
      <c r="D283" s="64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</row>
    <row r="284">
      <c r="D284" s="64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</row>
    <row r="285">
      <c r="D285" s="64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</row>
    <row r="286">
      <c r="D286" s="64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</row>
    <row r="287">
      <c r="D287" s="64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</row>
    <row r="288">
      <c r="D288" s="64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</row>
    <row r="289">
      <c r="D289" s="64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</row>
    <row r="290">
      <c r="D290" s="64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</row>
    <row r="291">
      <c r="D291" s="64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</row>
    <row r="292">
      <c r="D292" s="64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</row>
    <row r="293">
      <c r="D293" s="64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</row>
    <row r="294">
      <c r="D294" s="64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</row>
    <row r="295">
      <c r="D295" s="64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</row>
    <row r="296">
      <c r="D296" s="64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</row>
    <row r="297">
      <c r="D297" s="64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</row>
    <row r="298">
      <c r="D298" s="64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</row>
    <row r="299">
      <c r="D299" s="64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</row>
    <row r="300">
      <c r="D300" s="64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</row>
    <row r="301">
      <c r="D301" s="64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</row>
    <row r="302">
      <c r="D302" s="64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</row>
    <row r="303">
      <c r="D303" s="64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</row>
    <row r="304">
      <c r="D304" s="64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</row>
    <row r="305">
      <c r="D305" s="64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</row>
    <row r="306">
      <c r="D306" s="64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</row>
    <row r="307">
      <c r="D307" s="64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</row>
    <row r="308">
      <c r="D308" s="64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</row>
    <row r="309">
      <c r="D309" s="64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</row>
    <row r="310">
      <c r="D310" s="64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</row>
    <row r="311">
      <c r="D311" s="64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</row>
    <row r="312">
      <c r="D312" s="64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</row>
    <row r="313">
      <c r="D313" s="64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</row>
    <row r="314">
      <c r="D314" s="64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</row>
    <row r="315">
      <c r="D315" s="64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</row>
    <row r="316">
      <c r="D316" s="64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</row>
    <row r="317">
      <c r="D317" s="64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</row>
    <row r="318">
      <c r="D318" s="64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</row>
    <row r="319">
      <c r="D319" s="64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</row>
    <row r="320">
      <c r="D320" s="64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</row>
    <row r="321">
      <c r="D321" s="64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</row>
    <row r="322">
      <c r="D322" s="64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</row>
    <row r="323">
      <c r="D323" s="64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</row>
    <row r="324">
      <c r="D324" s="64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</row>
    <row r="325">
      <c r="D325" s="64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</row>
    <row r="326">
      <c r="D326" s="64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</row>
    <row r="327">
      <c r="D327" s="64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</row>
    <row r="328">
      <c r="D328" s="64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</row>
    <row r="329">
      <c r="D329" s="64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</row>
    <row r="330">
      <c r="D330" s="64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</row>
    <row r="331">
      <c r="D331" s="64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</row>
    <row r="332">
      <c r="D332" s="64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</row>
    <row r="333">
      <c r="D333" s="64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</row>
    <row r="334">
      <c r="D334" s="64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</row>
    <row r="335">
      <c r="D335" s="64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</row>
    <row r="336">
      <c r="D336" s="64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</row>
    <row r="337">
      <c r="D337" s="64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</row>
    <row r="338">
      <c r="D338" s="64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</row>
    <row r="339">
      <c r="D339" s="64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</row>
    <row r="340">
      <c r="D340" s="64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</row>
    <row r="341">
      <c r="D341" s="64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</row>
    <row r="342">
      <c r="D342" s="64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</row>
    <row r="343">
      <c r="D343" s="64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</row>
    <row r="344">
      <c r="D344" s="64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</row>
    <row r="345">
      <c r="D345" s="64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</row>
    <row r="346">
      <c r="D346" s="64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</row>
    <row r="347">
      <c r="D347" s="64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</row>
    <row r="348">
      <c r="D348" s="64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</row>
    <row r="349">
      <c r="D349" s="64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</row>
    <row r="350">
      <c r="D350" s="64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</row>
    <row r="351">
      <c r="D351" s="64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</row>
    <row r="352">
      <c r="D352" s="64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</row>
    <row r="353">
      <c r="D353" s="64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</row>
    <row r="354">
      <c r="D354" s="64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</row>
    <row r="355">
      <c r="D355" s="64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</row>
    <row r="356">
      <c r="D356" s="64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</row>
    <row r="357">
      <c r="D357" s="64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</row>
    <row r="358">
      <c r="D358" s="64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</row>
    <row r="359">
      <c r="D359" s="64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</row>
    <row r="360">
      <c r="D360" s="64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</row>
    <row r="361">
      <c r="D361" s="64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</row>
    <row r="362">
      <c r="D362" s="64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</row>
    <row r="363">
      <c r="D363" s="64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</row>
    <row r="364">
      <c r="D364" s="64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</row>
    <row r="365">
      <c r="D365" s="64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</row>
    <row r="366">
      <c r="D366" s="64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</row>
    <row r="367">
      <c r="D367" s="64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</row>
    <row r="368">
      <c r="D368" s="64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</row>
    <row r="369">
      <c r="D369" s="64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</row>
    <row r="370">
      <c r="D370" s="64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</row>
    <row r="371">
      <c r="D371" s="64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</row>
    <row r="372">
      <c r="D372" s="64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</row>
    <row r="373">
      <c r="D373" s="64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</row>
    <row r="374">
      <c r="D374" s="64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</row>
    <row r="375">
      <c r="D375" s="64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</row>
    <row r="376">
      <c r="D376" s="64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</row>
    <row r="377">
      <c r="D377" s="64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</row>
    <row r="378">
      <c r="D378" s="64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</row>
    <row r="379">
      <c r="D379" s="64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</row>
    <row r="380">
      <c r="D380" s="64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</row>
    <row r="381">
      <c r="D381" s="64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</row>
    <row r="382">
      <c r="D382" s="64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</row>
    <row r="383">
      <c r="D383" s="64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</row>
    <row r="384">
      <c r="D384" s="64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</row>
    <row r="385">
      <c r="D385" s="64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</row>
    <row r="386">
      <c r="D386" s="64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</row>
    <row r="387">
      <c r="D387" s="64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</row>
    <row r="388">
      <c r="D388" s="64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</row>
    <row r="389">
      <c r="D389" s="64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</row>
    <row r="390">
      <c r="D390" s="64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</row>
    <row r="391">
      <c r="D391" s="64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</row>
    <row r="392">
      <c r="D392" s="64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</row>
    <row r="393">
      <c r="D393" s="64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</row>
    <row r="394">
      <c r="D394" s="64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</row>
    <row r="395">
      <c r="D395" s="64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</row>
    <row r="396">
      <c r="D396" s="64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</row>
    <row r="397">
      <c r="D397" s="64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</row>
    <row r="398">
      <c r="D398" s="64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</row>
    <row r="399">
      <c r="D399" s="64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</row>
    <row r="400">
      <c r="D400" s="64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</row>
    <row r="401">
      <c r="D401" s="64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</row>
    <row r="402">
      <c r="D402" s="64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</row>
    <row r="403">
      <c r="D403" s="64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</row>
    <row r="404">
      <c r="D404" s="64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</row>
    <row r="405">
      <c r="D405" s="64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</row>
    <row r="406">
      <c r="D406" s="64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</row>
    <row r="407">
      <c r="D407" s="64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</row>
    <row r="408">
      <c r="D408" s="64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</row>
    <row r="409">
      <c r="D409" s="64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</row>
    <row r="410">
      <c r="D410" s="64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</row>
    <row r="411">
      <c r="D411" s="64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</row>
    <row r="412">
      <c r="D412" s="64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</row>
    <row r="413">
      <c r="D413" s="64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</row>
    <row r="414">
      <c r="D414" s="64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</row>
    <row r="415">
      <c r="D415" s="64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</row>
    <row r="416">
      <c r="D416" s="64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</row>
    <row r="417">
      <c r="D417" s="64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</row>
    <row r="418">
      <c r="D418" s="64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</row>
    <row r="419">
      <c r="D419" s="64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</row>
    <row r="420">
      <c r="D420" s="64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</row>
    <row r="421">
      <c r="D421" s="64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</row>
    <row r="422">
      <c r="D422" s="64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</row>
    <row r="423">
      <c r="D423" s="64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</row>
    <row r="424">
      <c r="D424" s="64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</row>
    <row r="425">
      <c r="D425" s="64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</row>
    <row r="426">
      <c r="D426" s="64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</row>
    <row r="427">
      <c r="D427" s="64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</row>
    <row r="428">
      <c r="D428" s="64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</row>
    <row r="429">
      <c r="D429" s="64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</row>
    <row r="430">
      <c r="D430" s="64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</row>
    <row r="431">
      <c r="D431" s="64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</row>
    <row r="432">
      <c r="D432" s="64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</row>
    <row r="433">
      <c r="D433" s="64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</row>
    <row r="434">
      <c r="D434" s="64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</row>
    <row r="435">
      <c r="D435" s="64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</row>
    <row r="436">
      <c r="D436" s="64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</row>
    <row r="437">
      <c r="D437" s="64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</row>
    <row r="438">
      <c r="D438" s="64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</row>
    <row r="439">
      <c r="D439" s="64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</row>
    <row r="440">
      <c r="D440" s="64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</row>
    <row r="441">
      <c r="D441" s="64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</row>
    <row r="442">
      <c r="D442" s="64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</row>
    <row r="443">
      <c r="D443" s="64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</row>
    <row r="444">
      <c r="D444" s="64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</row>
    <row r="445">
      <c r="D445" s="64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</row>
    <row r="446">
      <c r="D446" s="64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</row>
    <row r="447">
      <c r="D447" s="64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</row>
    <row r="448">
      <c r="D448" s="64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</row>
    <row r="449">
      <c r="D449" s="64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</row>
    <row r="450">
      <c r="D450" s="64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</row>
    <row r="451">
      <c r="D451" s="64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</row>
    <row r="452">
      <c r="D452" s="64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</row>
    <row r="453">
      <c r="D453" s="64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</row>
    <row r="454">
      <c r="D454" s="64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</row>
    <row r="455">
      <c r="D455" s="64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</row>
    <row r="456">
      <c r="D456" s="64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</row>
    <row r="457">
      <c r="D457" s="64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</row>
    <row r="458">
      <c r="D458" s="64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</row>
    <row r="459">
      <c r="D459" s="64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</row>
    <row r="460">
      <c r="D460" s="64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</row>
    <row r="461">
      <c r="D461" s="64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</row>
    <row r="462">
      <c r="D462" s="64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</row>
    <row r="463">
      <c r="D463" s="64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</row>
    <row r="464">
      <c r="D464" s="64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</row>
    <row r="465">
      <c r="D465" s="64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</row>
    <row r="466">
      <c r="D466" s="64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</row>
    <row r="467">
      <c r="D467" s="64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</row>
    <row r="468">
      <c r="D468" s="64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</row>
    <row r="469">
      <c r="D469" s="64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</row>
    <row r="470">
      <c r="D470" s="64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</row>
    <row r="471">
      <c r="D471" s="64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</row>
    <row r="472">
      <c r="D472" s="64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</row>
    <row r="473">
      <c r="D473" s="64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</row>
    <row r="474">
      <c r="D474" s="64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</row>
    <row r="475">
      <c r="D475" s="64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</row>
    <row r="476">
      <c r="D476" s="64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</row>
    <row r="477">
      <c r="D477" s="64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</row>
    <row r="478">
      <c r="D478" s="64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</row>
    <row r="479">
      <c r="D479" s="64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</row>
    <row r="480">
      <c r="D480" s="64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</row>
    <row r="481">
      <c r="D481" s="64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</row>
    <row r="482">
      <c r="D482" s="64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</row>
    <row r="483">
      <c r="D483" s="64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</row>
    <row r="484">
      <c r="D484" s="64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</row>
    <row r="485">
      <c r="D485" s="64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</row>
    <row r="486">
      <c r="D486" s="64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</row>
    <row r="487">
      <c r="D487" s="64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</row>
    <row r="488">
      <c r="D488" s="64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</row>
    <row r="489">
      <c r="D489" s="64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</row>
    <row r="490">
      <c r="D490" s="64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</row>
    <row r="491">
      <c r="D491" s="64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</row>
    <row r="492">
      <c r="D492" s="64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</row>
    <row r="493">
      <c r="D493" s="64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</row>
    <row r="494">
      <c r="D494" s="64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</row>
    <row r="495">
      <c r="D495" s="64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</row>
    <row r="496">
      <c r="D496" s="64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</row>
    <row r="497">
      <c r="D497" s="64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</row>
    <row r="498">
      <c r="D498" s="64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</row>
    <row r="499">
      <c r="D499" s="64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</row>
    <row r="500">
      <c r="D500" s="64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</row>
    <row r="501">
      <c r="D501" s="64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</row>
    <row r="502">
      <c r="D502" s="64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</row>
    <row r="503">
      <c r="D503" s="64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</row>
    <row r="504">
      <c r="D504" s="64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</row>
    <row r="505">
      <c r="D505" s="64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</row>
    <row r="506">
      <c r="D506" s="64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</row>
    <row r="507">
      <c r="D507" s="64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</row>
    <row r="508">
      <c r="D508" s="64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</row>
    <row r="509">
      <c r="D509" s="64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</row>
    <row r="510">
      <c r="D510" s="64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</row>
    <row r="511">
      <c r="D511" s="64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</row>
    <row r="512">
      <c r="D512" s="64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</row>
    <row r="513">
      <c r="D513" s="64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</row>
    <row r="514">
      <c r="D514" s="64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</row>
    <row r="515">
      <c r="D515" s="64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</row>
    <row r="516">
      <c r="D516" s="64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</row>
    <row r="517">
      <c r="D517" s="64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</row>
    <row r="518">
      <c r="D518" s="64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</row>
    <row r="519">
      <c r="D519" s="64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</row>
    <row r="520">
      <c r="D520" s="64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</row>
    <row r="521">
      <c r="D521" s="64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</row>
    <row r="522">
      <c r="D522" s="64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</row>
    <row r="523">
      <c r="D523" s="64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</row>
    <row r="524">
      <c r="D524" s="64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</row>
    <row r="525">
      <c r="D525" s="64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</row>
    <row r="526">
      <c r="D526" s="64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</row>
    <row r="527">
      <c r="D527" s="64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</row>
    <row r="528">
      <c r="D528" s="64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</row>
    <row r="529">
      <c r="D529" s="64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</row>
    <row r="530">
      <c r="D530" s="64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</row>
    <row r="531">
      <c r="D531" s="64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</row>
    <row r="532">
      <c r="D532" s="64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</row>
    <row r="533">
      <c r="D533" s="64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</row>
    <row r="534">
      <c r="D534" s="64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</row>
    <row r="535">
      <c r="D535" s="64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</row>
    <row r="536">
      <c r="D536" s="64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</row>
    <row r="537">
      <c r="D537" s="64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</row>
    <row r="538">
      <c r="D538" s="64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</row>
    <row r="539">
      <c r="D539" s="64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</row>
    <row r="540">
      <c r="D540" s="64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</row>
    <row r="541">
      <c r="D541" s="64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</row>
    <row r="542">
      <c r="D542" s="64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</row>
    <row r="543">
      <c r="D543" s="64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</row>
    <row r="544">
      <c r="D544" s="64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</row>
    <row r="545">
      <c r="D545" s="64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</row>
    <row r="546">
      <c r="D546" s="64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</row>
    <row r="547">
      <c r="D547" s="64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</row>
    <row r="548">
      <c r="D548" s="64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</row>
    <row r="549">
      <c r="D549" s="64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</row>
    <row r="550">
      <c r="D550" s="64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</row>
    <row r="551">
      <c r="D551" s="64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</row>
    <row r="552">
      <c r="D552" s="64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</row>
    <row r="553">
      <c r="D553" s="64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</row>
    <row r="554">
      <c r="D554" s="64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</row>
    <row r="555">
      <c r="D555" s="64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</row>
    <row r="556">
      <c r="D556" s="64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</row>
    <row r="557">
      <c r="D557" s="64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</row>
    <row r="558">
      <c r="D558" s="64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</row>
    <row r="559">
      <c r="D559" s="64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</row>
    <row r="560">
      <c r="D560" s="64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</row>
    <row r="561">
      <c r="D561" s="64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</row>
    <row r="562">
      <c r="D562" s="64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</row>
    <row r="563">
      <c r="D563" s="64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</row>
    <row r="564">
      <c r="D564" s="64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</row>
    <row r="565">
      <c r="D565" s="64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</row>
    <row r="566">
      <c r="D566" s="64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</row>
    <row r="567">
      <c r="D567" s="64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</row>
    <row r="568">
      <c r="D568" s="64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</row>
    <row r="569">
      <c r="D569" s="64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</row>
    <row r="570">
      <c r="D570" s="64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</row>
    <row r="571">
      <c r="D571" s="64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</row>
    <row r="572">
      <c r="D572" s="64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</row>
    <row r="573">
      <c r="D573" s="64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</row>
    <row r="574">
      <c r="D574" s="64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</row>
    <row r="575">
      <c r="D575" s="64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</row>
    <row r="576">
      <c r="D576" s="64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</row>
    <row r="577">
      <c r="D577" s="64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</row>
    <row r="578">
      <c r="D578" s="64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</row>
    <row r="579">
      <c r="D579" s="64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</row>
    <row r="580">
      <c r="D580" s="64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</row>
    <row r="581">
      <c r="D581" s="64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</row>
    <row r="582">
      <c r="D582" s="64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</row>
    <row r="583">
      <c r="D583" s="64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</row>
    <row r="584">
      <c r="D584" s="64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</row>
    <row r="585">
      <c r="D585" s="64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</row>
    <row r="586">
      <c r="D586" s="64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</row>
    <row r="587">
      <c r="D587" s="64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</row>
    <row r="588">
      <c r="D588" s="64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</row>
    <row r="589">
      <c r="D589" s="64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</row>
    <row r="590">
      <c r="D590" s="64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</row>
    <row r="591">
      <c r="D591" s="64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</row>
    <row r="592">
      <c r="D592" s="64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</row>
    <row r="593">
      <c r="D593" s="64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</row>
    <row r="594">
      <c r="D594" s="64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</row>
    <row r="595">
      <c r="D595" s="64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</row>
    <row r="596">
      <c r="D596" s="64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</row>
    <row r="597">
      <c r="D597" s="64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</row>
    <row r="598">
      <c r="D598" s="64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</row>
    <row r="599">
      <c r="D599" s="64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</row>
    <row r="600">
      <c r="D600" s="64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</row>
    <row r="601">
      <c r="D601" s="64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</row>
    <row r="602">
      <c r="D602" s="64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</row>
    <row r="603">
      <c r="D603" s="64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</row>
    <row r="604">
      <c r="D604" s="64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</row>
    <row r="605">
      <c r="D605" s="64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</row>
    <row r="606">
      <c r="D606" s="64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</row>
    <row r="607">
      <c r="D607" s="64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</row>
    <row r="608">
      <c r="D608" s="64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</row>
    <row r="609">
      <c r="D609" s="64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</row>
    <row r="610">
      <c r="D610" s="64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</row>
    <row r="611">
      <c r="D611" s="64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</row>
    <row r="612">
      <c r="D612" s="64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</row>
    <row r="613">
      <c r="D613" s="64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</row>
    <row r="614">
      <c r="D614" s="64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</row>
    <row r="615">
      <c r="D615" s="64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</row>
    <row r="616">
      <c r="D616" s="64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</row>
    <row r="617">
      <c r="D617" s="64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</row>
    <row r="618">
      <c r="D618" s="64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</row>
    <row r="619">
      <c r="D619" s="64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</row>
    <row r="620">
      <c r="D620" s="64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</row>
    <row r="621">
      <c r="D621" s="64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</row>
    <row r="622">
      <c r="D622" s="64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</row>
    <row r="623">
      <c r="D623" s="64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</row>
    <row r="624">
      <c r="D624" s="64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</row>
    <row r="625">
      <c r="D625" s="64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</row>
    <row r="626">
      <c r="D626" s="64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</row>
    <row r="627">
      <c r="D627" s="64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</row>
    <row r="628">
      <c r="D628" s="64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</row>
    <row r="629">
      <c r="D629" s="64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</row>
    <row r="630">
      <c r="D630" s="64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</row>
    <row r="631">
      <c r="D631" s="64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</row>
    <row r="632">
      <c r="D632" s="64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</row>
    <row r="633">
      <c r="D633" s="64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</row>
    <row r="634">
      <c r="D634" s="64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</row>
    <row r="635">
      <c r="D635" s="64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</row>
    <row r="636">
      <c r="D636" s="64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</row>
    <row r="637">
      <c r="D637" s="64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</row>
    <row r="638">
      <c r="D638" s="64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</row>
    <row r="639">
      <c r="D639" s="64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</row>
    <row r="640">
      <c r="D640" s="64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</row>
    <row r="641">
      <c r="D641" s="64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</row>
    <row r="642">
      <c r="D642" s="64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</row>
    <row r="643">
      <c r="D643" s="64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</row>
    <row r="644">
      <c r="D644" s="64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</row>
    <row r="645">
      <c r="D645" s="64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</row>
    <row r="646">
      <c r="D646" s="64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</row>
    <row r="647">
      <c r="D647" s="64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</row>
    <row r="648">
      <c r="D648" s="64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</row>
    <row r="649">
      <c r="D649" s="64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</row>
    <row r="650">
      <c r="D650" s="64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</row>
    <row r="651">
      <c r="D651" s="64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</row>
    <row r="652">
      <c r="D652" s="64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</row>
    <row r="653">
      <c r="D653" s="64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</row>
    <row r="654">
      <c r="D654" s="64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</row>
    <row r="655">
      <c r="D655" s="64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</row>
    <row r="656">
      <c r="D656" s="64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</row>
    <row r="657">
      <c r="D657" s="64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</row>
    <row r="658">
      <c r="D658" s="64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</row>
    <row r="659">
      <c r="D659" s="64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</row>
    <row r="660">
      <c r="D660" s="64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</row>
    <row r="661">
      <c r="D661" s="64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</row>
    <row r="662">
      <c r="D662" s="64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</row>
    <row r="663">
      <c r="D663" s="64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</row>
    <row r="664">
      <c r="D664" s="64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</row>
    <row r="665">
      <c r="D665" s="64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</row>
    <row r="666">
      <c r="D666" s="64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</row>
    <row r="667">
      <c r="D667" s="64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</row>
    <row r="668">
      <c r="D668" s="64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</row>
    <row r="669">
      <c r="D669" s="64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</row>
    <row r="670">
      <c r="D670" s="64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</row>
    <row r="671">
      <c r="D671" s="64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</row>
    <row r="672">
      <c r="D672" s="64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</row>
    <row r="673">
      <c r="D673" s="64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</row>
    <row r="674">
      <c r="D674" s="64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</row>
    <row r="675">
      <c r="D675" s="64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</row>
    <row r="676">
      <c r="D676" s="64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</row>
    <row r="677">
      <c r="D677" s="64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</row>
    <row r="678">
      <c r="D678" s="64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</row>
    <row r="679">
      <c r="D679" s="64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</row>
    <row r="680">
      <c r="D680" s="64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</row>
    <row r="681">
      <c r="D681" s="64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</row>
    <row r="682">
      <c r="D682" s="64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</row>
    <row r="683">
      <c r="D683" s="64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</row>
    <row r="684">
      <c r="D684" s="64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</row>
    <row r="685">
      <c r="D685" s="64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</row>
    <row r="686">
      <c r="D686" s="64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</row>
    <row r="687">
      <c r="D687" s="64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</row>
    <row r="688">
      <c r="D688" s="64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</row>
    <row r="689">
      <c r="D689" s="64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</row>
    <row r="690">
      <c r="D690" s="64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</row>
    <row r="691">
      <c r="D691" s="64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</row>
    <row r="692">
      <c r="D692" s="64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</row>
    <row r="693">
      <c r="D693" s="64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</row>
    <row r="694">
      <c r="D694" s="64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</row>
    <row r="695">
      <c r="D695" s="64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</row>
    <row r="696">
      <c r="D696" s="64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</row>
    <row r="697">
      <c r="D697" s="64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</row>
    <row r="698">
      <c r="D698" s="64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</row>
    <row r="699">
      <c r="D699" s="64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</row>
    <row r="700">
      <c r="D700" s="64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</row>
    <row r="701">
      <c r="D701" s="64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</row>
    <row r="702">
      <c r="D702" s="64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</row>
    <row r="703">
      <c r="D703" s="64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</row>
    <row r="704">
      <c r="D704" s="64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</row>
    <row r="705">
      <c r="D705" s="64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</row>
    <row r="706">
      <c r="D706" s="64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</row>
    <row r="707">
      <c r="D707" s="64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</row>
    <row r="708">
      <c r="D708" s="64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</row>
    <row r="709">
      <c r="D709" s="64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</row>
    <row r="710">
      <c r="D710" s="64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</row>
    <row r="711">
      <c r="D711" s="64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</row>
    <row r="712">
      <c r="D712" s="64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</row>
    <row r="713">
      <c r="D713" s="64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</row>
    <row r="714">
      <c r="D714" s="64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</row>
    <row r="715">
      <c r="D715" s="64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</row>
    <row r="716">
      <c r="D716" s="64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</row>
    <row r="717">
      <c r="D717" s="64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</row>
    <row r="718">
      <c r="D718" s="64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</row>
    <row r="719">
      <c r="D719" s="64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</row>
    <row r="720">
      <c r="D720" s="64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</row>
    <row r="721">
      <c r="D721" s="64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</row>
    <row r="722">
      <c r="D722" s="64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</row>
    <row r="723">
      <c r="D723" s="64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</row>
    <row r="724">
      <c r="D724" s="64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</row>
    <row r="725">
      <c r="D725" s="64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</row>
    <row r="726">
      <c r="D726" s="64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</row>
    <row r="727">
      <c r="D727" s="64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</row>
    <row r="728">
      <c r="D728" s="64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</row>
    <row r="729">
      <c r="D729" s="64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</row>
    <row r="730">
      <c r="D730" s="64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</row>
    <row r="731">
      <c r="D731" s="64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</row>
    <row r="732">
      <c r="D732" s="64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</row>
    <row r="733">
      <c r="D733" s="64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</row>
    <row r="734">
      <c r="D734" s="64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</row>
    <row r="735">
      <c r="D735" s="64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</row>
    <row r="736">
      <c r="D736" s="64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</row>
    <row r="737">
      <c r="D737" s="64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</row>
    <row r="738">
      <c r="D738" s="64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</row>
    <row r="739">
      <c r="D739" s="64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</row>
    <row r="740">
      <c r="D740" s="64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</row>
    <row r="741">
      <c r="D741" s="64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</row>
    <row r="742">
      <c r="D742" s="64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</row>
    <row r="743">
      <c r="D743" s="64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</row>
    <row r="744">
      <c r="D744" s="64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</row>
    <row r="745">
      <c r="D745" s="64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</row>
    <row r="746">
      <c r="D746" s="64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</row>
    <row r="747">
      <c r="D747" s="64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</row>
    <row r="748">
      <c r="D748" s="64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</row>
    <row r="749">
      <c r="D749" s="64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</row>
    <row r="750">
      <c r="D750" s="64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</row>
    <row r="751">
      <c r="D751" s="64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</row>
    <row r="752">
      <c r="D752" s="64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</row>
    <row r="753">
      <c r="D753" s="64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</row>
    <row r="754">
      <c r="D754" s="64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</row>
    <row r="755">
      <c r="D755" s="64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</row>
    <row r="756">
      <c r="D756" s="64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</row>
    <row r="757">
      <c r="D757" s="64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</row>
    <row r="758">
      <c r="D758" s="64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</row>
    <row r="759">
      <c r="D759" s="64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</row>
    <row r="760">
      <c r="D760" s="64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</row>
    <row r="761">
      <c r="D761" s="64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</row>
    <row r="762">
      <c r="D762" s="64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</row>
    <row r="763">
      <c r="D763" s="64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</row>
    <row r="764">
      <c r="D764" s="64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</row>
    <row r="765">
      <c r="D765" s="64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</row>
    <row r="766">
      <c r="D766" s="64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</row>
    <row r="767">
      <c r="D767" s="64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</row>
    <row r="768">
      <c r="D768" s="64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</row>
    <row r="769">
      <c r="D769" s="64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</row>
    <row r="770">
      <c r="D770" s="64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</row>
    <row r="771">
      <c r="D771" s="64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</row>
    <row r="772">
      <c r="D772" s="64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</row>
    <row r="773">
      <c r="D773" s="64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</row>
    <row r="774">
      <c r="D774" s="64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</row>
    <row r="775">
      <c r="D775" s="64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</row>
    <row r="776">
      <c r="D776" s="64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</row>
    <row r="777">
      <c r="D777" s="64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</row>
    <row r="778">
      <c r="D778" s="64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</row>
    <row r="779">
      <c r="D779" s="64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</row>
    <row r="780">
      <c r="D780" s="64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</row>
    <row r="781">
      <c r="D781" s="64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</row>
    <row r="782">
      <c r="D782" s="64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</row>
    <row r="783">
      <c r="D783" s="64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</row>
    <row r="784">
      <c r="D784" s="64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</row>
    <row r="785">
      <c r="D785" s="64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</row>
    <row r="786">
      <c r="D786" s="64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</row>
    <row r="787">
      <c r="D787" s="64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</row>
    <row r="788">
      <c r="D788" s="64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</row>
    <row r="789">
      <c r="D789" s="64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</row>
    <row r="790">
      <c r="D790" s="64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</row>
    <row r="791">
      <c r="D791" s="64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</row>
    <row r="792">
      <c r="D792" s="64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</row>
    <row r="793">
      <c r="D793" s="64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</row>
    <row r="794">
      <c r="D794" s="64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</row>
    <row r="795">
      <c r="D795" s="64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</row>
    <row r="796">
      <c r="D796" s="64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</row>
    <row r="797">
      <c r="D797" s="64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</row>
    <row r="798">
      <c r="D798" s="64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</row>
    <row r="799">
      <c r="D799" s="64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</row>
    <row r="800">
      <c r="D800" s="64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</row>
    <row r="801">
      <c r="D801" s="64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</row>
    <row r="802">
      <c r="D802" s="64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</row>
    <row r="803">
      <c r="D803" s="64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</row>
    <row r="804">
      <c r="D804" s="64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</row>
    <row r="805">
      <c r="D805" s="64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</row>
    <row r="806">
      <c r="D806" s="64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</row>
    <row r="807">
      <c r="D807" s="64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</row>
    <row r="808">
      <c r="D808" s="64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</row>
    <row r="809">
      <c r="D809" s="64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</row>
    <row r="810">
      <c r="D810" s="64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</row>
    <row r="811">
      <c r="D811" s="64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</row>
    <row r="812">
      <c r="D812" s="64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</row>
    <row r="813">
      <c r="D813" s="64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</row>
    <row r="814">
      <c r="D814" s="64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</row>
    <row r="815">
      <c r="D815" s="64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</row>
    <row r="816">
      <c r="D816" s="64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</row>
    <row r="817">
      <c r="D817" s="64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</row>
    <row r="818">
      <c r="D818" s="64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</row>
    <row r="819">
      <c r="D819" s="64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</row>
    <row r="820">
      <c r="D820" s="64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</row>
    <row r="821">
      <c r="D821" s="64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</row>
    <row r="822">
      <c r="D822" s="64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</row>
    <row r="823">
      <c r="D823" s="64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</row>
    <row r="824">
      <c r="D824" s="64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</row>
    <row r="825">
      <c r="D825" s="64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</row>
    <row r="826">
      <c r="D826" s="64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</row>
    <row r="827">
      <c r="D827" s="64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</row>
    <row r="828">
      <c r="D828" s="64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</row>
    <row r="829">
      <c r="D829" s="64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</row>
    <row r="830">
      <c r="D830" s="64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</row>
    <row r="831">
      <c r="D831" s="64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</row>
    <row r="832">
      <c r="D832" s="64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</row>
    <row r="833">
      <c r="D833" s="64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</row>
    <row r="834">
      <c r="D834" s="64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</row>
    <row r="835">
      <c r="D835" s="64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</row>
    <row r="836">
      <c r="D836" s="64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</row>
    <row r="837">
      <c r="D837" s="64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</row>
    <row r="838">
      <c r="D838" s="64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</row>
    <row r="839">
      <c r="D839" s="64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</row>
    <row r="840">
      <c r="D840" s="64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</row>
    <row r="841">
      <c r="D841" s="64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</row>
    <row r="842">
      <c r="D842" s="64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</row>
    <row r="843">
      <c r="D843" s="64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</row>
    <row r="844">
      <c r="D844" s="64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</row>
    <row r="845">
      <c r="D845" s="64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</row>
    <row r="846">
      <c r="D846" s="64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</row>
    <row r="847">
      <c r="D847" s="64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</row>
    <row r="848">
      <c r="D848" s="64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</row>
    <row r="849">
      <c r="D849" s="64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</row>
    <row r="850">
      <c r="D850" s="64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</row>
    <row r="851">
      <c r="D851" s="64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</row>
    <row r="852">
      <c r="D852" s="64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</row>
    <row r="853">
      <c r="D853" s="64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</row>
    <row r="854">
      <c r="D854" s="64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</row>
    <row r="855">
      <c r="D855" s="64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</row>
    <row r="856">
      <c r="D856" s="64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</row>
    <row r="857">
      <c r="D857" s="64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</row>
    <row r="858">
      <c r="D858" s="64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</row>
    <row r="859">
      <c r="D859" s="64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</row>
    <row r="860">
      <c r="D860" s="64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</row>
    <row r="861">
      <c r="D861" s="64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</row>
    <row r="862">
      <c r="D862" s="64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</row>
    <row r="863">
      <c r="D863" s="64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</row>
    <row r="864">
      <c r="D864" s="64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</row>
    <row r="865">
      <c r="D865" s="64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</row>
    <row r="866">
      <c r="D866" s="64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</row>
    <row r="867">
      <c r="D867" s="64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</row>
    <row r="868">
      <c r="D868" s="64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</row>
    <row r="869">
      <c r="D869" s="64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</row>
    <row r="870">
      <c r="D870" s="64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</row>
    <row r="871">
      <c r="D871" s="64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</row>
    <row r="872">
      <c r="D872" s="64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</row>
    <row r="873">
      <c r="D873" s="64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</row>
    <row r="874">
      <c r="D874" s="64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</row>
    <row r="875">
      <c r="D875" s="64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</row>
    <row r="876">
      <c r="D876" s="64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</row>
    <row r="877">
      <c r="D877" s="64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</row>
    <row r="878">
      <c r="D878" s="64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</row>
    <row r="879">
      <c r="D879" s="64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</row>
    <row r="880">
      <c r="D880" s="64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</row>
    <row r="881">
      <c r="D881" s="64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</row>
    <row r="882">
      <c r="D882" s="64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</row>
    <row r="883">
      <c r="D883" s="64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</row>
    <row r="884">
      <c r="D884" s="64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</row>
    <row r="885">
      <c r="D885" s="64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</row>
    <row r="886">
      <c r="D886" s="64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</row>
    <row r="887">
      <c r="D887" s="64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</row>
    <row r="888">
      <c r="D888" s="64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</row>
    <row r="889">
      <c r="D889" s="64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</row>
    <row r="890">
      <c r="D890" s="64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</row>
    <row r="891">
      <c r="D891" s="64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</row>
    <row r="892">
      <c r="D892" s="64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</row>
    <row r="893">
      <c r="D893" s="64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</row>
    <row r="894">
      <c r="D894" s="64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</row>
    <row r="895">
      <c r="D895" s="64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</row>
    <row r="896">
      <c r="D896" s="64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</row>
    <row r="897">
      <c r="D897" s="64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</row>
    <row r="898">
      <c r="D898" s="64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</row>
    <row r="899">
      <c r="D899" s="64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</row>
    <row r="900">
      <c r="D900" s="64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</row>
    <row r="901">
      <c r="D901" s="64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</row>
    <row r="902">
      <c r="D902" s="64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</row>
    <row r="903">
      <c r="D903" s="64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</row>
    <row r="904">
      <c r="D904" s="64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</row>
    <row r="905">
      <c r="D905" s="64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</row>
    <row r="906">
      <c r="D906" s="64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</row>
    <row r="907">
      <c r="D907" s="64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</row>
    <row r="908">
      <c r="D908" s="64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</row>
    <row r="909">
      <c r="D909" s="64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</row>
    <row r="910">
      <c r="D910" s="64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</row>
    <row r="911">
      <c r="D911" s="64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</row>
    <row r="912">
      <c r="D912" s="64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</row>
    <row r="913">
      <c r="D913" s="64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</row>
    <row r="914">
      <c r="D914" s="64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</row>
    <row r="915">
      <c r="D915" s="64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</row>
    <row r="916">
      <c r="D916" s="64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</row>
    <row r="917">
      <c r="D917" s="64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</row>
    <row r="918">
      <c r="D918" s="64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</row>
    <row r="919">
      <c r="D919" s="64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</row>
    <row r="920">
      <c r="D920" s="64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</row>
    <row r="921">
      <c r="D921" s="64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</row>
    <row r="922">
      <c r="D922" s="64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</row>
    <row r="923">
      <c r="D923" s="64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</row>
    <row r="924">
      <c r="D924" s="64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</row>
    <row r="925">
      <c r="D925" s="64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</row>
    <row r="926">
      <c r="D926" s="64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</row>
    <row r="927">
      <c r="D927" s="64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</row>
    <row r="928">
      <c r="D928" s="64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</row>
    <row r="929">
      <c r="D929" s="64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</row>
    <row r="930">
      <c r="D930" s="64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</row>
    <row r="931">
      <c r="D931" s="64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</row>
    <row r="932">
      <c r="D932" s="64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</row>
    <row r="933">
      <c r="D933" s="64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</row>
    <row r="934">
      <c r="D934" s="64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</row>
    <row r="935">
      <c r="D935" s="64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</row>
    <row r="936">
      <c r="D936" s="64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</row>
    <row r="937">
      <c r="D937" s="64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</row>
    <row r="938">
      <c r="D938" s="64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</row>
    <row r="939">
      <c r="D939" s="64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</row>
    <row r="940">
      <c r="D940" s="64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</row>
    <row r="941">
      <c r="D941" s="64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</row>
    <row r="942">
      <c r="D942" s="64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</row>
    <row r="943">
      <c r="D943" s="64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</row>
    <row r="944">
      <c r="D944" s="64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</row>
    <row r="945">
      <c r="D945" s="64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</row>
    <row r="946">
      <c r="D946" s="64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</row>
    <row r="947">
      <c r="D947" s="64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</row>
    <row r="948">
      <c r="D948" s="64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</row>
    <row r="949">
      <c r="D949" s="64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</row>
    <row r="950">
      <c r="D950" s="64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</row>
    <row r="951">
      <c r="D951" s="64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</row>
    <row r="952">
      <c r="D952" s="64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</row>
    <row r="953">
      <c r="D953" s="64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</row>
    <row r="954">
      <c r="D954" s="64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</row>
    <row r="955">
      <c r="D955" s="64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</row>
    <row r="956">
      <c r="D956" s="64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</row>
    <row r="957">
      <c r="D957" s="64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</row>
    <row r="958">
      <c r="D958" s="64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</row>
    <row r="959">
      <c r="D959" s="64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</row>
    <row r="960">
      <c r="D960" s="64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</row>
    <row r="961">
      <c r="D961" s="64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</row>
    <row r="962">
      <c r="D962" s="64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</row>
    <row r="963">
      <c r="D963" s="64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</row>
    <row r="964">
      <c r="D964" s="64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</row>
    <row r="965">
      <c r="D965" s="64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</row>
    <row r="966">
      <c r="D966" s="64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</row>
    <row r="967">
      <c r="D967" s="64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</row>
    <row r="968">
      <c r="D968" s="64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</row>
    <row r="969">
      <c r="D969" s="64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</row>
    <row r="970">
      <c r="D970" s="64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</row>
    <row r="971">
      <c r="D971" s="64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</row>
    <row r="972">
      <c r="D972" s="64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</row>
    <row r="973">
      <c r="D973" s="64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</row>
    <row r="974">
      <c r="D974" s="64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</row>
    <row r="975">
      <c r="D975" s="64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</row>
    <row r="976">
      <c r="D976" s="64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</row>
    <row r="977">
      <c r="D977" s="64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</row>
    <row r="978">
      <c r="D978" s="64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</row>
    <row r="979">
      <c r="D979" s="64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</row>
    <row r="980">
      <c r="D980" s="64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</row>
    <row r="981">
      <c r="D981" s="64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</row>
    <row r="982">
      <c r="D982" s="64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</row>
    <row r="983">
      <c r="D983" s="64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</row>
    <row r="984">
      <c r="D984" s="64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</row>
    <row r="985">
      <c r="D985" s="64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</row>
    <row r="986">
      <c r="D986" s="64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</row>
    <row r="987">
      <c r="D987" s="64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</row>
    <row r="988">
      <c r="D988" s="64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</row>
    <row r="989">
      <c r="D989" s="64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</row>
    <row r="990">
      <c r="D990" s="64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</row>
    <row r="991">
      <c r="D991" s="64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</row>
    <row r="992">
      <c r="D992" s="64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</row>
    <row r="993">
      <c r="D993" s="64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</row>
    <row r="994">
      <c r="D994" s="64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</row>
    <row r="995">
      <c r="D995" s="64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</row>
    <row r="996">
      <c r="D996" s="64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</row>
    <row r="997">
      <c r="D997" s="64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</row>
    <row r="998">
      <c r="D998" s="64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</row>
    <row r="999">
      <c r="D999" s="64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</row>
    <row r="1000">
      <c r="D1000" s="64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</row>
    <row r="1001">
      <c r="D1001" s="64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</row>
    <row r="1002">
      <c r="D1002" s="64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</row>
    <row r="1003">
      <c r="D1003" s="64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</row>
    <row r="1004">
      <c r="D1004" s="64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</row>
    <row r="1005">
      <c r="D1005" s="64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</row>
    <row r="1006">
      <c r="D1006" s="64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</row>
    <row r="1007">
      <c r="D1007" s="64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</row>
    <row r="1008">
      <c r="D1008" s="64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</row>
    <row r="1009">
      <c r="D1009" s="64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</row>
    <row r="1010">
      <c r="D1010" s="64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</row>
    <row r="1011">
      <c r="D1011" s="64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</row>
    <row r="1012">
      <c r="D1012" s="64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</row>
    <row r="1013">
      <c r="D1013" s="64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</row>
    <row r="1014">
      <c r="D1014" s="64"/>
      <c r="E1014" s="43"/>
      <c r="F1014" s="43"/>
      <c r="G1014" s="43"/>
      <c r="H1014" s="43"/>
      <c r="I1014" s="43"/>
      <c r="J1014" s="43"/>
      <c r="K1014" s="43"/>
      <c r="L1014" s="43"/>
      <c r="M1014" s="43"/>
      <c r="N1014" s="43"/>
      <c r="O1014" s="43"/>
    </row>
    <row r="1015">
      <c r="D1015" s="64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</row>
    <row r="1016">
      <c r="D1016" s="64"/>
      <c r="E1016" s="43"/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</row>
    <row r="1017">
      <c r="D1017" s="64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</row>
    <row r="1018">
      <c r="D1018" s="64"/>
      <c r="E1018" s="43"/>
      <c r="F1018" s="43"/>
      <c r="G1018" s="43"/>
      <c r="H1018" s="43"/>
      <c r="I1018" s="43"/>
      <c r="J1018" s="43"/>
      <c r="K1018" s="43"/>
      <c r="L1018" s="43"/>
      <c r="M1018" s="43"/>
      <c r="N1018" s="43"/>
      <c r="O1018" s="43"/>
    </row>
    <row r="1019">
      <c r="D1019" s="64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</row>
    <row r="1020">
      <c r="D1020" s="64"/>
      <c r="E1020" s="43"/>
      <c r="F1020" s="43"/>
      <c r="G1020" s="43"/>
      <c r="H1020" s="43"/>
      <c r="I1020" s="43"/>
      <c r="J1020" s="43"/>
      <c r="K1020" s="43"/>
      <c r="L1020" s="43"/>
      <c r="M1020" s="43"/>
      <c r="N1020" s="43"/>
      <c r="O1020" s="43"/>
    </row>
    <row r="1021">
      <c r="D1021" s="64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</row>
    <row r="1022">
      <c r="D1022" s="64"/>
      <c r="E1022" s="43"/>
      <c r="F1022" s="43"/>
      <c r="G1022" s="43"/>
      <c r="H1022" s="43"/>
      <c r="I1022" s="43"/>
      <c r="J1022" s="43"/>
      <c r="K1022" s="43"/>
      <c r="L1022" s="43"/>
      <c r="M1022" s="43"/>
      <c r="N1022" s="43"/>
      <c r="O1022" s="43"/>
    </row>
    <row r="1023">
      <c r="D1023" s="64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</row>
    <row r="1024">
      <c r="D1024" s="64"/>
      <c r="E1024" s="43"/>
      <c r="F1024" s="43"/>
      <c r="G1024" s="43"/>
      <c r="H1024" s="43"/>
      <c r="I1024" s="43"/>
      <c r="J1024" s="43"/>
      <c r="K1024" s="43"/>
      <c r="L1024" s="43"/>
      <c r="M1024" s="43"/>
      <c r="N1024" s="43"/>
      <c r="O1024" s="43"/>
    </row>
    <row r="1025">
      <c r="D1025" s="64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</row>
    <row r="1026">
      <c r="D1026" s="64"/>
      <c r="E1026" s="43"/>
      <c r="F1026" s="43"/>
      <c r="G1026" s="43"/>
      <c r="H1026" s="43"/>
      <c r="I1026" s="43"/>
      <c r="J1026" s="43"/>
      <c r="K1026" s="43"/>
      <c r="L1026" s="43"/>
      <c r="M1026" s="43"/>
      <c r="N1026" s="43"/>
      <c r="O1026" s="43"/>
    </row>
    <row r="1027">
      <c r="D1027" s="64"/>
      <c r="E1027" s="43"/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</row>
    <row r="1028">
      <c r="D1028" s="64"/>
      <c r="E1028" s="43"/>
      <c r="F1028" s="43"/>
      <c r="G1028" s="43"/>
      <c r="H1028" s="43"/>
      <c r="I1028" s="43"/>
      <c r="J1028" s="43"/>
      <c r="K1028" s="43"/>
      <c r="L1028" s="43"/>
      <c r="M1028" s="43"/>
      <c r="N1028" s="43"/>
      <c r="O1028" s="43"/>
    </row>
    <row r="1029">
      <c r="D1029" s="64"/>
      <c r="E1029" s="43"/>
      <c r="F1029" s="43"/>
      <c r="G1029" s="43"/>
      <c r="H1029" s="43"/>
      <c r="I1029" s="43"/>
      <c r="J1029" s="43"/>
      <c r="K1029" s="43"/>
      <c r="L1029" s="43"/>
      <c r="M1029" s="43"/>
      <c r="N1029" s="43"/>
      <c r="O1029" s="43"/>
    </row>
    <row r="1030">
      <c r="D1030" s="64"/>
      <c r="E1030" s="43"/>
      <c r="F1030" s="43"/>
      <c r="G1030" s="43"/>
      <c r="H1030" s="43"/>
      <c r="I1030" s="43"/>
      <c r="J1030" s="43"/>
      <c r="K1030" s="43"/>
      <c r="L1030" s="43"/>
      <c r="M1030" s="43"/>
      <c r="N1030" s="43"/>
      <c r="O1030" s="43"/>
    </row>
    <row r="1031">
      <c r="D1031" s="64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</row>
    <row r="1032">
      <c r="D1032" s="64"/>
      <c r="E1032" s="43"/>
      <c r="F1032" s="43"/>
      <c r="G1032" s="43"/>
      <c r="H1032" s="43"/>
      <c r="I1032" s="43"/>
      <c r="J1032" s="43"/>
      <c r="K1032" s="43"/>
      <c r="L1032" s="43"/>
      <c r="M1032" s="43"/>
      <c r="N1032" s="43"/>
      <c r="O1032" s="43"/>
    </row>
    <row r="1033">
      <c r="D1033" s="64"/>
      <c r="E1033" s="43"/>
      <c r="F1033" s="43"/>
      <c r="G1033" s="43"/>
      <c r="H1033" s="43"/>
      <c r="I1033" s="43"/>
      <c r="J1033" s="43"/>
      <c r="K1033" s="43"/>
      <c r="L1033" s="43"/>
      <c r="M1033" s="43"/>
      <c r="N1033" s="43"/>
      <c r="O1033" s="43"/>
    </row>
    <row r="1034">
      <c r="D1034" s="64"/>
      <c r="E1034" s="43"/>
      <c r="F1034" s="43"/>
      <c r="G1034" s="43"/>
      <c r="H1034" s="43"/>
      <c r="I1034" s="43"/>
      <c r="J1034" s="43"/>
      <c r="K1034" s="43"/>
      <c r="L1034" s="43"/>
      <c r="M1034" s="43"/>
      <c r="N1034" s="43"/>
      <c r="O1034" s="43"/>
    </row>
    <row r="1035">
      <c r="D1035" s="64"/>
      <c r="E1035" s="43"/>
      <c r="F1035" s="43"/>
      <c r="G1035" s="43"/>
      <c r="H1035" s="43"/>
      <c r="I1035" s="43"/>
      <c r="J1035" s="43"/>
      <c r="K1035" s="43"/>
      <c r="L1035" s="43"/>
      <c r="M1035" s="43"/>
      <c r="N1035" s="43"/>
      <c r="O1035" s="43"/>
    </row>
    <row r="1036">
      <c r="D1036" s="64"/>
      <c r="E1036" s="43"/>
      <c r="F1036" s="43"/>
      <c r="G1036" s="43"/>
      <c r="H1036" s="43"/>
      <c r="I1036" s="43"/>
      <c r="J1036" s="43"/>
      <c r="K1036" s="43"/>
      <c r="L1036" s="43"/>
      <c r="M1036" s="43"/>
      <c r="N1036" s="43"/>
      <c r="O1036" s="43"/>
    </row>
    <row r="1037">
      <c r="D1037" s="64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</row>
    <row r="1038">
      <c r="D1038" s="64"/>
      <c r="E1038" s="43"/>
      <c r="F1038" s="43"/>
      <c r="G1038" s="43"/>
      <c r="H1038" s="43"/>
      <c r="I1038" s="43"/>
      <c r="J1038" s="43"/>
      <c r="K1038" s="43"/>
      <c r="L1038" s="43"/>
      <c r="M1038" s="43"/>
      <c r="N1038" s="43"/>
      <c r="O1038" s="43"/>
    </row>
    <row r="1039">
      <c r="D1039" s="64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  <c r="O1039" s="43"/>
    </row>
    <row r="1040">
      <c r="D1040" s="64"/>
      <c r="E1040" s="43"/>
      <c r="F1040" s="43"/>
      <c r="G1040" s="43"/>
      <c r="H1040" s="43"/>
      <c r="I1040" s="43"/>
      <c r="J1040" s="43"/>
      <c r="K1040" s="43"/>
      <c r="L1040" s="43"/>
      <c r="M1040" s="43"/>
      <c r="N1040" s="43"/>
      <c r="O1040" s="43"/>
    </row>
    <row r="1041">
      <c r="D1041" s="64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</row>
    <row r="1042">
      <c r="D1042" s="64"/>
      <c r="E1042" s="43"/>
      <c r="F1042" s="43"/>
      <c r="G1042" s="43"/>
      <c r="H1042" s="43"/>
      <c r="I1042" s="43"/>
      <c r="J1042" s="43"/>
      <c r="K1042" s="43"/>
      <c r="L1042" s="43"/>
      <c r="M1042" s="43"/>
      <c r="N1042" s="43"/>
      <c r="O1042" s="43"/>
    </row>
    <row r="1043">
      <c r="D1043" s="64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</row>
    <row r="1044">
      <c r="D1044" s="64"/>
      <c r="E1044" s="43"/>
      <c r="F1044" s="43"/>
      <c r="G1044" s="43"/>
      <c r="H1044" s="43"/>
      <c r="I1044" s="43"/>
      <c r="J1044" s="43"/>
      <c r="K1044" s="43"/>
      <c r="L1044" s="43"/>
      <c r="M1044" s="43"/>
      <c r="N1044" s="43"/>
      <c r="O1044" s="43"/>
    </row>
    <row r="1045">
      <c r="D1045" s="64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</row>
    <row r="1046">
      <c r="D1046" s="64"/>
      <c r="E1046" s="43"/>
      <c r="F1046" s="43"/>
      <c r="G1046" s="43"/>
      <c r="H1046" s="43"/>
      <c r="I1046" s="43"/>
      <c r="J1046" s="43"/>
      <c r="K1046" s="43"/>
      <c r="L1046" s="43"/>
      <c r="M1046" s="43"/>
      <c r="N1046" s="43"/>
      <c r="O1046" s="43"/>
    </row>
    <row r="1047">
      <c r="D1047" s="64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</row>
    <row r="1048">
      <c r="D1048" s="64"/>
      <c r="E1048" s="43"/>
      <c r="F1048" s="43"/>
      <c r="G1048" s="43"/>
      <c r="H1048" s="43"/>
      <c r="I1048" s="43"/>
      <c r="J1048" s="43"/>
      <c r="K1048" s="43"/>
      <c r="L1048" s="43"/>
      <c r="M1048" s="43"/>
      <c r="N1048" s="43"/>
      <c r="O1048" s="43"/>
    </row>
    <row r="1049">
      <c r="D1049" s="64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</row>
    <row r="1050">
      <c r="D1050" s="64"/>
      <c r="E1050" s="43"/>
      <c r="F1050" s="43"/>
      <c r="G1050" s="43"/>
      <c r="H1050" s="43"/>
      <c r="I1050" s="43"/>
      <c r="J1050" s="43"/>
      <c r="K1050" s="43"/>
      <c r="L1050" s="43"/>
      <c r="M1050" s="43"/>
      <c r="N1050" s="43"/>
      <c r="O1050" s="43"/>
    </row>
    <row r="1051">
      <c r="D1051" s="64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  <c r="O1051" s="43"/>
    </row>
    <row r="1052">
      <c r="D1052" s="64"/>
      <c r="E1052" s="43"/>
      <c r="F1052" s="43"/>
      <c r="G1052" s="43"/>
      <c r="H1052" s="43"/>
      <c r="I1052" s="43"/>
      <c r="J1052" s="43"/>
      <c r="K1052" s="43"/>
      <c r="L1052" s="43"/>
      <c r="M1052" s="43"/>
      <c r="N1052" s="43"/>
      <c r="O1052" s="43"/>
    </row>
    <row r="1053">
      <c r="D1053" s="64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</row>
    <row r="1054">
      <c r="D1054" s="64"/>
      <c r="E1054" s="43"/>
      <c r="F1054" s="43"/>
      <c r="G1054" s="43"/>
      <c r="H1054" s="43"/>
      <c r="I1054" s="43"/>
      <c r="J1054" s="43"/>
      <c r="K1054" s="43"/>
      <c r="L1054" s="43"/>
      <c r="M1054" s="43"/>
      <c r="N1054" s="43"/>
      <c r="O1054" s="43"/>
    </row>
    <row r="1055">
      <c r="D1055" s="64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</row>
    <row r="1056">
      <c r="D1056" s="64"/>
      <c r="E1056" s="43"/>
      <c r="F1056" s="43"/>
      <c r="G1056" s="43"/>
      <c r="H1056" s="43"/>
      <c r="I1056" s="43"/>
      <c r="J1056" s="43"/>
      <c r="K1056" s="43"/>
      <c r="L1056" s="43"/>
      <c r="M1056" s="43"/>
      <c r="N1056" s="43"/>
      <c r="O1056" s="43"/>
    </row>
    <row r="1057">
      <c r="D1057" s="64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</row>
    <row r="1058">
      <c r="D1058" s="64"/>
      <c r="E1058" s="43"/>
      <c r="F1058" s="43"/>
      <c r="G1058" s="43"/>
      <c r="H1058" s="43"/>
      <c r="I1058" s="43"/>
      <c r="J1058" s="43"/>
      <c r="K1058" s="43"/>
      <c r="L1058" s="43"/>
      <c r="M1058" s="43"/>
      <c r="N1058" s="43"/>
      <c r="O1058" s="43"/>
    </row>
    <row r="1059">
      <c r="D1059" s="64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  <c r="O1059" s="43"/>
    </row>
    <row r="1060">
      <c r="D1060" s="64"/>
      <c r="E1060" s="43"/>
      <c r="F1060" s="43"/>
      <c r="G1060" s="43"/>
      <c r="H1060" s="43"/>
      <c r="I1060" s="43"/>
      <c r="J1060" s="43"/>
      <c r="K1060" s="43"/>
      <c r="L1060" s="43"/>
      <c r="M1060" s="43"/>
      <c r="N1060" s="43"/>
      <c r="O1060" s="43"/>
    </row>
    <row r="1061">
      <c r="D1061" s="64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</row>
    <row r="1062">
      <c r="D1062" s="64"/>
      <c r="E1062" s="43"/>
      <c r="F1062" s="43"/>
      <c r="G1062" s="43"/>
      <c r="H1062" s="43"/>
      <c r="I1062" s="43"/>
      <c r="J1062" s="43"/>
      <c r="K1062" s="43"/>
      <c r="L1062" s="43"/>
      <c r="M1062" s="43"/>
      <c r="N1062" s="43"/>
      <c r="O1062" s="43"/>
    </row>
    <row r="1063">
      <c r="D1063" s="64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</row>
    <row r="1064">
      <c r="D1064" s="64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</row>
    <row r="1065">
      <c r="D1065" s="64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</row>
    <row r="1066">
      <c r="D1066" s="64"/>
      <c r="E1066" s="43"/>
      <c r="F1066" s="43"/>
      <c r="G1066" s="43"/>
      <c r="H1066" s="43"/>
      <c r="I1066" s="43"/>
      <c r="J1066" s="43"/>
      <c r="K1066" s="43"/>
      <c r="L1066" s="43"/>
      <c r="M1066" s="43"/>
      <c r="N1066" s="43"/>
      <c r="O1066" s="43"/>
    </row>
    <row r="1067">
      <c r="D1067" s="64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</row>
  </sheetData>
  <mergeCells count="18">
    <mergeCell ref="H1:H2"/>
    <mergeCell ref="I1:I2"/>
    <mergeCell ref="J1:J2"/>
    <mergeCell ref="K1:K2"/>
    <mergeCell ref="L1:L2"/>
    <mergeCell ref="M1:M2"/>
    <mergeCell ref="N1:N2"/>
    <mergeCell ref="O1:O2"/>
    <mergeCell ref="A3:B3"/>
    <mergeCell ref="A30:B30"/>
    <mergeCell ref="A58:B58"/>
    <mergeCell ref="A1:A2"/>
    <mergeCell ref="B1:B2"/>
    <mergeCell ref="C1:C2"/>
    <mergeCell ref="D1:D2"/>
    <mergeCell ref="E1:E2"/>
    <mergeCell ref="F1:F2"/>
    <mergeCell ref="G1:G2"/>
  </mergeCells>
  <hyperlinks>
    <hyperlink r:id="rId1" ref="C2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23.88"/>
    <col customWidth="1" min="2" max="2" width="28.25"/>
    <col customWidth="1" min="3" max="3" width="40.75"/>
    <col customWidth="1" hidden="1" min="4" max="6" width="30.0"/>
    <col customWidth="1" hidden="1" min="7" max="7" width="30.38"/>
    <col customWidth="1" hidden="1" min="8" max="8" width="30.63"/>
    <col customWidth="1" min="9" max="9" width="30.63"/>
    <col customWidth="1" min="10" max="10" width="29.88"/>
    <col customWidth="1" min="11" max="11" width="30.0"/>
    <col customWidth="1" min="12" max="12" width="30.5"/>
    <col customWidth="1" min="13" max="13" width="30.13"/>
    <col customWidth="1" min="14" max="14" width="29.88"/>
    <col customWidth="1" min="15" max="15" width="29.75"/>
  </cols>
  <sheetData>
    <row r="1">
      <c r="A1" s="44" t="s">
        <v>0</v>
      </c>
      <c r="B1" s="45" t="s">
        <v>1</v>
      </c>
      <c r="C1" s="46" t="s">
        <v>2</v>
      </c>
      <c r="D1" s="3" t="s">
        <v>623</v>
      </c>
      <c r="E1" s="3" t="s">
        <v>624</v>
      </c>
      <c r="F1" s="47" t="s">
        <v>625</v>
      </c>
      <c r="G1" s="47" t="s">
        <v>626</v>
      </c>
      <c r="H1" s="3" t="s">
        <v>627</v>
      </c>
      <c r="I1" s="47" t="s">
        <v>628</v>
      </c>
      <c r="J1" s="3" t="s">
        <v>629</v>
      </c>
      <c r="K1" s="3" t="s">
        <v>630</v>
      </c>
      <c r="L1" s="47" t="s">
        <v>631</v>
      </c>
      <c r="M1" s="3" t="s">
        <v>632</v>
      </c>
      <c r="N1" s="3" t="s">
        <v>633</v>
      </c>
      <c r="O1" s="3" t="s">
        <v>634</v>
      </c>
    </row>
    <row r="2">
      <c r="A2" s="4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48" t="s">
        <v>6</v>
      </c>
      <c r="B3" s="5"/>
      <c r="C3" s="49"/>
      <c r="D3" s="71"/>
      <c r="E3" s="50"/>
      <c r="F3" s="50"/>
      <c r="G3" s="71"/>
      <c r="H3" s="50"/>
      <c r="I3" s="50"/>
      <c r="J3" s="50"/>
      <c r="K3" s="72"/>
      <c r="L3" s="72"/>
      <c r="M3" s="72"/>
      <c r="N3" s="72"/>
      <c r="O3" s="72"/>
    </row>
    <row r="4">
      <c r="A4" s="9" t="s">
        <v>7</v>
      </c>
      <c r="B4" s="10" t="s">
        <v>7</v>
      </c>
      <c r="C4" s="11" t="s">
        <v>8</v>
      </c>
      <c r="D4" s="12" t="s">
        <v>635</v>
      </c>
      <c r="E4" s="29" t="s">
        <v>635</v>
      </c>
      <c r="F4" s="73" t="s">
        <v>636</v>
      </c>
      <c r="G4" s="53" t="s">
        <v>636</v>
      </c>
      <c r="H4" s="53" t="s">
        <v>636</v>
      </c>
      <c r="I4" s="53" t="s">
        <v>637</v>
      </c>
      <c r="J4" s="63" t="s">
        <v>637</v>
      </c>
      <c r="K4" s="74" t="s">
        <v>638</v>
      </c>
      <c r="L4" s="63" t="s">
        <v>638</v>
      </c>
      <c r="M4" s="63" t="s">
        <v>638</v>
      </c>
      <c r="N4" s="63" t="s">
        <v>638</v>
      </c>
      <c r="O4" s="63" t="s">
        <v>638</v>
      </c>
    </row>
    <row r="5">
      <c r="A5" s="9" t="s">
        <v>12</v>
      </c>
      <c r="B5" s="14" t="s">
        <v>13</v>
      </c>
      <c r="C5" s="11" t="s">
        <v>14</v>
      </c>
      <c r="D5" s="12" t="s">
        <v>639</v>
      </c>
      <c r="E5" s="29" t="s">
        <v>639</v>
      </c>
      <c r="F5" s="29" t="s">
        <v>639</v>
      </c>
      <c r="G5" s="53" t="s">
        <v>639</v>
      </c>
      <c r="H5" s="53" t="s">
        <v>639</v>
      </c>
      <c r="I5" s="53" t="s">
        <v>639</v>
      </c>
      <c r="J5" s="29" t="s">
        <v>639</v>
      </c>
      <c r="K5" s="29" t="s">
        <v>639</v>
      </c>
      <c r="L5" s="29" t="s">
        <v>639</v>
      </c>
      <c r="M5" s="63" t="s">
        <v>639</v>
      </c>
      <c r="N5" s="63" t="s">
        <v>639</v>
      </c>
      <c r="O5" s="63" t="s">
        <v>639</v>
      </c>
    </row>
    <row r="6">
      <c r="A6" s="9" t="s">
        <v>17</v>
      </c>
      <c r="B6" s="10" t="s">
        <v>18</v>
      </c>
      <c r="C6" s="15" t="str">
        <f>HYPERLINK("https://android-cret.corp.google.com/#fusion:id=com.google.android.gms","com.google.android.gms")</f>
        <v>com.google.android.gms</v>
      </c>
      <c r="D6" s="12" t="s">
        <v>640</v>
      </c>
      <c r="E6" s="63" t="s">
        <v>641</v>
      </c>
      <c r="F6" s="63" t="s">
        <v>641</v>
      </c>
      <c r="G6" s="53" t="s">
        <v>642</v>
      </c>
      <c r="H6" s="53" t="s">
        <v>642</v>
      </c>
      <c r="I6" s="53" t="s">
        <v>643</v>
      </c>
      <c r="J6" s="63" t="s">
        <v>643</v>
      </c>
      <c r="K6" s="74" t="s">
        <v>644</v>
      </c>
      <c r="L6" s="63" t="s">
        <v>644</v>
      </c>
      <c r="M6" s="74" t="s">
        <v>645</v>
      </c>
      <c r="N6" s="74" t="s">
        <v>646</v>
      </c>
      <c r="O6" s="74" t="s">
        <v>647</v>
      </c>
    </row>
    <row r="7">
      <c r="A7" s="9" t="s">
        <v>21</v>
      </c>
      <c r="B7" s="10" t="s">
        <v>22</v>
      </c>
      <c r="C7" s="11" t="s">
        <v>23</v>
      </c>
      <c r="D7" s="12" t="s">
        <v>635</v>
      </c>
      <c r="E7" s="29" t="s">
        <v>635</v>
      </c>
      <c r="F7" s="29" t="s">
        <v>635</v>
      </c>
      <c r="G7" s="53" t="s">
        <v>635</v>
      </c>
      <c r="H7" s="53" t="s">
        <v>635</v>
      </c>
      <c r="I7" s="53" t="s">
        <v>635</v>
      </c>
      <c r="J7" s="29" t="s">
        <v>635</v>
      </c>
      <c r="K7" s="29" t="s">
        <v>635</v>
      </c>
      <c r="L7" s="29" t="s">
        <v>635</v>
      </c>
      <c r="M7" s="63" t="s">
        <v>635</v>
      </c>
      <c r="N7" s="63" t="s">
        <v>635</v>
      </c>
      <c r="O7" s="63" t="s">
        <v>635</v>
      </c>
    </row>
    <row r="8">
      <c r="A8" s="9" t="s">
        <v>261</v>
      </c>
      <c r="B8" s="10" t="s">
        <v>262</v>
      </c>
      <c r="C8" s="11" t="s">
        <v>263</v>
      </c>
      <c r="D8" s="12" t="s">
        <v>635</v>
      </c>
      <c r="E8" s="29" t="s">
        <v>635</v>
      </c>
      <c r="F8" s="29" t="s">
        <v>635</v>
      </c>
      <c r="G8" s="53" t="s">
        <v>635</v>
      </c>
      <c r="H8" s="53" t="s">
        <v>635</v>
      </c>
      <c r="I8" s="53" t="s">
        <v>635</v>
      </c>
      <c r="J8" s="29" t="s">
        <v>635</v>
      </c>
      <c r="K8" s="29" t="s">
        <v>635</v>
      </c>
      <c r="L8" s="63" t="s">
        <v>635</v>
      </c>
      <c r="M8" s="63" t="s">
        <v>635</v>
      </c>
      <c r="N8" s="63" t="s">
        <v>635</v>
      </c>
      <c r="O8" s="63" t="s">
        <v>635</v>
      </c>
    </row>
    <row r="9">
      <c r="A9" s="9" t="s">
        <v>26</v>
      </c>
      <c r="B9" s="10" t="s">
        <v>27</v>
      </c>
      <c r="C9" s="11" t="s">
        <v>28</v>
      </c>
      <c r="D9" s="12" t="s">
        <v>648</v>
      </c>
      <c r="E9" s="29" t="s">
        <v>648</v>
      </c>
      <c r="F9" s="29" t="s">
        <v>648</v>
      </c>
      <c r="G9" s="53" t="s">
        <v>648</v>
      </c>
      <c r="H9" s="53" t="s">
        <v>648</v>
      </c>
      <c r="I9" s="53" t="s">
        <v>648</v>
      </c>
      <c r="J9" s="75" t="s">
        <v>649</v>
      </c>
      <c r="K9" s="13" t="s">
        <v>501</v>
      </c>
      <c r="L9" s="13" t="s">
        <v>650</v>
      </c>
      <c r="M9" s="63" t="s">
        <v>650</v>
      </c>
      <c r="N9" s="63" t="s">
        <v>650</v>
      </c>
      <c r="O9" s="63" t="s">
        <v>650</v>
      </c>
    </row>
    <row r="10">
      <c r="A10" s="9" t="s">
        <v>31</v>
      </c>
      <c r="B10" s="10" t="s">
        <v>32</v>
      </c>
      <c r="C10" s="11" t="s">
        <v>33</v>
      </c>
      <c r="D10" s="12" t="s">
        <v>651</v>
      </c>
      <c r="E10" s="63" t="s">
        <v>652</v>
      </c>
      <c r="F10" s="63" t="s">
        <v>652</v>
      </c>
      <c r="G10" s="53" t="s">
        <v>653</v>
      </c>
      <c r="H10" s="53" t="s">
        <v>653</v>
      </c>
      <c r="I10" s="53" t="s">
        <v>654</v>
      </c>
      <c r="J10" s="63" t="s">
        <v>654</v>
      </c>
      <c r="K10" s="74" t="s">
        <v>655</v>
      </c>
      <c r="L10" s="63" t="s">
        <v>655</v>
      </c>
      <c r="M10" s="74" t="s">
        <v>504</v>
      </c>
      <c r="N10" s="63" t="s">
        <v>504</v>
      </c>
      <c r="O10" s="74" t="s">
        <v>656</v>
      </c>
    </row>
    <row r="11">
      <c r="A11" s="9" t="s">
        <v>36</v>
      </c>
      <c r="B11" s="10" t="s">
        <v>37</v>
      </c>
      <c r="C11" s="11" t="s">
        <v>38</v>
      </c>
      <c r="D11" s="12" t="s">
        <v>635</v>
      </c>
      <c r="E11" s="29" t="s">
        <v>635</v>
      </c>
      <c r="F11" s="29" t="s">
        <v>635</v>
      </c>
      <c r="G11" s="53" t="s">
        <v>635</v>
      </c>
      <c r="H11" s="53" t="s">
        <v>635</v>
      </c>
      <c r="I11" s="53" t="s">
        <v>635</v>
      </c>
      <c r="J11" s="29" t="s">
        <v>635</v>
      </c>
      <c r="K11" s="29" t="s">
        <v>635</v>
      </c>
      <c r="L11" s="29" t="s">
        <v>635</v>
      </c>
      <c r="M11" s="63" t="s">
        <v>635</v>
      </c>
      <c r="N11" s="63" t="s">
        <v>635</v>
      </c>
      <c r="O11" s="74" t="s">
        <v>657</v>
      </c>
    </row>
    <row r="12">
      <c r="A12" s="9" t="s">
        <v>39</v>
      </c>
      <c r="B12" s="10" t="s">
        <v>40</v>
      </c>
      <c r="C12" s="11" t="s">
        <v>41</v>
      </c>
      <c r="D12" s="12" t="s">
        <v>42</v>
      </c>
      <c r="E12" s="29" t="s">
        <v>42</v>
      </c>
      <c r="F12" s="29" t="s">
        <v>42</v>
      </c>
      <c r="G12" s="53" t="s">
        <v>42</v>
      </c>
      <c r="H12" s="53" t="s">
        <v>42</v>
      </c>
      <c r="I12" s="53" t="s">
        <v>42</v>
      </c>
      <c r="J12" s="29" t="s">
        <v>42</v>
      </c>
      <c r="K12" s="29" t="s">
        <v>42</v>
      </c>
      <c r="L12" s="63" t="s">
        <v>42</v>
      </c>
      <c r="M12" s="63" t="s">
        <v>42</v>
      </c>
      <c r="N12" s="63" t="s">
        <v>42</v>
      </c>
      <c r="O12" s="63" t="s">
        <v>42</v>
      </c>
    </row>
    <row r="13">
      <c r="A13" s="9" t="s">
        <v>43</v>
      </c>
      <c r="B13" s="10" t="s">
        <v>44</v>
      </c>
      <c r="C13" s="11" t="s">
        <v>45</v>
      </c>
      <c r="D13" s="12" t="s">
        <v>658</v>
      </c>
      <c r="E13" s="63" t="s">
        <v>505</v>
      </c>
      <c r="F13" s="63" t="s">
        <v>505</v>
      </c>
      <c r="G13" s="53" t="s">
        <v>505</v>
      </c>
      <c r="H13" s="53" t="s">
        <v>505</v>
      </c>
      <c r="I13" s="53" t="s">
        <v>505</v>
      </c>
      <c r="J13" s="63" t="s">
        <v>505</v>
      </c>
      <c r="K13" s="74" t="s">
        <v>271</v>
      </c>
      <c r="L13" s="29" t="s">
        <v>271</v>
      </c>
      <c r="M13" s="63" t="s">
        <v>271</v>
      </c>
      <c r="N13" s="63" t="s">
        <v>271</v>
      </c>
      <c r="O13" s="63" t="s">
        <v>271</v>
      </c>
    </row>
    <row r="14">
      <c r="A14" s="9" t="s">
        <v>48</v>
      </c>
      <c r="B14" s="10" t="s">
        <v>49</v>
      </c>
      <c r="C14" s="11" t="s">
        <v>50</v>
      </c>
      <c r="D14" s="12" t="s">
        <v>659</v>
      </c>
      <c r="E14" s="63" t="s">
        <v>660</v>
      </c>
      <c r="F14" s="76" t="s">
        <v>661</v>
      </c>
      <c r="G14" s="53" t="s">
        <v>661</v>
      </c>
      <c r="H14" s="53" t="s">
        <v>662</v>
      </c>
      <c r="I14" s="53" t="s">
        <v>663</v>
      </c>
      <c r="J14" s="74" t="s">
        <v>506</v>
      </c>
      <c r="K14" s="74" t="s">
        <v>664</v>
      </c>
      <c r="L14" s="74" t="s">
        <v>509</v>
      </c>
      <c r="M14" s="74" t="s">
        <v>510</v>
      </c>
      <c r="N14" s="74" t="s">
        <v>511</v>
      </c>
      <c r="O14" s="74" t="s">
        <v>273</v>
      </c>
    </row>
    <row r="15">
      <c r="A15" s="9" t="s">
        <v>53</v>
      </c>
      <c r="B15" s="10" t="s">
        <v>54</v>
      </c>
      <c r="C15" s="11" t="s">
        <v>55</v>
      </c>
      <c r="D15" s="12" t="s">
        <v>665</v>
      </c>
      <c r="E15" s="63" t="s">
        <v>666</v>
      </c>
      <c r="F15" s="76" t="s">
        <v>667</v>
      </c>
      <c r="G15" s="53" t="s">
        <v>668</v>
      </c>
      <c r="H15" s="53" t="s">
        <v>668</v>
      </c>
      <c r="I15" s="53" t="s">
        <v>513</v>
      </c>
      <c r="J15" s="77" t="s">
        <v>513</v>
      </c>
      <c r="K15" s="78" t="s">
        <v>669</v>
      </c>
      <c r="L15" s="29" t="s">
        <v>669</v>
      </c>
      <c r="M15" s="63" t="s">
        <v>669</v>
      </c>
      <c r="N15" s="74" t="s">
        <v>516</v>
      </c>
      <c r="O15" s="79" t="s">
        <v>516</v>
      </c>
    </row>
    <row r="16">
      <c r="A16" s="9" t="s">
        <v>58</v>
      </c>
      <c r="B16" s="10" t="s">
        <v>59</v>
      </c>
      <c r="C16" s="11" t="s">
        <v>60</v>
      </c>
      <c r="D16" s="12" t="s">
        <v>670</v>
      </c>
      <c r="E16" s="29" t="s">
        <v>670</v>
      </c>
      <c r="F16" s="80" t="s">
        <v>671</v>
      </c>
      <c r="G16" s="53" t="s">
        <v>671</v>
      </c>
      <c r="H16" s="53" t="s">
        <v>672</v>
      </c>
      <c r="I16" s="53" t="s">
        <v>672</v>
      </c>
      <c r="J16" s="74" t="s">
        <v>518</v>
      </c>
      <c r="K16" s="63" t="s">
        <v>518</v>
      </c>
      <c r="L16" s="74" t="s">
        <v>289</v>
      </c>
      <c r="M16" s="63" t="s">
        <v>289</v>
      </c>
      <c r="N16" s="74" t="s">
        <v>290</v>
      </c>
      <c r="O16" s="79" t="s">
        <v>290</v>
      </c>
    </row>
    <row r="17">
      <c r="A17" s="9" t="s">
        <v>62</v>
      </c>
      <c r="B17" s="10" t="s">
        <v>63</v>
      </c>
      <c r="C17" s="15" t="str">
        <f>HYPERLINK("https://android-cret.corp.google.com/#fusion:id=com.google.android.googlequicksearchbox","com.google.android.googlequicksearchbox")</f>
        <v>com.google.android.googlequicksearchbox</v>
      </c>
      <c r="D17" s="12" t="s">
        <v>673</v>
      </c>
      <c r="E17" s="63" t="s">
        <v>674</v>
      </c>
      <c r="F17" s="63" t="s">
        <v>674</v>
      </c>
      <c r="G17" s="53" t="s">
        <v>675</v>
      </c>
      <c r="H17" s="53" t="s">
        <v>675</v>
      </c>
      <c r="I17" s="53" t="s">
        <v>676</v>
      </c>
      <c r="J17" s="74" t="s">
        <v>519</v>
      </c>
      <c r="K17" s="74" t="s">
        <v>677</v>
      </c>
      <c r="L17" s="75" t="s">
        <v>521</v>
      </c>
      <c r="M17" s="74" t="s">
        <v>522</v>
      </c>
      <c r="N17" s="74" t="s">
        <v>523</v>
      </c>
      <c r="O17" s="74" t="s">
        <v>524</v>
      </c>
    </row>
    <row r="18">
      <c r="A18" s="9" t="s">
        <v>66</v>
      </c>
      <c r="B18" s="10" t="s">
        <v>67</v>
      </c>
      <c r="C18" s="11" t="s">
        <v>68</v>
      </c>
      <c r="D18" s="12" t="s">
        <v>678</v>
      </c>
      <c r="E18" s="66" t="s">
        <v>678</v>
      </c>
      <c r="F18" s="66" t="s">
        <v>678</v>
      </c>
      <c r="G18" s="53" t="s">
        <v>678</v>
      </c>
      <c r="H18" s="53" t="s">
        <v>678</v>
      </c>
      <c r="I18" s="53" t="s">
        <v>678</v>
      </c>
      <c r="J18" s="66" t="s">
        <v>678</v>
      </c>
      <c r="K18" s="81" t="s">
        <v>678</v>
      </c>
      <c r="L18" s="74" t="s">
        <v>526</v>
      </c>
      <c r="M18" s="63" t="s">
        <v>526</v>
      </c>
      <c r="N18" s="63" t="s">
        <v>526</v>
      </c>
      <c r="O18" s="63" t="s">
        <v>526</v>
      </c>
    </row>
    <row r="19">
      <c r="A19" s="9" t="s">
        <v>72</v>
      </c>
      <c r="B19" s="10" t="s">
        <v>73</v>
      </c>
      <c r="C19" s="15" t="s">
        <v>74</v>
      </c>
      <c r="D19" s="12" t="s">
        <v>679</v>
      </c>
      <c r="E19" s="63" t="s">
        <v>680</v>
      </c>
      <c r="F19" s="63" t="s">
        <v>680</v>
      </c>
      <c r="G19" s="53" t="s">
        <v>527</v>
      </c>
      <c r="H19" s="53" t="s">
        <v>527</v>
      </c>
      <c r="I19" s="53" t="s">
        <v>527</v>
      </c>
      <c r="J19" s="63" t="s">
        <v>527</v>
      </c>
      <c r="K19" s="74" t="s">
        <v>681</v>
      </c>
      <c r="L19" s="29" t="s">
        <v>681</v>
      </c>
      <c r="M19" s="74" t="s">
        <v>682</v>
      </c>
      <c r="N19" s="63" t="s">
        <v>682</v>
      </c>
      <c r="O19" s="74" t="s">
        <v>683</v>
      </c>
    </row>
    <row r="20">
      <c r="A20" s="9" t="s">
        <v>77</v>
      </c>
      <c r="B20" s="10" t="s">
        <v>78</v>
      </c>
      <c r="C20" s="55" t="s">
        <v>79</v>
      </c>
      <c r="D20" s="12" t="s">
        <v>531</v>
      </c>
      <c r="E20" s="63" t="s">
        <v>531</v>
      </c>
      <c r="F20" s="63" t="s">
        <v>531</v>
      </c>
      <c r="G20" s="53" t="s">
        <v>531</v>
      </c>
      <c r="H20" s="53" t="s">
        <v>531</v>
      </c>
      <c r="I20" s="53" t="s">
        <v>531</v>
      </c>
      <c r="J20" s="63" t="s">
        <v>531</v>
      </c>
      <c r="K20" s="63" t="s">
        <v>531</v>
      </c>
      <c r="L20" s="63" t="s">
        <v>531</v>
      </c>
      <c r="M20" s="63" t="s">
        <v>531</v>
      </c>
      <c r="N20" s="63" t="s">
        <v>531</v>
      </c>
      <c r="O20" s="63" t="s">
        <v>531</v>
      </c>
    </row>
    <row r="21">
      <c r="A21" s="9" t="s">
        <v>82</v>
      </c>
      <c r="B21" s="10" t="s">
        <v>83</v>
      </c>
      <c r="C21" s="56" t="s">
        <v>84</v>
      </c>
      <c r="D21" s="12" t="s">
        <v>684</v>
      </c>
      <c r="E21" s="63" t="s">
        <v>685</v>
      </c>
      <c r="F21" s="63" t="s">
        <v>685</v>
      </c>
      <c r="G21" s="53" t="s">
        <v>686</v>
      </c>
      <c r="H21" s="53" t="s">
        <v>686</v>
      </c>
      <c r="I21" s="53" t="s">
        <v>686</v>
      </c>
      <c r="J21" s="63" t="s">
        <v>686</v>
      </c>
      <c r="K21" s="74" t="s">
        <v>533</v>
      </c>
      <c r="L21" s="29" t="s">
        <v>533</v>
      </c>
      <c r="M21" s="63" t="s">
        <v>533</v>
      </c>
      <c r="N21" s="63" t="s">
        <v>533</v>
      </c>
      <c r="O21" s="63" t="s">
        <v>533</v>
      </c>
    </row>
    <row r="22">
      <c r="A22" s="9" t="s">
        <v>87</v>
      </c>
      <c r="B22" s="10" t="s">
        <v>88</v>
      </c>
      <c r="C22" s="11" t="s">
        <v>89</v>
      </c>
      <c r="D22" s="12" t="s">
        <v>535</v>
      </c>
      <c r="E22" s="29" t="s">
        <v>535</v>
      </c>
      <c r="F22" s="29" t="s">
        <v>535</v>
      </c>
      <c r="G22" s="53" t="s">
        <v>535</v>
      </c>
      <c r="H22" s="53" t="s">
        <v>535</v>
      </c>
      <c r="I22" s="53" t="s">
        <v>535</v>
      </c>
      <c r="J22" s="29" t="s">
        <v>535</v>
      </c>
      <c r="K22" s="75" t="s">
        <v>687</v>
      </c>
      <c r="L22" s="75" t="s">
        <v>688</v>
      </c>
      <c r="M22" s="63" t="s">
        <v>688</v>
      </c>
      <c r="N22" s="63" t="s">
        <v>688</v>
      </c>
      <c r="O22" s="52" t="s">
        <v>315</v>
      </c>
    </row>
    <row r="23">
      <c r="A23" s="27" t="s">
        <v>317</v>
      </c>
      <c r="B23" s="28" t="s">
        <v>318</v>
      </c>
      <c r="C23" s="15" t="str">
        <f>HYPERLINK("https://android-cret.corp.google.com/#fusion:id=com.google.android.ims","com.google.android.ims")</f>
        <v>com.google.android.ims</v>
      </c>
      <c r="D23" s="12" t="s">
        <v>319</v>
      </c>
      <c r="E23" s="63" t="s">
        <v>319</v>
      </c>
      <c r="F23" s="63" t="s">
        <v>319</v>
      </c>
      <c r="G23" s="53" t="s">
        <v>319</v>
      </c>
      <c r="H23" s="53" t="s">
        <v>319</v>
      </c>
      <c r="I23" s="53" t="s">
        <v>319</v>
      </c>
      <c r="J23" s="63" t="s">
        <v>319</v>
      </c>
      <c r="K23" s="63" t="s">
        <v>319</v>
      </c>
      <c r="L23" s="29" t="s">
        <v>319</v>
      </c>
      <c r="M23" s="63" t="s">
        <v>319</v>
      </c>
      <c r="N23" s="63" t="s">
        <v>319</v>
      </c>
      <c r="O23" s="63" t="s">
        <v>319</v>
      </c>
    </row>
    <row r="24">
      <c r="A24" s="27" t="s">
        <v>97</v>
      </c>
      <c r="B24" s="28" t="s">
        <v>98</v>
      </c>
      <c r="C24" s="15" t="str">
        <f>HYPERLINK("https://android-cret.corp.google.com/#fusion:id=com.google.android.dialer","com.google.android.dialer")</f>
        <v>com.google.android.dialer</v>
      </c>
      <c r="D24" s="12" t="s">
        <v>689</v>
      </c>
      <c r="E24" s="63" t="s">
        <v>690</v>
      </c>
      <c r="F24" s="63" t="s">
        <v>690</v>
      </c>
      <c r="G24" s="53" t="s">
        <v>691</v>
      </c>
      <c r="H24" s="53" t="s">
        <v>691</v>
      </c>
      <c r="I24" s="53" t="s">
        <v>692</v>
      </c>
      <c r="J24" s="77" t="s">
        <v>692</v>
      </c>
      <c r="K24" s="78" t="s">
        <v>693</v>
      </c>
      <c r="L24" s="63" t="s">
        <v>693</v>
      </c>
      <c r="M24" s="74" t="s">
        <v>538</v>
      </c>
      <c r="N24" s="63" t="s">
        <v>538</v>
      </c>
      <c r="O24" s="74" t="s">
        <v>539</v>
      </c>
    </row>
    <row r="25">
      <c r="A25" s="27" t="s">
        <v>327</v>
      </c>
      <c r="B25" s="28" t="s">
        <v>328</v>
      </c>
      <c r="C25" s="11" t="s">
        <v>329</v>
      </c>
      <c r="D25" s="12" t="s">
        <v>330</v>
      </c>
      <c r="E25" s="29" t="s">
        <v>330</v>
      </c>
      <c r="F25" s="29" t="s">
        <v>330</v>
      </c>
      <c r="G25" s="53" t="s">
        <v>330</v>
      </c>
      <c r="H25" s="53" t="s">
        <v>330</v>
      </c>
      <c r="I25" s="53" t="s">
        <v>330</v>
      </c>
      <c r="J25" s="29" t="s">
        <v>330</v>
      </c>
      <c r="K25" s="29" t="s">
        <v>330</v>
      </c>
      <c r="L25" s="29" t="s">
        <v>330</v>
      </c>
      <c r="M25" s="63" t="s">
        <v>330</v>
      </c>
      <c r="N25" s="63" t="s">
        <v>330</v>
      </c>
      <c r="O25" s="63" t="s">
        <v>330</v>
      </c>
    </row>
    <row r="26">
      <c r="A26" s="27" t="s">
        <v>101</v>
      </c>
      <c r="B26" s="28" t="s">
        <v>102</v>
      </c>
      <c r="C26" s="15" t="str">
        <f>HYPERLINK("https://android-cret.corp.google.com/#fusion:id=com.google.android.apps.turbo","com.google.android.apps.turbo")</f>
        <v>com.google.android.apps.turbo</v>
      </c>
      <c r="D26" s="12" t="s">
        <v>694</v>
      </c>
      <c r="E26" s="63" t="s">
        <v>694</v>
      </c>
      <c r="F26" s="63" t="s">
        <v>694</v>
      </c>
      <c r="G26" s="53" t="s">
        <v>694</v>
      </c>
      <c r="H26" s="53" t="s">
        <v>694</v>
      </c>
      <c r="I26" s="53" t="s">
        <v>694</v>
      </c>
      <c r="J26" s="63" t="s">
        <v>694</v>
      </c>
      <c r="K26" s="74" t="s">
        <v>332</v>
      </c>
      <c r="L26" s="63" t="s">
        <v>332</v>
      </c>
      <c r="M26" s="63" t="s">
        <v>332</v>
      </c>
      <c r="N26" s="63" t="s">
        <v>332</v>
      </c>
      <c r="O26" s="63" t="s">
        <v>332</v>
      </c>
    </row>
    <row r="27">
      <c r="A27" s="27" t="s">
        <v>105</v>
      </c>
      <c r="B27" s="28" t="s">
        <v>106</v>
      </c>
      <c r="C27" s="15" t="s">
        <v>107</v>
      </c>
      <c r="D27" s="12" t="s">
        <v>695</v>
      </c>
      <c r="E27" s="63" t="s">
        <v>696</v>
      </c>
      <c r="F27" s="63" t="s">
        <v>696</v>
      </c>
      <c r="G27" s="53" t="s">
        <v>697</v>
      </c>
      <c r="H27" s="53" t="s">
        <v>697</v>
      </c>
      <c r="I27" s="53" t="s">
        <v>698</v>
      </c>
      <c r="J27" s="63" t="s">
        <v>698</v>
      </c>
      <c r="K27" s="74" t="s">
        <v>541</v>
      </c>
      <c r="L27" s="29" t="s">
        <v>541</v>
      </c>
      <c r="M27" s="74" t="s">
        <v>542</v>
      </c>
      <c r="N27" s="63" t="s">
        <v>542</v>
      </c>
      <c r="O27" s="74" t="s">
        <v>335</v>
      </c>
    </row>
    <row r="28">
      <c r="A28" s="29" t="s">
        <v>110</v>
      </c>
      <c r="B28" s="11" t="s">
        <v>111</v>
      </c>
      <c r="C28" s="11" t="s">
        <v>112</v>
      </c>
      <c r="D28" s="12" t="s">
        <v>635</v>
      </c>
      <c r="E28" s="29" t="s">
        <v>635</v>
      </c>
      <c r="F28" s="82" t="s">
        <v>699</v>
      </c>
      <c r="G28" s="53" t="s">
        <v>699</v>
      </c>
      <c r="H28" s="53" t="s">
        <v>699</v>
      </c>
      <c r="I28" s="53" t="s">
        <v>700</v>
      </c>
      <c r="J28" s="66" t="s">
        <v>700</v>
      </c>
      <c r="K28" s="81" t="s">
        <v>700</v>
      </c>
      <c r="L28" s="63" t="s">
        <v>700</v>
      </c>
      <c r="M28" s="74" t="s">
        <v>701</v>
      </c>
      <c r="N28" s="63" t="s">
        <v>701</v>
      </c>
      <c r="O28" s="63" t="s">
        <v>701</v>
      </c>
    </row>
    <row r="29">
      <c r="A29" s="29"/>
      <c r="B29" s="11"/>
      <c r="C29" s="11"/>
      <c r="D29" s="12"/>
      <c r="E29" s="29"/>
      <c r="F29" s="29"/>
      <c r="G29" s="53"/>
      <c r="H29" s="53"/>
      <c r="I29" s="53"/>
      <c r="J29" s="29"/>
      <c r="K29" s="29"/>
      <c r="L29" s="29"/>
      <c r="M29" s="63"/>
      <c r="N29" s="63"/>
      <c r="O29" s="63"/>
    </row>
    <row r="30">
      <c r="A30" s="48" t="s">
        <v>113</v>
      </c>
      <c r="B30" s="5"/>
      <c r="C30" s="58"/>
      <c r="D30" s="12"/>
      <c r="E30" s="50"/>
      <c r="F30" s="50"/>
      <c r="G30" s="12"/>
      <c r="H30" s="12"/>
      <c r="I30" s="12"/>
      <c r="J30" s="50"/>
      <c r="K30" s="72"/>
      <c r="L30" s="72"/>
      <c r="M30" s="72"/>
      <c r="N30" s="72"/>
      <c r="O30" s="72"/>
    </row>
    <row r="31">
      <c r="A31" s="9" t="s">
        <v>114</v>
      </c>
      <c r="B31" s="10" t="s">
        <v>114</v>
      </c>
      <c r="C31" s="15" t="str">
        <f>HYPERLINK("https://android-cret.corp.google.com/#fusion:id=com.android.chrome","com.android.chrome")</f>
        <v>com.android.chrome</v>
      </c>
      <c r="D31" s="12" t="s">
        <v>702</v>
      </c>
      <c r="E31" s="63" t="s">
        <v>703</v>
      </c>
      <c r="F31" s="74" t="s">
        <v>704</v>
      </c>
      <c r="G31" s="53" t="s">
        <v>704</v>
      </c>
      <c r="H31" s="53" t="s">
        <v>704</v>
      </c>
      <c r="I31" s="53" t="s">
        <v>705</v>
      </c>
      <c r="J31" s="74" t="s">
        <v>545</v>
      </c>
      <c r="K31" s="74" t="s">
        <v>706</v>
      </c>
      <c r="L31" s="29" t="s">
        <v>706</v>
      </c>
      <c r="M31" s="74" t="s">
        <v>547</v>
      </c>
      <c r="N31" s="63" t="s">
        <v>547</v>
      </c>
      <c r="O31" s="74" t="s">
        <v>344</v>
      </c>
    </row>
    <row r="32">
      <c r="A32" s="9" t="s">
        <v>117</v>
      </c>
      <c r="B32" s="10" t="s">
        <v>117</v>
      </c>
      <c r="C32" s="15" t="str">
        <f>HYPERLINK("https://android-cret.corp.google.com/#fusion:id=com.google.android.apps.docs","com.google.android.apps.docs")</f>
        <v>com.google.android.apps.docs</v>
      </c>
      <c r="D32" s="12" t="s">
        <v>707</v>
      </c>
      <c r="E32" s="63" t="s">
        <v>708</v>
      </c>
      <c r="F32" s="63" t="s">
        <v>708</v>
      </c>
      <c r="G32" s="53" t="s">
        <v>709</v>
      </c>
      <c r="H32" s="53" t="s">
        <v>709</v>
      </c>
      <c r="I32" s="53" t="s">
        <v>710</v>
      </c>
      <c r="J32" s="63" t="s">
        <v>710</v>
      </c>
      <c r="K32" s="74" t="s">
        <v>711</v>
      </c>
      <c r="L32" s="63" t="s">
        <v>711</v>
      </c>
      <c r="M32" s="74" t="s">
        <v>551</v>
      </c>
      <c r="N32" s="63" t="s">
        <v>551</v>
      </c>
      <c r="O32" s="74" t="s">
        <v>350</v>
      </c>
    </row>
    <row r="33">
      <c r="A33" s="9" t="s">
        <v>120</v>
      </c>
      <c r="B33" s="10" t="s">
        <v>120</v>
      </c>
      <c r="C33" s="15" t="str">
        <f>HYPERLINK("https://android-cret.corp.google.com/#fusion:id=com.google.android.apps.tachyon","com.google.android.apps.tachyon")</f>
        <v>com.google.android.apps.tachyon</v>
      </c>
      <c r="D33" s="12" t="s">
        <v>712</v>
      </c>
      <c r="E33" s="63" t="s">
        <v>713</v>
      </c>
      <c r="F33" s="63" t="s">
        <v>713</v>
      </c>
      <c r="G33" s="53" t="s">
        <v>714</v>
      </c>
      <c r="H33" s="53" t="s">
        <v>714</v>
      </c>
      <c r="I33" s="53" t="s">
        <v>715</v>
      </c>
      <c r="J33" s="63" t="s">
        <v>715</v>
      </c>
      <c r="K33" s="74" t="s">
        <v>716</v>
      </c>
      <c r="L33" s="29" t="s">
        <v>716</v>
      </c>
      <c r="M33" s="74" t="s">
        <v>555</v>
      </c>
      <c r="N33" s="63" t="s">
        <v>555</v>
      </c>
      <c r="O33" s="74" t="s">
        <v>556</v>
      </c>
    </row>
    <row r="34">
      <c r="A34" s="9" t="s">
        <v>123</v>
      </c>
      <c r="B34" s="10" t="s">
        <v>124</v>
      </c>
      <c r="C34" s="15" t="str">
        <f>HYPERLINK("https://android-cret.corp.google.com/#fusion:id=com.google.android.gm","com.google.android.gm")</f>
        <v>com.google.android.gm</v>
      </c>
      <c r="D34" s="12" t="s">
        <v>717</v>
      </c>
      <c r="E34" s="63" t="s">
        <v>718</v>
      </c>
      <c r="F34" s="63" t="s">
        <v>718</v>
      </c>
      <c r="G34" s="53" t="s">
        <v>719</v>
      </c>
      <c r="H34" s="53" t="s">
        <v>719</v>
      </c>
      <c r="I34" s="53" t="s">
        <v>720</v>
      </c>
      <c r="J34" s="63" t="s">
        <v>720</v>
      </c>
      <c r="K34" s="74" t="s">
        <v>721</v>
      </c>
      <c r="L34" s="63" t="s">
        <v>721</v>
      </c>
      <c r="M34" s="74" t="s">
        <v>560</v>
      </c>
      <c r="N34" s="63" t="s">
        <v>560</v>
      </c>
      <c r="O34" s="74" t="s">
        <v>561</v>
      </c>
    </row>
    <row r="35">
      <c r="A35" s="9" t="s">
        <v>127</v>
      </c>
      <c r="B35" s="10" t="s">
        <v>128</v>
      </c>
      <c r="C35" s="11" t="s">
        <v>129</v>
      </c>
      <c r="D35" s="12" t="s">
        <v>722</v>
      </c>
      <c r="E35" s="29" t="s">
        <v>722</v>
      </c>
      <c r="F35" s="29" t="s">
        <v>722</v>
      </c>
      <c r="G35" s="53" t="s">
        <v>722</v>
      </c>
      <c r="H35" s="53" t="s">
        <v>722</v>
      </c>
      <c r="I35" s="53" t="s">
        <v>722</v>
      </c>
      <c r="J35" s="29" t="s">
        <v>722</v>
      </c>
      <c r="K35" s="75" t="s">
        <v>562</v>
      </c>
      <c r="L35" s="29" t="s">
        <v>562</v>
      </c>
      <c r="M35" s="63" t="s">
        <v>562</v>
      </c>
      <c r="N35" s="63" t="s">
        <v>562</v>
      </c>
      <c r="O35" s="63" t="s">
        <v>562</v>
      </c>
    </row>
    <row r="36">
      <c r="A36" s="9" t="s">
        <v>131</v>
      </c>
      <c r="B36" s="10" t="s">
        <v>131</v>
      </c>
      <c r="C36" s="15" t="str">
        <f>HYPERLINK("https://android-cret.corp.google.com/#fusion:id=com.google.android.apps.maps","com.google.android.apps.maps")</f>
        <v>com.google.android.apps.maps</v>
      </c>
      <c r="D36" s="12" t="s">
        <v>723</v>
      </c>
      <c r="E36" s="63" t="s">
        <v>724</v>
      </c>
      <c r="F36" s="63" t="s">
        <v>724</v>
      </c>
      <c r="G36" s="53" t="s">
        <v>725</v>
      </c>
      <c r="H36" s="53" t="s">
        <v>725</v>
      </c>
      <c r="I36" s="53" t="s">
        <v>726</v>
      </c>
      <c r="J36" s="63" t="s">
        <v>726</v>
      </c>
      <c r="K36" s="74" t="s">
        <v>727</v>
      </c>
      <c r="L36" s="63" t="s">
        <v>727</v>
      </c>
      <c r="M36" s="74" t="s">
        <v>565</v>
      </c>
      <c r="N36" s="63" t="s">
        <v>565</v>
      </c>
      <c r="O36" s="74" t="s">
        <v>566</v>
      </c>
    </row>
    <row r="37">
      <c r="A37" s="9" t="s">
        <v>134</v>
      </c>
      <c r="B37" s="10" t="s">
        <v>135</v>
      </c>
      <c r="C37" s="15" t="str">
        <f>HYPERLINK("https://android-cret.corp.google.com/#fusion:id=com.google.android.apps.photos","com.google.android.apps.photos")</f>
        <v>com.google.android.apps.photos</v>
      </c>
      <c r="D37" s="12" t="s">
        <v>728</v>
      </c>
      <c r="E37" s="63" t="s">
        <v>729</v>
      </c>
      <c r="F37" s="63" t="s">
        <v>729</v>
      </c>
      <c r="G37" s="53" t="s">
        <v>730</v>
      </c>
      <c r="H37" s="53" t="s">
        <v>730</v>
      </c>
      <c r="I37" s="53" t="s">
        <v>731</v>
      </c>
      <c r="J37" s="63" t="s">
        <v>731</v>
      </c>
      <c r="K37" s="74" t="s">
        <v>732</v>
      </c>
      <c r="L37" s="29" t="s">
        <v>732</v>
      </c>
      <c r="M37" s="74" t="s">
        <v>569</v>
      </c>
      <c r="N37" s="63" t="s">
        <v>569</v>
      </c>
      <c r="O37" s="74" t="s">
        <v>570</v>
      </c>
    </row>
    <row r="38">
      <c r="A38" s="9" t="s">
        <v>138</v>
      </c>
      <c r="B38" s="10" t="s">
        <v>139</v>
      </c>
      <c r="C38" s="15" t="str">
        <f>HYPERLINK("https://android-cret.corp.google.com/#fusion:id=com.google.android.videos","com.google.android.videos")</f>
        <v>com.google.android.videos</v>
      </c>
      <c r="D38" s="12" t="s">
        <v>733</v>
      </c>
      <c r="E38" s="63" t="s">
        <v>734</v>
      </c>
      <c r="F38" s="63" t="s">
        <v>734</v>
      </c>
      <c r="G38" s="53" t="s">
        <v>571</v>
      </c>
      <c r="H38" s="53" t="s">
        <v>571</v>
      </c>
      <c r="I38" s="53" t="s">
        <v>571</v>
      </c>
      <c r="J38" s="63" t="s">
        <v>571</v>
      </c>
      <c r="K38" s="74" t="s">
        <v>735</v>
      </c>
      <c r="L38" s="74" t="s">
        <v>572</v>
      </c>
      <c r="M38" s="74" t="s">
        <v>573</v>
      </c>
      <c r="N38" s="63" t="s">
        <v>573</v>
      </c>
      <c r="O38" s="74" t="s">
        <v>385</v>
      </c>
    </row>
    <row r="39">
      <c r="A39" s="9" t="s">
        <v>142</v>
      </c>
      <c r="B39" s="10" t="s">
        <v>143</v>
      </c>
      <c r="C39" s="15" t="str">
        <f>HYPERLINK("https://android-cret.corp.google.com/#fusion:id=com.google.android.webview","com.google.android.webview")</f>
        <v>com.google.android.webview</v>
      </c>
      <c r="D39" s="12" t="s">
        <v>702</v>
      </c>
      <c r="E39" s="63" t="s">
        <v>703</v>
      </c>
      <c r="F39" s="80" t="s">
        <v>704</v>
      </c>
      <c r="G39" s="53" t="s">
        <v>704</v>
      </c>
      <c r="H39" s="53" t="s">
        <v>704</v>
      </c>
      <c r="I39" s="53" t="s">
        <v>705</v>
      </c>
      <c r="J39" s="74" t="s">
        <v>545</v>
      </c>
      <c r="K39" s="74" t="s">
        <v>706</v>
      </c>
      <c r="L39" s="29" t="s">
        <v>706</v>
      </c>
      <c r="M39" s="74" t="s">
        <v>547</v>
      </c>
      <c r="N39" s="63" t="s">
        <v>547</v>
      </c>
      <c r="O39" s="74" t="s">
        <v>344</v>
      </c>
    </row>
    <row r="40">
      <c r="A40" s="9" t="s">
        <v>145</v>
      </c>
      <c r="B40" s="10" t="s">
        <v>145</v>
      </c>
      <c r="C40" s="15" t="str">
        <f>HYPERLINK("https://android-cret.corp.google.com/#fusion:id=com.google.android.youtube","com.google.android.youtube")</f>
        <v>com.google.android.youtube</v>
      </c>
      <c r="D40" s="12" t="s">
        <v>736</v>
      </c>
      <c r="E40" s="63" t="s">
        <v>737</v>
      </c>
      <c r="F40" s="63" t="s">
        <v>737</v>
      </c>
      <c r="G40" s="53" t="s">
        <v>738</v>
      </c>
      <c r="H40" s="53" t="s">
        <v>738</v>
      </c>
      <c r="I40" s="53" t="s">
        <v>739</v>
      </c>
      <c r="J40" s="63" t="s">
        <v>739</v>
      </c>
      <c r="K40" s="74" t="s">
        <v>574</v>
      </c>
      <c r="L40" s="63" t="s">
        <v>574</v>
      </c>
      <c r="M40" s="74" t="s">
        <v>575</v>
      </c>
      <c r="N40" s="63" t="s">
        <v>575</v>
      </c>
      <c r="O40" s="74" t="s">
        <v>576</v>
      </c>
    </row>
    <row r="41">
      <c r="A41" s="9" t="s">
        <v>148</v>
      </c>
      <c r="B41" s="10" t="s">
        <v>149</v>
      </c>
      <c r="C41" s="11" t="s">
        <v>150</v>
      </c>
      <c r="D41" s="12" t="s">
        <v>740</v>
      </c>
      <c r="E41" s="63" t="s">
        <v>741</v>
      </c>
      <c r="F41" s="63" t="s">
        <v>741</v>
      </c>
      <c r="G41" s="53" t="s">
        <v>742</v>
      </c>
      <c r="H41" s="53" t="s">
        <v>742</v>
      </c>
      <c r="I41" s="53" t="s">
        <v>743</v>
      </c>
      <c r="J41" s="63" t="s">
        <v>743</v>
      </c>
      <c r="K41" s="74" t="s">
        <v>744</v>
      </c>
      <c r="L41" s="29" t="s">
        <v>744</v>
      </c>
      <c r="M41" s="63" t="s">
        <v>744</v>
      </c>
      <c r="N41" s="63" t="s">
        <v>744</v>
      </c>
      <c r="O41" s="74" t="s">
        <v>579</v>
      </c>
    </row>
    <row r="42">
      <c r="A42" s="9" t="s">
        <v>153</v>
      </c>
      <c r="B42" s="10" t="s">
        <v>154</v>
      </c>
      <c r="C42" s="15" t="str">
        <f>HYPERLINK("https://android-cret.corp.google.com/#fusion:id=com.google.android.tts","com.google.android.tts")</f>
        <v>com.google.android.tts</v>
      </c>
      <c r="D42" s="12" t="s">
        <v>745</v>
      </c>
      <c r="E42" s="29" t="s">
        <v>745</v>
      </c>
      <c r="F42" s="29" t="s">
        <v>745</v>
      </c>
      <c r="G42" s="53" t="s">
        <v>745</v>
      </c>
      <c r="H42" s="53" t="s">
        <v>745</v>
      </c>
      <c r="I42" s="53" t="s">
        <v>745</v>
      </c>
      <c r="J42" s="29" t="s">
        <v>745</v>
      </c>
      <c r="K42" s="75" t="s">
        <v>746</v>
      </c>
      <c r="L42" s="63" t="s">
        <v>746</v>
      </c>
      <c r="M42" s="63" t="s">
        <v>746</v>
      </c>
      <c r="N42" s="63" t="s">
        <v>746</v>
      </c>
      <c r="O42" s="63" t="s">
        <v>746</v>
      </c>
    </row>
    <row r="43">
      <c r="A43" s="27" t="s">
        <v>157</v>
      </c>
      <c r="B43" s="28" t="s">
        <v>158</v>
      </c>
      <c r="C43" s="11" t="s">
        <v>159</v>
      </c>
      <c r="D43" s="12" t="s">
        <v>747</v>
      </c>
      <c r="E43" s="63" t="s">
        <v>747</v>
      </c>
      <c r="F43" s="63" t="s">
        <v>747</v>
      </c>
      <c r="G43" s="53" t="s">
        <v>747</v>
      </c>
      <c r="H43" s="53" t="s">
        <v>747</v>
      </c>
      <c r="I43" s="53" t="s">
        <v>582</v>
      </c>
      <c r="J43" s="63" t="s">
        <v>582</v>
      </c>
      <c r="K43" s="74" t="s">
        <v>402</v>
      </c>
      <c r="L43" s="29" t="s">
        <v>402</v>
      </c>
      <c r="M43" s="63" t="s">
        <v>402</v>
      </c>
      <c r="N43" s="63" t="s">
        <v>402</v>
      </c>
      <c r="O43" s="74" t="s">
        <v>403</v>
      </c>
    </row>
    <row r="44">
      <c r="A44" s="27" t="s">
        <v>162</v>
      </c>
      <c r="B44" s="28" t="s">
        <v>163</v>
      </c>
      <c r="C44" s="15" t="str">
        <f>HYPERLINK("https://android-cret.corp.google.com/#fusion:id=com.google.android.calendar","com.google.android.calendar")</f>
        <v>com.google.android.calendar</v>
      </c>
      <c r="D44" s="12" t="s">
        <v>748</v>
      </c>
      <c r="E44" s="63" t="s">
        <v>583</v>
      </c>
      <c r="F44" s="63" t="s">
        <v>583</v>
      </c>
      <c r="G44" s="53" t="s">
        <v>583</v>
      </c>
      <c r="H44" s="53" t="s">
        <v>583</v>
      </c>
      <c r="I44" s="53" t="s">
        <v>583</v>
      </c>
      <c r="J44" s="63" t="s">
        <v>583</v>
      </c>
      <c r="K44" s="74" t="s">
        <v>749</v>
      </c>
      <c r="L44" s="63" t="s">
        <v>749</v>
      </c>
      <c r="M44" s="74" t="s">
        <v>586</v>
      </c>
      <c r="N44" s="63" t="s">
        <v>586</v>
      </c>
      <c r="O44" s="74" t="s">
        <v>406</v>
      </c>
    </row>
    <row r="45">
      <c r="A45" s="27" t="s">
        <v>166</v>
      </c>
      <c r="B45" s="28" t="s">
        <v>167</v>
      </c>
      <c r="C45" s="32" t="s">
        <v>168</v>
      </c>
      <c r="D45" s="12" t="s">
        <v>412</v>
      </c>
      <c r="E45" s="63" t="s">
        <v>412</v>
      </c>
      <c r="F45" s="63" t="s">
        <v>412</v>
      </c>
      <c r="G45" s="53" t="s">
        <v>412</v>
      </c>
      <c r="H45" s="53" t="s">
        <v>412</v>
      </c>
      <c r="I45" s="53" t="s">
        <v>412</v>
      </c>
      <c r="J45" s="63" t="s">
        <v>412</v>
      </c>
      <c r="K45" s="63" t="s">
        <v>412</v>
      </c>
      <c r="L45" s="29" t="s">
        <v>412</v>
      </c>
      <c r="M45" s="63" t="s">
        <v>412</v>
      </c>
      <c r="N45" s="63" t="s">
        <v>412</v>
      </c>
      <c r="O45" s="63" t="s">
        <v>412</v>
      </c>
    </row>
    <row r="46">
      <c r="A46" s="33" t="s">
        <v>171</v>
      </c>
      <c r="B46" s="33" t="s">
        <v>171</v>
      </c>
      <c r="C46" s="34" t="s">
        <v>172</v>
      </c>
      <c r="D46" s="68"/>
      <c r="E46" s="68"/>
      <c r="F46" s="68"/>
      <c r="G46" s="8"/>
      <c r="H46" s="8"/>
      <c r="J46" s="63"/>
      <c r="K46" s="63"/>
      <c r="L46" s="63"/>
      <c r="M46" s="74" t="s">
        <v>587</v>
      </c>
      <c r="N46" s="63" t="s">
        <v>587</v>
      </c>
      <c r="O46" s="63" t="s">
        <v>587</v>
      </c>
    </row>
    <row r="47">
      <c r="A47" s="27" t="s">
        <v>175</v>
      </c>
      <c r="B47" s="28" t="s">
        <v>175</v>
      </c>
      <c r="C47" s="32" t="s">
        <v>176</v>
      </c>
      <c r="D47" s="12" t="s">
        <v>750</v>
      </c>
      <c r="E47" s="63" t="s">
        <v>751</v>
      </c>
      <c r="F47" s="63" t="s">
        <v>751</v>
      </c>
      <c r="G47" s="53" t="s">
        <v>752</v>
      </c>
      <c r="H47" s="53" t="s">
        <v>752</v>
      </c>
      <c r="I47" s="53" t="s">
        <v>588</v>
      </c>
      <c r="J47" s="63" t="s">
        <v>588</v>
      </c>
      <c r="K47" s="63" t="s">
        <v>588</v>
      </c>
      <c r="L47" s="63" t="s">
        <v>588</v>
      </c>
      <c r="M47" s="63" t="s">
        <v>588</v>
      </c>
      <c r="N47" s="63" t="s">
        <v>588</v>
      </c>
      <c r="O47" s="74" t="s">
        <v>417</v>
      </c>
    </row>
    <row r="48">
      <c r="A48" s="27" t="s">
        <v>179</v>
      </c>
      <c r="B48" s="28" t="s">
        <v>180</v>
      </c>
      <c r="C48" s="15" t="str">
        <f>HYPERLINK("https://android-cret.corp.google.com/#fusion:id=com.google.android.deskclock","com.google.android.deskclock")</f>
        <v>com.google.android.deskclock</v>
      </c>
      <c r="D48" s="12" t="s">
        <v>753</v>
      </c>
      <c r="E48" s="63" t="s">
        <v>754</v>
      </c>
      <c r="F48" s="63" t="s">
        <v>754</v>
      </c>
      <c r="G48" s="53" t="s">
        <v>754</v>
      </c>
      <c r="H48" s="53" t="s">
        <v>754</v>
      </c>
      <c r="I48" s="53" t="s">
        <v>589</v>
      </c>
      <c r="J48" s="63" t="s">
        <v>589</v>
      </c>
      <c r="K48" s="63" t="s">
        <v>589</v>
      </c>
      <c r="L48" s="29" t="s">
        <v>589</v>
      </c>
      <c r="M48" s="74" t="s">
        <v>418</v>
      </c>
      <c r="N48" s="63" t="s">
        <v>418</v>
      </c>
      <c r="O48" s="74" t="s">
        <v>419</v>
      </c>
    </row>
    <row r="49">
      <c r="A49" s="69" t="s">
        <v>183</v>
      </c>
      <c r="B49" s="69" t="s">
        <v>184</v>
      </c>
      <c r="C49" s="35" t="s">
        <v>185</v>
      </c>
      <c r="D49" s="12" t="s">
        <v>591</v>
      </c>
      <c r="E49" s="63" t="s">
        <v>591</v>
      </c>
      <c r="F49" s="63" t="s">
        <v>591</v>
      </c>
      <c r="G49" s="53" t="s">
        <v>591</v>
      </c>
      <c r="H49" s="53" t="s">
        <v>591</v>
      </c>
      <c r="I49" s="53" t="s">
        <v>591</v>
      </c>
      <c r="J49" s="63" t="s">
        <v>591</v>
      </c>
      <c r="K49" s="74" t="s">
        <v>755</v>
      </c>
      <c r="L49" s="63" t="s">
        <v>755</v>
      </c>
      <c r="M49" s="63" t="s">
        <v>755</v>
      </c>
      <c r="N49" s="63" t="s">
        <v>755</v>
      </c>
      <c r="O49" s="74" t="s">
        <v>423</v>
      </c>
    </row>
    <row r="50">
      <c r="A50" s="27" t="s">
        <v>187</v>
      </c>
      <c r="B50" s="28" t="s">
        <v>188</v>
      </c>
      <c r="C50" s="15" t="str">
        <f>HYPERLINK("https://android-cret.corp.google.com/#fusion:id=com.google.android.contacts","com.google.android.contacts")</f>
        <v>com.google.android.contacts</v>
      </c>
      <c r="D50" s="12" t="s">
        <v>756</v>
      </c>
      <c r="E50" s="63" t="s">
        <v>757</v>
      </c>
      <c r="F50" s="63" t="s">
        <v>757</v>
      </c>
      <c r="G50" s="53" t="s">
        <v>592</v>
      </c>
      <c r="H50" s="53" t="s">
        <v>592</v>
      </c>
      <c r="I50" s="53" t="s">
        <v>592</v>
      </c>
      <c r="J50" s="63" t="s">
        <v>592</v>
      </c>
      <c r="K50" s="74" t="s">
        <v>593</v>
      </c>
      <c r="L50" s="29" t="s">
        <v>593</v>
      </c>
      <c r="M50" s="74" t="s">
        <v>594</v>
      </c>
      <c r="N50" s="63" t="s">
        <v>594</v>
      </c>
      <c r="O50" s="74" t="s">
        <v>426</v>
      </c>
    </row>
    <row r="51">
      <c r="A51" s="27" t="s">
        <v>191</v>
      </c>
      <c r="B51" s="28" t="s">
        <v>191</v>
      </c>
      <c r="C51" s="15" t="str">
        <f>HYPERLINK("https://android-cret.corp.google.com/#fusion:id=com.google.android.keep","com.google.android.keep")</f>
        <v>com.google.android.keep</v>
      </c>
      <c r="D51" s="12" t="s">
        <v>758</v>
      </c>
      <c r="E51" s="63" t="s">
        <v>759</v>
      </c>
      <c r="F51" s="63" t="s">
        <v>759</v>
      </c>
      <c r="G51" s="53" t="s">
        <v>760</v>
      </c>
      <c r="H51" s="53" t="s">
        <v>760</v>
      </c>
      <c r="I51" s="53" t="s">
        <v>761</v>
      </c>
      <c r="J51" s="63" t="s">
        <v>761</v>
      </c>
      <c r="K51" s="74" t="s">
        <v>762</v>
      </c>
      <c r="L51" s="63" t="s">
        <v>762</v>
      </c>
      <c r="M51" s="63" t="s">
        <v>762</v>
      </c>
      <c r="N51" s="63" t="s">
        <v>762</v>
      </c>
      <c r="O51" s="74" t="s">
        <v>597</v>
      </c>
    </row>
    <row r="52">
      <c r="A52" s="27" t="s">
        <v>194</v>
      </c>
      <c r="B52" s="28" t="s">
        <v>195</v>
      </c>
      <c r="C52" s="15" t="str">
        <f>HYPERLINK("https://android-cret.corp.google.com/#fusion:id=com.google.android.inputmethod.latin","com.google.android.inputmethod.latin")</f>
        <v>com.google.android.inputmethod.latin</v>
      </c>
      <c r="D52" s="12" t="s">
        <v>763</v>
      </c>
      <c r="E52" s="63" t="s">
        <v>764</v>
      </c>
      <c r="F52" s="63" t="s">
        <v>764</v>
      </c>
      <c r="G52" s="53" t="s">
        <v>765</v>
      </c>
      <c r="H52" s="53" t="s">
        <v>765</v>
      </c>
      <c r="I52" s="53" t="s">
        <v>766</v>
      </c>
      <c r="J52" s="63" t="s">
        <v>766</v>
      </c>
      <c r="K52" s="74" t="s">
        <v>600</v>
      </c>
      <c r="L52" s="29" t="s">
        <v>600</v>
      </c>
      <c r="M52" s="74" t="s">
        <v>601</v>
      </c>
      <c r="N52" s="63" t="s">
        <v>601</v>
      </c>
      <c r="O52" s="74" t="s">
        <v>439</v>
      </c>
    </row>
    <row r="53">
      <c r="A53" s="27" t="s">
        <v>198</v>
      </c>
      <c r="B53" s="28" t="s">
        <v>199</v>
      </c>
      <c r="C53" s="15" t="str">
        <f>HYPERLINK("https://android-cret.corp.google.com/#fusion:id=com.google.android.marvin.talkback","com.google.android.marvin.talkback")</f>
        <v>com.google.android.marvin.talkback</v>
      </c>
      <c r="D53" s="12" t="s">
        <v>767</v>
      </c>
      <c r="E53" s="63" t="s">
        <v>768</v>
      </c>
      <c r="F53" s="63" t="s">
        <v>768</v>
      </c>
      <c r="G53" s="53" t="s">
        <v>769</v>
      </c>
      <c r="H53" s="53" t="s">
        <v>769</v>
      </c>
      <c r="I53" s="53" t="s">
        <v>769</v>
      </c>
      <c r="J53" s="63" t="s">
        <v>769</v>
      </c>
      <c r="K53" s="74" t="s">
        <v>603</v>
      </c>
      <c r="L53" s="63" t="s">
        <v>603</v>
      </c>
      <c r="M53" s="74" t="s">
        <v>604</v>
      </c>
      <c r="N53" s="63" t="s">
        <v>604</v>
      </c>
      <c r="O53" s="74" t="s">
        <v>445</v>
      </c>
    </row>
    <row r="54">
      <c r="A54" s="27" t="s">
        <v>202</v>
      </c>
      <c r="B54" s="28" t="s">
        <v>202</v>
      </c>
      <c r="C54" s="15" t="str">
        <f>HYPERLINK("https://android-cret.corp.google.com/#fusion:id=com.google.android.apps.messaging","com.google.android.apps.messaging")</f>
        <v>com.google.android.apps.messaging</v>
      </c>
      <c r="D54" s="12" t="s">
        <v>770</v>
      </c>
      <c r="E54" s="63" t="s">
        <v>771</v>
      </c>
      <c r="F54" s="63" t="s">
        <v>771</v>
      </c>
      <c r="G54" s="53" t="s">
        <v>771</v>
      </c>
      <c r="H54" s="53" t="s">
        <v>771</v>
      </c>
      <c r="I54" s="53" t="s">
        <v>772</v>
      </c>
      <c r="J54" s="63" t="s">
        <v>772</v>
      </c>
      <c r="K54" s="74" t="s">
        <v>773</v>
      </c>
      <c r="L54" s="29" t="s">
        <v>773</v>
      </c>
      <c r="M54" s="74" t="s">
        <v>607</v>
      </c>
      <c r="N54" s="63" t="s">
        <v>607</v>
      </c>
      <c r="O54" s="74" t="s">
        <v>608</v>
      </c>
    </row>
    <row r="55">
      <c r="A55" s="36" t="s">
        <v>205</v>
      </c>
      <c r="B55" s="37" t="s">
        <v>206</v>
      </c>
      <c r="C55" s="37" t="s">
        <v>207</v>
      </c>
      <c r="D55" s="12" t="s">
        <v>169</v>
      </c>
      <c r="E55" s="29" t="s">
        <v>169</v>
      </c>
      <c r="F55" s="29" t="s">
        <v>169</v>
      </c>
      <c r="G55" s="53" t="s">
        <v>169</v>
      </c>
      <c r="H55" s="53" t="s">
        <v>169</v>
      </c>
      <c r="I55" s="53" t="s">
        <v>169</v>
      </c>
      <c r="J55" s="29" t="s">
        <v>169</v>
      </c>
      <c r="K55" s="29" t="s">
        <v>169</v>
      </c>
      <c r="L55" s="63" t="s">
        <v>169</v>
      </c>
      <c r="M55" s="63" t="s">
        <v>169</v>
      </c>
      <c r="N55" s="63" t="s">
        <v>169</v>
      </c>
      <c r="O55" s="63" t="s">
        <v>169</v>
      </c>
    </row>
    <row r="56">
      <c r="A56" s="36" t="s">
        <v>208</v>
      </c>
      <c r="B56" s="37" t="s">
        <v>209</v>
      </c>
      <c r="C56" s="37" t="s">
        <v>210</v>
      </c>
      <c r="D56" s="12" t="s">
        <v>211</v>
      </c>
      <c r="E56" s="29" t="s">
        <v>211</v>
      </c>
      <c r="F56" s="29" t="s">
        <v>211</v>
      </c>
      <c r="G56" s="53" t="s">
        <v>211</v>
      </c>
      <c r="H56" s="53" t="s">
        <v>211</v>
      </c>
      <c r="I56" s="53" t="s">
        <v>211</v>
      </c>
      <c r="J56" s="29" t="s">
        <v>211</v>
      </c>
      <c r="K56" s="29" t="s">
        <v>211</v>
      </c>
      <c r="L56" s="29" t="s">
        <v>211</v>
      </c>
      <c r="M56" s="63" t="s">
        <v>211</v>
      </c>
      <c r="N56" s="63" t="s">
        <v>211</v>
      </c>
      <c r="O56" s="63" t="s">
        <v>211</v>
      </c>
    </row>
    <row r="57">
      <c r="A57" s="36"/>
      <c r="B57" s="37"/>
      <c r="C57" s="37"/>
      <c r="D57" s="12"/>
      <c r="E57" s="29"/>
      <c r="F57" s="29"/>
      <c r="G57" s="53"/>
      <c r="H57" s="53"/>
      <c r="I57" s="53"/>
      <c r="J57" s="29"/>
      <c r="K57" s="29"/>
      <c r="L57" s="29"/>
      <c r="M57" s="63"/>
      <c r="N57" s="63"/>
      <c r="O57" s="63"/>
    </row>
    <row r="58">
      <c r="A58" s="48" t="s">
        <v>213</v>
      </c>
      <c r="B58" s="5"/>
      <c r="C58" s="58"/>
      <c r="D58" s="12"/>
      <c r="E58" s="50"/>
      <c r="F58" s="50"/>
      <c r="G58" s="12"/>
      <c r="H58" s="12"/>
      <c r="I58" s="12"/>
      <c r="J58" s="50"/>
      <c r="K58" s="72"/>
      <c r="L58" s="72"/>
      <c r="M58" s="72"/>
      <c r="N58" s="72"/>
      <c r="O58" s="72"/>
    </row>
    <row r="59">
      <c r="A59" s="40" t="s">
        <v>214</v>
      </c>
      <c r="B59" s="41" t="s">
        <v>215</v>
      </c>
      <c r="C59" s="15" t="str">
        <f>HYPERLINK("https://android-cret.corp.google.com/#fusion:id=com.google.android.apps.assistant","com.google.android.apps.assistant")</f>
        <v>com.google.android.apps.assistant</v>
      </c>
      <c r="D59" s="12" t="s">
        <v>610</v>
      </c>
      <c r="E59" s="63" t="s">
        <v>610</v>
      </c>
      <c r="F59" s="63" t="s">
        <v>610</v>
      </c>
      <c r="G59" s="53" t="s">
        <v>610</v>
      </c>
      <c r="H59" s="53" t="s">
        <v>610</v>
      </c>
      <c r="I59" s="53" t="s">
        <v>610</v>
      </c>
      <c r="J59" s="63" t="s">
        <v>610</v>
      </c>
      <c r="K59" s="74" t="s">
        <v>271</v>
      </c>
      <c r="L59" s="63" t="s">
        <v>271</v>
      </c>
      <c r="M59" s="63" t="s">
        <v>271</v>
      </c>
      <c r="N59" s="63" t="s">
        <v>271</v>
      </c>
      <c r="O59" s="74" t="s">
        <v>46</v>
      </c>
    </row>
    <row r="60">
      <c r="A60" s="40" t="s">
        <v>217</v>
      </c>
      <c r="B60" s="41" t="s">
        <v>218</v>
      </c>
      <c r="C60" s="15" t="str">
        <f>HYPERLINK("https://android-cret.corp.google.com/#fusion:id=com.google.android.apps.tachyon","com.google.android.apps.tachyon")</f>
        <v>com.google.android.apps.tachyon</v>
      </c>
      <c r="D60" s="12" t="s">
        <v>712</v>
      </c>
      <c r="E60" s="63" t="s">
        <v>712</v>
      </c>
      <c r="F60" s="63" t="s">
        <v>712</v>
      </c>
      <c r="G60" s="53" t="s">
        <v>774</v>
      </c>
      <c r="H60" s="53" t="s">
        <v>774</v>
      </c>
      <c r="I60" s="53" t="s">
        <v>715</v>
      </c>
      <c r="J60" s="77" t="s">
        <v>715</v>
      </c>
      <c r="K60" s="78" t="s">
        <v>716</v>
      </c>
      <c r="L60" s="29" t="s">
        <v>716</v>
      </c>
      <c r="M60" s="74" t="s">
        <v>555</v>
      </c>
      <c r="N60" s="63" t="s">
        <v>555</v>
      </c>
      <c r="O60" s="74" t="s">
        <v>556</v>
      </c>
    </row>
    <row r="61">
      <c r="A61" s="40" t="s">
        <v>219</v>
      </c>
      <c r="B61" s="41" t="s">
        <v>220</v>
      </c>
      <c r="C61" s="15" t="str">
        <f>HYPERLINK("https://android-cret.corp.google.com/#fusion:id=com.google.android.apps.nbu.files","com.google.android.apps.nbu.files")</f>
        <v>com.google.android.apps.nbu.files</v>
      </c>
      <c r="D61" s="12" t="s">
        <v>775</v>
      </c>
      <c r="E61" s="29" t="s">
        <v>775</v>
      </c>
      <c r="F61" s="29" t="s">
        <v>775</v>
      </c>
      <c r="G61" s="53" t="s">
        <v>775</v>
      </c>
      <c r="H61" s="53" t="s">
        <v>775</v>
      </c>
      <c r="I61" s="53" t="s">
        <v>776</v>
      </c>
      <c r="J61" s="29" t="s">
        <v>776</v>
      </c>
      <c r="K61" s="75" t="s">
        <v>777</v>
      </c>
      <c r="L61" s="63" t="s">
        <v>777</v>
      </c>
      <c r="M61" s="74" t="s">
        <v>613</v>
      </c>
      <c r="N61" s="63" t="s">
        <v>613</v>
      </c>
      <c r="O61" s="74" t="s">
        <v>614</v>
      </c>
    </row>
    <row r="62">
      <c r="A62" s="40" t="s">
        <v>223</v>
      </c>
      <c r="B62" s="41" t="s">
        <v>224</v>
      </c>
      <c r="C62" s="15" t="str">
        <f>HYPERLINK("https://android-cret.corp.google.com/#fusion:id=com.google.android.apps.photosgo","com.google.android.apps.photosgo")</f>
        <v>com.google.android.apps.photosgo</v>
      </c>
      <c r="D62" s="12" t="s">
        <v>778</v>
      </c>
      <c r="E62" s="29" t="s">
        <v>778</v>
      </c>
      <c r="F62" s="29" t="s">
        <v>778</v>
      </c>
      <c r="G62" s="53" t="s">
        <v>616</v>
      </c>
      <c r="H62" s="53" t="s">
        <v>616</v>
      </c>
      <c r="I62" s="53" t="s">
        <v>616</v>
      </c>
      <c r="J62" s="29" t="s">
        <v>616</v>
      </c>
      <c r="K62" s="29" t="s">
        <v>616</v>
      </c>
      <c r="L62" s="63" t="s">
        <v>616</v>
      </c>
      <c r="M62" s="74" t="s">
        <v>225</v>
      </c>
      <c r="N62" s="63" t="s">
        <v>225</v>
      </c>
      <c r="O62" s="63" t="s">
        <v>225</v>
      </c>
    </row>
    <row r="63">
      <c r="A63" s="40" t="s">
        <v>226</v>
      </c>
      <c r="B63" s="41" t="s">
        <v>227</v>
      </c>
      <c r="C63" s="15" t="str">
        <f>HYPERLINK("https://android-cret.corp.google.com/#fusion:id=com.google.android.gms","com.google.android.gms")</f>
        <v>com.google.android.gms</v>
      </c>
      <c r="D63" s="12" t="s">
        <v>779</v>
      </c>
      <c r="E63" s="63" t="s">
        <v>780</v>
      </c>
      <c r="F63" s="63" t="s">
        <v>780</v>
      </c>
      <c r="G63" s="53" t="s">
        <v>781</v>
      </c>
      <c r="H63" s="53" t="s">
        <v>781</v>
      </c>
      <c r="I63" s="53" t="s">
        <v>643</v>
      </c>
      <c r="J63" s="63" t="s">
        <v>643</v>
      </c>
      <c r="K63" s="74" t="s">
        <v>782</v>
      </c>
      <c r="L63" s="29" t="s">
        <v>782</v>
      </c>
      <c r="M63" s="74" t="s">
        <v>783</v>
      </c>
      <c r="N63" s="74" t="s">
        <v>620</v>
      </c>
      <c r="O63" s="74" t="s">
        <v>466</v>
      </c>
    </row>
    <row r="64">
      <c r="A64" s="40" t="s">
        <v>229</v>
      </c>
      <c r="B64" s="41" t="s">
        <v>230</v>
      </c>
      <c r="C64" s="15" t="str">
        <f>HYPERLINK("https://android-cret.corp.google.com/#fusion:id=com.google.android.apps.searchlite","com.google.android.apps.searchlite")</f>
        <v>com.google.android.apps.searchlite</v>
      </c>
      <c r="D64" s="12" t="s">
        <v>784</v>
      </c>
      <c r="E64" s="63" t="s">
        <v>785</v>
      </c>
      <c r="F64" s="63" t="s">
        <v>785</v>
      </c>
      <c r="G64" s="53" t="s">
        <v>786</v>
      </c>
      <c r="H64" s="53" t="s">
        <v>786</v>
      </c>
      <c r="I64" s="53" t="s">
        <v>622</v>
      </c>
      <c r="J64" s="63" t="s">
        <v>622</v>
      </c>
      <c r="K64" s="63" t="s">
        <v>622</v>
      </c>
      <c r="L64" s="63" t="s">
        <v>622</v>
      </c>
      <c r="M64" s="63" t="s">
        <v>622</v>
      </c>
      <c r="N64" s="63" t="s">
        <v>622</v>
      </c>
      <c r="O64" s="63" t="s">
        <v>622</v>
      </c>
    </row>
    <row r="65">
      <c r="A65" s="40" t="s">
        <v>233</v>
      </c>
      <c r="B65" s="41" t="s">
        <v>234</v>
      </c>
      <c r="C65" s="15" t="str">
        <f>HYPERLINK("https://android-cret.corp.google.com/#fusion:id=com.google.android.inputmethod.latin","com.google.android.inputmethod.latin")</f>
        <v>com.google.android.inputmethod.latin</v>
      </c>
      <c r="D65" s="12" t="s">
        <v>763</v>
      </c>
      <c r="E65" s="63" t="s">
        <v>764</v>
      </c>
      <c r="F65" s="63" t="s">
        <v>764</v>
      </c>
      <c r="G65" s="53" t="s">
        <v>765</v>
      </c>
      <c r="H65" s="53" t="s">
        <v>765</v>
      </c>
      <c r="I65" s="53" t="s">
        <v>766</v>
      </c>
      <c r="J65" s="63" t="s">
        <v>766</v>
      </c>
      <c r="K65" s="74" t="s">
        <v>600</v>
      </c>
      <c r="L65" s="63" t="s">
        <v>600</v>
      </c>
      <c r="M65" s="74" t="s">
        <v>601</v>
      </c>
      <c r="N65" s="63" t="s">
        <v>601</v>
      </c>
      <c r="O65" s="74" t="s">
        <v>439</v>
      </c>
    </row>
    <row r="66">
      <c r="A66" s="40" t="s">
        <v>235</v>
      </c>
      <c r="B66" s="41" t="s">
        <v>236</v>
      </c>
      <c r="C66" s="15" t="str">
        <f>HYPERLINK("https://android-cret.corp.google.com/#fusion:id=com.google.android.apps.messaging","com.google.android.apps.messaging")</f>
        <v>com.google.android.apps.messaging</v>
      </c>
      <c r="D66" s="12" t="s">
        <v>787</v>
      </c>
      <c r="E66" s="63" t="s">
        <v>771</v>
      </c>
      <c r="F66" s="63" t="s">
        <v>771</v>
      </c>
      <c r="G66" s="53" t="s">
        <v>771</v>
      </c>
      <c r="H66" s="53" t="s">
        <v>771</v>
      </c>
      <c r="I66" s="53" t="s">
        <v>772</v>
      </c>
      <c r="J66" s="63" t="s">
        <v>772</v>
      </c>
      <c r="K66" s="74" t="s">
        <v>773</v>
      </c>
      <c r="L66" s="63" t="s">
        <v>773</v>
      </c>
      <c r="M66" s="74" t="s">
        <v>607</v>
      </c>
      <c r="N66" s="63" t="s">
        <v>607</v>
      </c>
      <c r="O66" s="74" t="s">
        <v>608</v>
      </c>
    </row>
    <row r="67">
      <c r="G67" s="43"/>
      <c r="H67" s="64"/>
      <c r="I67" s="64"/>
      <c r="J67" s="64"/>
      <c r="K67" s="43"/>
      <c r="L67" s="43"/>
      <c r="M67" s="43"/>
      <c r="N67" s="43"/>
      <c r="O67" s="43"/>
    </row>
    <row r="68">
      <c r="G68" s="42"/>
      <c r="H68" s="65"/>
      <c r="I68" s="65"/>
      <c r="J68" s="65"/>
      <c r="K68" s="42"/>
      <c r="L68" s="42"/>
      <c r="M68" s="42"/>
      <c r="N68" s="42"/>
      <c r="O68" s="42"/>
    </row>
    <row r="69">
      <c r="G69" s="43"/>
      <c r="H69" s="64"/>
      <c r="I69" s="64"/>
      <c r="J69" s="64"/>
      <c r="K69" s="43"/>
      <c r="L69" s="43"/>
      <c r="M69" s="43"/>
      <c r="N69" s="43"/>
      <c r="O69" s="43"/>
    </row>
    <row r="70">
      <c r="G70" s="43"/>
      <c r="H70" s="64"/>
      <c r="I70" s="64"/>
      <c r="J70" s="64"/>
      <c r="K70" s="43"/>
      <c r="L70" s="43"/>
      <c r="M70" s="43"/>
      <c r="N70" s="43"/>
      <c r="O70" s="43"/>
    </row>
    <row r="71">
      <c r="G71" s="43"/>
      <c r="H71" s="64"/>
      <c r="I71" s="64"/>
      <c r="J71" s="64"/>
      <c r="K71" s="43"/>
      <c r="L71" s="43"/>
      <c r="M71" s="43"/>
      <c r="N71" s="43"/>
      <c r="O71" s="43"/>
    </row>
    <row r="72">
      <c r="G72" s="43"/>
      <c r="H72" s="64"/>
      <c r="I72" s="64"/>
      <c r="J72" s="64"/>
      <c r="K72" s="43"/>
      <c r="L72" s="43"/>
      <c r="M72" s="43"/>
      <c r="N72" s="43"/>
      <c r="O72" s="43"/>
    </row>
    <row r="73">
      <c r="G73" s="43"/>
      <c r="H73" s="64"/>
      <c r="I73" s="64"/>
      <c r="J73" s="64"/>
      <c r="K73" s="43"/>
      <c r="L73" s="43"/>
      <c r="M73" s="43"/>
      <c r="N73" s="43"/>
      <c r="O73" s="43"/>
    </row>
    <row r="74">
      <c r="G74" s="43"/>
      <c r="H74" s="64"/>
      <c r="I74" s="64"/>
      <c r="J74" s="64"/>
      <c r="K74" s="43"/>
      <c r="L74" s="43"/>
      <c r="M74" s="43"/>
      <c r="N74" s="43"/>
      <c r="O74" s="43"/>
    </row>
    <row r="75">
      <c r="G75" s="43"/>
      <c r="H75" s="64"/>
      <c r="I75" s="64"/>
      <c r="J75" s="64"/>
      <c r="K75" s="43"/>
      <c r="L75" s="43"/>
      <c r="M75" s="43"/>
      <c r="N75" s="43"/>
      <c r="O75" s="43"/>
    </row>
    <row r="76">
      <c r="G76" s="43"/>
      <c r="H76" s="64"/>
      <c r="I76" s="64"/>
      <c r="J76" s="64"/>
      <c r="K76" s="43"/>
      <c r="L76" s="43"/>
      <c r="M76" s="43"/>
      <c r="N76" s="43"/>
      <c r="O76" s="43"/>
    </row>
    <row r="77">
      <c r="G77" s="43"/>
      <c r="H77" s="64"/>
      <c r="I77" s="64"/>
      <c r="J77" s="64"/>
      <c r="K77" s="43"/>
      <c r="L77" s="43"/>
      <c r="M77" s="43"/>
      <c r="N77" s="43"/>
      <c r="O77" s="43"/>
    </row>
    <row r="78">
      <c r="G78" s="43"/>
      <c r="H78" s="64"/>
      <c r="I78" s="64"/>
      <c r="J78" s="64"/>
      <c r="K78" s="43"/>
      <c r="L78" s="43"/>
      <c r="M78" s="43"/>
      <c r="N78" s="43"/>
      <c r="O78" s="43"/>
    </row>
    <row r="79">
      <c r="G79" s="43"/>
      <c r="H79" s="64"/>
      <c r="I79" s="64"/>
      <c r="J79" s="64"/>
      <c r="K79" s="43"/>
      <c r="L79" s="43"/>
      <c r="M79" s="43"/>
      <c r="N79" s="43"/>
      <c r="O79" s="43"/>
    </row>
    <row r="80">
      <c r="G80" s="43"/>
      <c r="H80" s="64"/>
      <c r="I80" s="64"/>
      <c r="J80" s="64"/>
      <c r="K80" s="43"/>
      <c r="L80" s="43"/>
      <c r="M80" s="43"/>
      <c r="N80" s="43"/>
      <c r="O80" s="43"/>
    </row>
    <row r="81">
      <c r="G81" s="43"/>
      <c r="H81" s="64"/>
      <c r="I81" s="64"/>
      <c r="J81" s="64"/>
      <c r="K81" s="43"/>
      <c r="L81" s="43"/>
      <c r="M81" s="43"/>
      <c r="N81" s="43"/>
      <c r="O81" s="43"/>
    </row>
    <row r="82">
      <c r="G82" s="43"/>
      <c r="H82" s="64"/>
      <c r="I82" s="64"/>
      <c r="J82" s="64"/>
      <c r="K82" s="43"/>
      <c r="L82" s="43"/>
      <c r="M82" s="43"/>
      <c r="N82" s="43"/>
      <c r="O82" s="43"/>
    </row>
    <row r="83">
      <c r="G83" s="43"/>
      <c r="H83" s="64"/>
      <c r="I83" s="64"/>
      <c r="J83" s="64"/>
      <c r="K83" s="43"/>
      <c r="L83" s="43"/>
      <c r="M83" s="43"/>
      <c r="N83" s="43"/>
      <c r="O83" s="43"/>
    </row>
    <row r="84">
      <c r="G84" s="43"/>
      <c r="H84" s="64"/>
      <c r="I84" s="64"/>
      <c r="J84" s="64"/>
      <c r="K84" s="43"/>
      <c r="L84" s="43"/>
      <c r="M84" s="43"/>
      <c r="N84" s="43"/>
      <c r="O84" s="43"/>
    </row>
    <row r="85">
      <c r="G85" s="43"/>
      <c r="H85" s="64"/>
      <c r="I85" s="64"/>
      <c r="J85" s="64"/>
      <c r="K85" s="43"/>
      <c r="L85" s="43"/>
      <c r="M85" s="43"/>
      <c r="N85" s="43"/>
      <c r="O85" s="43"/>
    </row>
    <row r="86">
      <c r="G86" s="43"/>
      <c r="H86" s="64"/>
      <c r="I86" s="64"/>
      <c r="J86" s="64"/>
      <c r="K86" s="43"/>
      <c r="L86" s="43"/>
      <c r="M86" s="43"/>
      <c r="N86" s="43"/>
      <c r="O86" s="43"/>
    </row>
    <row r="87">
      <c r="G87" s="43"/>
      <c r="H87" s="64"/>
      <c r="I87" s="64"/>
      <c r="J87" s="64"/>
      <c r="K87" s="43"/>
      <c r="L87" s="43"/>
      <c r="M87" s="43"/>
      <c r="N87" s="43"/>
      <c r="O87" s="43"/>
    </row>
    <row r="88">
      <c r="G88" s="43"/>
      <c r="H88" s="64"/>
      <c r="I88" s="64"/>
      <c r="J88" s="64"/>
      <c r="K88" s="43"/>
      <c r="L88" s="43"/>
      <c r="M88" s="43"/>
      <c r="N88" s="43"/>
      <c r="O88" s="43"/>
    </row>
    <row r="89">
      <c r="G89" s="43"/>
      <c r="H89" s="64"/>
      <c r="I89" s="64"/>
      <c r="J89" s="64"/>
      <c r="K89" s="43"/>
      <c r="L89" s="43"/>
      <c r="M89" s="43"/>
      <c r="N89" s="43"/>
      <c r="O89" s="43"/>
    </row>
    <row r="90">
      <c r="G90" s="43"/>
      <c r="H90" s="64"/>
      <c r="I90" s="64"/>
      <c r="J90" s="64"/>
      <c r="K90" s="43"/>
      <c r="L90" s="43"/>
      <c r="M90" s="43"/>
      <c r="N90" s="43"/>
      <c r="O90" s="43"/>
    </row>
    <row r="91">
      <c r="G91" s="43"/>
      <c r="H91" s="64"/>
      <c r="I91" s="64"/>
      <c r="J91" s="64"/>
      <c r="K91" s="43"/>
      <c r="L91" s="43"/>
      <c r="M91" s="43"/>
      <c r="N91" s="43"/>
      <c r="O91" s="43"/>
    </row>
    <row r="92">
      <c r="G92" s="43"/>
      <c r="H92" s="64"/>
      <c r="I92" s="64"/>
      <c r="J92" s="64"/>
      <c r="K92" s="43"/>
      <c r="L92" s="43"/>
      <c r="M92" s="43"/>
      <c r="N92" s="43"/>
      <c r="O92" s="43"/>
    </row>
    <row r="93">
      <c r="G93" s="43"/>
      <c r="H93" s="64"/>
      <c r="I93" s="64"/>
      <c r="J93" s="64"/>
      <c r="K93" s="43"/>
      <c r="L93" s="43"/>
      <c r="M93" s="43"/>
      <c r="N93" s="43"/>
      <c r="O93" s="43"/>
    </row>
    <row r="94">
      <c r="G94" s="43"/>
      <c r="H94" s="64"/>
      <c r="I94" s="64"/>
      <c r="J94" s="64"/>
      <c r="K94" s="43"/>
      <c r="L94" s="43"/>
      <c r="M94" s="43"/>
      <c r="N94" s="43"/>
      <c r="O94" s="43"/>
    </row>
    <row r="95">
      <c r="G95" s="43"/>
      <c r="H95" s="64"/>
      <c r="I95" s="64"/>
      <c r="J95" s="64"/>
      <c r="K95" s="43"/>
      <c r="L95" s="43"/>
      <c r="M95" s="43"/>
      <c r="N95" s="43"/>
      <c r="O95" s="43"/>
    </row>
    <row r="96">
      <c r="G96" s="43"/>
      <c r="H96" s="64"/>
      <c r="I96" s="64"/>
      <c r="J96" s="64"/>
      <c r="K96" s="43"/>
      <c r="L96" s="43"/>
      <c r="M96" s="43"/>
      <c r="N96" s="43"/>
      <c r="O96" s="43"/>
    </row>
    <row r="97">
      <c r="G97" s="43"/>
      <c r="H97" s="64"/>
      <c r="I97" s="64"/>
      <c r="J97" s="64"/>
      <c r="K97" s="43"/>
      <c r="L97" s="43"/>
      <c r="M97" s="43"/>
      <c r="N97" s="43"/>
      <c r="O97" s="43"/>
    </row>
    <row r="98">
      <c r="G98" s="43"/>
      <c r="H98" s="64"/>
      <c r="I98" s="64"/>
      <c r="J98" s="64"/>
      <c r="K98" s="43"/>
      <c r="L98" s="43"/>
      <c r="M98" s="43"/>
      <c r="N98" s="43"/>
      <c r="O98" s="43"/>
    </row>
    <row r="99">
      <c r="G99" s="43"/>
      <c r="H99" s="64"/>
      <c r="I99" s="64"/>
      <c r="J99" s="64"/>
      <c r="K99" s="43"/>
      <c r="L99" s="43"/>
      <c r="M99" s="43"/>
      <c r="N99" s="43"/>
      <c r="O99" s="43"/>
    </row>
    <row r="100">
      <c r="G100" s="43"/>
      <c r="H100" s="64"/>
      <c r="I100" s="64"/>
      <c r="J100" s="64"/>
      <c r="K100" s="43"/>
      <c r="L100" s="43"/>
      <c r="M100" s="43"/>
      <c r="N100" s="43"/>
      <c r="O100" s="43"/>
    </row>
    <row r="101">
      <c r="G101" s="43"/>
      <c r="H101" s="64"/>
      <c r="I101" s="64"/>
      <c r="J101" s="64"/>
      <c r="K101" s="43"/>
      <c r="L101" s="43"/>
      <c r="M101" s="43"/>
      <c r="N101" s="43"/>
      <c r="O101" s="43"/>
    </row>
    <row r="102">
      <c r="G102" s="43"/>
      <c r="H102" s="64"/>
      <c r="I102" s="64"/>
      <c r="J102" s="64"/>
      <c r="K102" s="43"/>
      <c r="L102" s="43"/>
      <c r="M102" s="43"/>
      <c r="N102" s="43"/>
      <c r="O102" s="43"/>
    </row>
    <row r="103">
      <c r="G103" s="43"/>
      <c r="H103" s="64"/>
      <c r="I103" s="64"/>
      <c r="J103" s="64"/>
      <c r="K103" s="43"/>
      <c r="L103" s="43"/>
      <c r="M103" s="43"/>
      <c r="N103" s="43"/>
      <c r="O103" s="43"/>
    </row>
    <row r="104">
      <c r="G104" s="43"/>
      <c r="H104" s="64"/>
      <c r="I104" s="64"/>
      <c r="J104" s="64"/>
      <c r="K104" s="43"/>
      <c r="L104" s="43"/>
      <c r="M104" s="43"/>
      <c r="N104" s="43"/>
      <c r="O104" s="43"/>
    </row>
    <row r="105">
      <c r="G105" s="43"/>
      <c r="H105" s="64"/>
      <c r="I105" s="64"/>
      <c r="J105" s="64"/>
      <c r="K105" s="43"/>
      <c r="L105" s="43"/>
      <c r="M105" s="43"/>
      <c r="N105" s="43"/>
      <c r="O105" s="43"/>
    </row>
    <row r="106">
      <c r="G106" s="43"/>
      <c r="H106" s="64"/>
      <c r="I106" s="64"/>
      <c r="J106" s="64"/>
      <c r="K106" s="43"/>
      <c r="L106" s="43"/>
      <c r="M106" s="43"/>
      <c r="N106" s="43"/>
      <c r="O106" s="43"/>
    </row>
    <row r="107">
      <c r="G107" s="43"/>
      <c r="H107" s="64"/>
      <c r="I107" s="64"/>
      <c r="J107" s="64"/>
      <c r="K107" s="43"/>
      <c r="L107" s="43"/>
      <c r="M107" s="43"/>
      <c r="N107" s="43"/>
      <c r="O107" s="43"/>
    </row>
    <row r="108">
      <c r="G108" s="43"/>
      <c r="H108" s="64"/>
      <c r="I108" s="64"/>
      <c r="J108" s="64"/>
      <c r="K108" s="43"/>
      <c r="L108" s="43"/>
      <c r="M108" s="43"/>
      <c r="N108" s="43"/>
      <c r="O108" s="43"/>
    </row>
    <row r="109">
      <c r="G109" s="43"/>
      <c r="H109" s="64"/>
      <c r="I109" s="64"/>
      <c r="J109" s="64"/>
      <c r="K109" s="43"/>
      <c r="L109" s="43"/>
      <c r="M109" s="43"/>
      <c r="N109" s="43"/>
      <c r="O109" s="43"/>
    </row>
    <row r="110">
      <c r="G110" s="43"/>
      <c r="H110" s="64"/>
      <c r="I110" s="64"/>
      <c r="J110" s="64"/>
      <c r="K110" s="43"/>
      <c r="L110" s="43"/>
      <c r="M110" s="43"/>
      <c r="N110" s="43"/>
      <c r="O110" s="43"/>
    </row>
    <row r="111">
      <c r="G111" s="43"/>
      <c r="H111" s="64"/>
      <c r="I111" s="64"/>
      <c r="J111" s="64"/>
      <c r="K111" s="43"/>
      <c r="L111" s="43"/>
      <c r="M111" s="43"/>
      <c r="N111" s="43"/>
      <c r="O111" s="43"/>
    </row>
    <row r="112">
      <c r="G112" s="43"/>
      <c r="H112" s="64"/>
      <c r="I112" s="64"/>
      <c r="J112" s="64"/>
      <c r="K112" s="43"/>
      <c r="L112" s="43"/>
      <c r="M112" s="43"/>
      <c r="N112" s="43"/>
      <c r="O112" s="43"/>
    </row>
    <row r="113">
      <c r="G113" s="43"/>
      <c r="H113" s="64"/>
      <c r="I113" s="64"/>
      <c r="J113" s="64"/>
      <c r="K113" s="43"/>
      <c r="L113" s="43"/>
      <c r="M113" s="43"/>
      <c r="N113" s="43"/>
      <c r="O113" s="43"/>
    </row>
    <row r="114">
      <c r="G114" s="43"/>
      <c r="H114" s="64"/>
      <c r="I114" s="64"/>
      <c r="J114" s="64"/>
      <c r="K114" s="43"/>
      <c r="L114" s="43"/>
      <c r="M114" s="43"/>
      <c r="N114" s="43"/>
      <c r="O114" s="43"/>
    </row>
    <row r="115">
      <c r="G115" s="43"/>
      <c r="H115" s="64"/>
      <c r="I115" s="64"/>
      <c r="J115" s="64"/>
      <c r="K115" s="43"/>
      <c r="L115" s="43"/>
      <c r="M115" s="43"/>
      <c r="N115" s="43"/>
      <c r="O115" s="43"/>
    </row>
    <row r="116">
      <c r="G116" s="43"/>
      <c r="H116" s="64"/>
      <c r="I116" s="64"/>
      <c r="J116" s="64"/>
      <c r="K116" s="43"/>
      <c r="L116" s="43"/>
      <c r="M116" s="43"/>
      <c r="N116" s="43"/>
      <c r="O116" s="43"/>
    </row>
    <row r="117">
      <c r="G117" s="43"/>
      <c r="H117" s="64"/>
      <c r="I117" s="64"/>
      <c r="J117" s="64"/>
      <c r="K117" s="43"/>
      <c r="L117" s="43"/>
      <c r="M117" s="43"/>
      <c r="N117" s="43"/>
      <c r="O117" s="43"/>
    </row>
    <row r="118">
      <c r="G118" s="43"/>
      <c r="H118" s="64"/>
      <c r="I118" s="64"/>
      <c r="J118" s="64"/>
      <c r="K118" s="43"/>
      <c r="L118" s="43"/>
      <c r="M118" s="43"/>
      <c r="N118" s="43"/>
      <c r="O118" s="43"/>
    </row>
    <row r="119">
      <c r="G119" s="43"/>
      <c r="H119" s="64"/>
      <c r="I119" s="64"/>
      <c r="J119" s="64"/>
      <c r="K119" s="43"/>
      <c r="L119" s="43"/>
      <c r="M119" s="43"/>
      <c r="N119" s="43"/>
      <c r="O119" s="43"/>
    </row>
    <row r="120">
      <c r="G120" s="43"/>
      <c r="H120" s="64"/>
      <c r="I120" s="64"/>
      <c r="J120" s="64"/>
      <c r="K120" s="43"/>
      <c r="L120" s="43"/>
      <c r="M120" s="43"/>
      <c r="N120" s="43"/>
      <c r="O120" s="43"/>
    </row>
    <row r="121">
      <c r="G121" s="43"/>
      <c r="H121" s="64"/>
      <c r="I121" s="64"/>
      <c r="J121" s="64"/>
      <c r="K121" s="43"/>
      <c r="L121" s="43"/>
      <c r="M121" s="43"/>
      <c r="N121" s="43"/>
      <c r="O121" s="43"/>
    </row>
    <row r="122">
      <c r="G122" s="43"/>
      <c r="H122" s="64"/>
      <c r="I122" s="64"/>
      <c r="J122" s="64"/>
      <c r="K122" s="43"/>
      <c r="L122" s="43"/>
      <c r="M122" s="43"/>
      <c r="N122" s="43"/>
      <c r="O122" s="43"/>
    </row>
    <row r="123">
      <c r="G123" s="43"/>
      <c r="H123" s="64"/>
      <c r="I123" s="64"/>
      <c r="J123" s="64"/>
      <c r="K123" s="43"/>
      <c r="L123" s="43"/>
      <c r="M123" s="43"/>
      <c r="N123" s="43"/>
      <c r="O123" s="43"/>
    </row>
    <row r="124">
      <c r="G124" s="43"/>
      <c r="H124" s="64"/>
      <c r="I124" s="64"/>
      <c r="J124" s="64"/>
      <c r="K124" s="43"/>
      <c r="L124" s="43"/>
      <c r="M124" s="43"/>
      <c r="N124" s="43"/>
      <c r="O124" s="43"/>
    </row>
    <row r="125">
      <c r="G125" s="43"/>
      <c r="H125" s="64"/>
      <c r="I125" s="64"/>
      <c r="J125" s="64"/>
      <c r="K125" s="43"/>
      <c r="L125" s="43"/>
      <c r="M125" s="43"/>
      <c r="N125" s="43"/>
      <c r="O125" s="43"/>
    </row>
    <row r="126">
      <c r="G126" s="43"/>
      <c r="H126" s="64"/>
      <c r="I126" s="64"/>
      <c r="J126" s="64"/>
      <c r="K126" s="43"/>
      <c r="L126" s="43"/>
      <c r="M126" s="43"/>
      <c r="N126" s="43"/>
      <c r="O126" s="43"/>
    </row>
    <row r="127">
      <c r="G127" s="43"/>
      <c r="H127" s="64"/>
      <c r="I127" s="64"/>
      <c r="J127" s="64"/>
      <c r="K127" s="43"/>
      <c r="L127" s="43"/>
      <c r="M127" s="43"/>
      <c r="N127" s="43"/>
      <c r="O127" s="43"/>
    </row>
    <row r="128">
      <c r="G128" s="43"/>
      <c r="H128" s="64"/>
      <c r="I128" s="64"/>
      <c r="J128" s="64"/>
      <c r="K128" s="43"/>
      <c r="L128" s="43"/>
      <c r="M128" s="43"/>
      <c r="N128" s="43"/>
      <c r="O128" s="43"/>
    </row>
    <row r="129">
      <c r="G129" s="43"/>
      <c r="H129" s="64"/>
      <c r="I129" s="64"/>
      <c r="J129" s="64"/>
      <c r="K129" s="43"/>
      <c r="L129" s="43"/>
      <c r="M129" s="43"/>
      <c r="N129" s="43"/>
      <c r="O129" s="43"/>
    </row>
    <row r="130">
      <c r="G130" s="43"/>
      <c r="H130" s="64"/>
      <c r="I130" s="64"/>
      <c r="J130" s="64"/>
      <c r="K130" s="43"/>
      <c r="L130" s="43"/>
      <c r="M130" s="43"/>
      <c r="N130" s="43"/>
      <c r="O130" s="43"/>
    </row>
    <row r="131">
      <c r="G131" s="43"/>
      <c r="H131" s="64"/>
      <c r="I131" s="64"/>
      <c r="J131" s="64"/>
      <c r="K131" s="43"/>
      <c r="L131" s="43"/>
      <c r="M131" s="43"/>
      <c r="N131" s="43"/>
      <c r="O131" s="43"/>
    </row>
    <row r="132">
      <c r="G132" s="43"/>
      <c r="H132" s="64"/>
      <c r="I132" s="64"/>
      <c r="J132" s="64"/>
      <c r="K132" s="43"/>
      <c r="L132" s="43"/>
      <c r="M132" s="43"/>
      <c r="N132" s="43"/>
      <c r="O132" s="43"/>
    </row>
    <row r="133">
      <c r="G133" s="43"/>
      <c r="H133" s="64"/>
      <c r="I133" s="64"/>
      <c r="J133" s="64"/>
      <c r="K133" s="43"/>
      <c r="L133" s="43"/>
      <c r="M133" s="43"/>
      <c r="N133" s="43"/>
      <c r="O133" s="43"/>
    </row>
    <row r="134">
      <c r="G134" s="43"/>
      <c r="H134" s="64"/>
      <c r="I134" s="64"/>
      <c r="J134" s="64"/>
      <c r="K134" s="43"/>
      <c r="L134" s="43"/>
      <c r="M134" s="43"/>
      <c r="N134" s="43"/>
      <c r="O134" s="43"/>
    </row>
    <row r="135">
      <c r="G135" s="43"/>
      <c r="H135" s="64"/>
      <c r="I135" s="64"/>
      <c r="J135" s="64"/>
      <c r="K135" s="43"/>
      <c r="L135" s="43"/>
      <c r="M135" s="43"/>
      <c r="N135" s="43"/>
      <c r="O135" s="43"/>
    </row>
    <row r="136">
      <c r="G136" s="43"/>
      <c r="H136" s="64"/>
      <c r="I136" s="64"/>
      <c r="J136" s="64"/>
      <c r="K136" s="43"/>
      <c r="L136" s="43"/>
      <c r="M136" s="43"/>
      <c r="N136" s="43"/>
      <c r="O136" s="43"/>
    </row>
    <row r="137">
      <c r="G137" s="43"/>
      <c r="H137" s="64"/>
      <c r="I137" s="64"/>
      <c r="J137" s="64"/>
      <c r="K137" s="43"/>
      <c r="L137" s="43"/>
      <c r="M137" s="43"/>
      <c r="N137" s="43"/>
      <c r="O137" s="43"/>
    </row>
    <row r="138">
      <c r="G138" s="43"/>
      <c r="H138" s="64"/>
      <c r="I138" s="64"/>
      <c r="J138" s="64"/>
      <c r="K138" s="43"/>
      <c r="L138" s="43"/>
      <c r="M138" s="43"/>
      <c r="N138" s="43"/>
      <c r="O138" s="43"/>
    </row>
    <row r="139">
      <c r="G139" s="43"/>
      <c r="H139" s="64"/>
      <c r="I139" s="64"/>
      <c r="J139" s="64"/>
      <c r="K139" s="43"/>
      <c r="L139" s="43"/>
      <c r="M139" s="43"/>
      <c r="N139" s="43"/>
      <c r="O139" s="43"/>
    </row>
    <row r="140">
      <c r="G140" s="43"/>
      <c r="H140" s="64"/>
      <c r="I140" s="64"/>
      <c r="J140" s="64"/>
      <c r="K140" s="43"/>
      <c r="L140" s="43"/>
      <c r="M140" s="43"/>
      <c r="N140" s="43"/>
      <c r="O140" s="43"/>
    </row>
    <row r="141">
      <c r="G141" s="43"/>
      <c r="H141" s="64"/>
      <c r="I141" s="64"/>
      <c r="J141" s="64"/>
      <c r="K141" s="43"/>
      <c r="L141" s="43"/>
      <c r="M141" s="43"/>
      <c r="N141" s="43"/>
      <c r="O141" s="43"/>
    </row>
    <row r="142">
      <c r="G142" s="43"/>
      <c r="H142" s="64"/>
      <c r="I142" s="64"/>
      <c r="J142" s="64"/>
      <c r="K142" s="43"/>
      <c r="L142" s="43"/>
      <c r="M142" s="43"/>
      <c r="N142" s="43"/>
      <c r="O142" s="43"/>
    </row>
    <row r="143">
      <c r="G143" s="43"/>
      <c r="H143" s="64"/>
      <c r="I143" s="64"/>
      <c r="J143" s="64"/>
      <c r="K143" s="43"/>
      <c r="L143" s="43"/>
      <c r="M143" s="43"/>
      <c r="N143" s="43"/>
      <c r="O143" s="43"/>
    </row>
    <row r="144">
      <c r="G144" s="43"/>
      <c r="H144" s="64"/>
      <c r="I144" s="64"/>
      <c r="J144" s="64"/>
      <c r="K144" s="43"/>
      <c r="L144" s="43"/>
      <c r="M144" s="43"/>
      <c r="N144" s="43"/>
      <c r="O144" s="43"/>
    </row>
    <row r="145">
      <c r="G145" s="43"/>
      <c r="H145" s="64"/>
      <c r="I145" s="64"/>
      <c r="J145" s="64"/>
      <c r="K145" s="43"/>
      <c r="L145" s="43"/>
      <c r="M145" s="43"/>
      <c r="N145" s="43"/>
      <c r="O145" s="43"/>
    </row>
    <row r="146">
      <c r="G146" s="43"/>
      <c r="H146" s="64"/>
      <c r="I146" s="64"/>
      <c r="J146" s="64"/>
      <c r="K146" s="43"/>
      <c r="L146" s="43"/>
      <c r="M146" s="43"/>
      <c r="N146" s="43"/>
      <c r="O146" s="43"/>
    </row>
    <row r="147">
      <c r="G147" s="43"/>
      <c r="H147" s="64"/>
      <c r="I147" s="64"/>
      <c r="J147" s="64"/>
      <c r="K147" s="43"/>
      <c r="L147" s="43"/>
      <c r="M147" s="43"/>
      <c r="N147" s="43"/>
      <c r="O147" s="43"/>
    </row>
    <row r="148">
      <c r="G148" s="43"/>
      <c r="H148" s="64"/>
      <c r="I148" s="64"/>
      <c r="J148" s="64"/>
      <c r="K148" s="43"/>
      <c r="L148" s="43"/>
      <c r="M148" s="43"/>
      <c r="N148" s="43"/>
      <c r="O148" s="43"/>
    </row>
    <row r="149">
      <c r="G149" s="43"/>
      <c r="H149" s="64"/>
      <c r="I149" s="64"/>
      <c r="J149" s="64"/>
      <c r="K149" s="43"/>
      <c r="L149" s="43"/>
      <c r="M149" s="43"/>
      <c r="N149" s="43"/>
      <c r="O149" s="43"/>
    </row>
    <row r="150">
      <c r="G150" s="43"/>
      <c r="H150" s="64"/>
      <c r="I150" s="64"/>
      <c r="J150" s="64"/>
      <c r="K150" s="43"/>
      <c r="L150" s="43"/>
      <c r="M150" s="43"/>
      <c r="N150" s="43"/>
      <c r="O150" s="43"/>
    </row>
    <row r="151">
      <c r="G151" s="43"/>
      <c r="H151" s="64"/>
      <c r="I151" s="64"/>
      <c r="J151" s="64"/>
      <c r="K151" s="43"/>
      <c r="L151" s="43"/>
      <c r="M151" s="43"/>
      <c r="N151" s="43"/>
      <c r="O151" s="43"/>
    </row>
    <row r="152">
      <c r="G152" s="43"/>
      <c r="H152" s="64"/>
      <c r="I152" s="64"/>
      <c r="J152" s="64"/>
      <c r="K152" s="43"/>
      <c r="L152" s="43"/>
      <c r="M152" s="43"/>
      <c r="N152" s="43"/>
      <c r="O152" s="43"/>
    </row>
    <row r="153">
      <c r="G153" s="43"/>
      <c r="H153" s="64"/>
      <c r="I153" s="64"/>
      <c r="J153" s="64"/>
      <c r="K153" s="43"/>
      <c r="L153" s="43"/>
      <c r="M153" s="43"/>
      <c r="N153" s="43"/>
      <c r="O153" s="43"/>
    </row>
    <row r="154">
      <c r="G154" s="43"/>
      <c r="H154" s="64"/>
      <c r="I154" s="64"/>
      <c r="J154" s="64"/>
      <c r="K154" s="43"/>
      <c r="L154" s="43"/>
      <c r="M154" s="43"/>
      <c r="N154" s="43"/>
      <c r="O154" s="43"/>
    </row>
    <row r="155">
      <c r="G155" s="43"/>
      <c r="H155" s="64"/>
      <c r="I155" s="64"/>
      <c r="J155" s="64"/>
      <c r="K155" s="43"/>
      <c r="L155" s="43"/>
      <c r="M155" s="43"/>
      <c r="N155" s="43"/>
      <c r="O155" s="43"/>
    </row>
    <row r="156">
      <c r="G156" s="43"/>
      <c r="H156" s="64"/>
      <c r="I156" s="64"/>
      <c r="J156" s="64"/>
      <c r="K156" s="43"/>
      <c r="L156" s="43"/>
      <c r="M156" s="43"/>
      <c r="N156" s="43"/>
      <c r="O156" s="43"/>
    </row>
    <row r="157">
      <c r="G157" s="43"/>
      <c r="H157" s="64"/>
      <c r="I157" s="64"/>
      <c r="J157" s="64"/>
      <c r="K157" s="43"/>
      <c r="L157" s="43"/>
      <c r="M157" s="43"/>
      <c r="N157" s="43"/>
      <c r="O157" s="43"/>
    </row>
    <row r="158">
      <c r="G158" s="43"/>
      <c r="H158" s="64"/>
      <c r="I158" s="64"/>
      <c r="J158" s="64"/>
      <c r="K158" s="43"/>
      <c r="L158" s="43"/>
      <c r="M158" s="43"/>
      <c r="N158" s="43"/>
      <c r="O158" s="43"/>
    </row>
    <row r="159">
      <c r="G159" s="43"/>
      <c r="H159" s="64"/>
      <c r="I159" s="64"/>
      <c r="J159" s="64"/>
      <c r="K159" s="43"/>
      <c r="L159" s="43"/>
      <c r="M159" s="43"/>
      <c r="N159" s="43"/>
      <c r="O159" s="43"/>
    </row>
    <row r="160">
      <c r="G160" s="43"/>
      <c r="H160" s="64"/>
      <c r="I160" s="64"/>
      <c r="J160" s="64"/>
      <c r="K160" s="43"/>
      <c r="L160" s="43"/>
      <c r="M160" s="43"/>
      <c r="N160" s="43"/>
      <c r="O160" s="43"/>
    </row>
    <row r="161">
      <c r="G161" s="43"/>
      <c r="H161" s="64"/>
      <c r="I161" s="64"/>
      <c r="J161" s="64"/>
      <c r="K161" s="43"/>
      <c r="L161" s="43"/>
      <c r="M161" s="43"/>
      <c r="N161" s="43"/>
      <c r="O161" s="43"/>
    </row>
    <row r="162">
      <c r="G162" s="43"/>
      <c r="H162" s="64"/>
      <c r="I162" s="64"/>
      <c r="J162" s="64"/>
      <c r="K162" s="43"/>
      <c r="L162" s="43"/>
      <c r="M162" s="43"/>
      <c r="N162" s="43"/>
      <c r="O162" s="43"/>
    </row>
    <row r="163">
      <c r="G163" s="43"/>
      <c r="H163" s="64"/>
      <c r="I163" s="64"/>
      <c r="J163" s="64"/>
      <c r="K163" s="43"/>
      <c r="L163" s="43"/>
      <c r="M163" s="43"/>
      <c r="N163" s="43"/>
      <c r="O163" s="43"/>
    </row>
    <row r="164">
      <c r="G164" s="43"/>
      <c r="H164" s="64"/>
      <c r="I164" s="64"/>
      <c r="J164" s="64"/>
      <c r="K164" s="43"/>
      <c r="L164" s="43"/>
      <c r="M164" s="43"/>
      <c r="N164" s="43"/>
      <c r="O164" s="43"/>
    </row>
    <row r="165">
      <c r="G165" s="43"/>
      <c r="H165" s="64"/>
      <c r="I165" s="64"/>
      <c r="J165" s="64"/>
      <c r="K165" s="43"/>
      <c r="L165" s="43"/>
      <c r="M165" s="43"/>
      <c r="N165" s="43"/>
      <c r="O165" s="43"/>
    </row>
    <row r="166">
      <c r="G166" s="43"/>
      <c r="H166" s="64"/>
      <c r="I166" s="64"/>
      <c r="J166" s="64"/>
      <c r="K166" s="43"/>
      <c r="L166" s="43"/>
      <c r="M166" s="43"/>
      <c r="N166" s="43"/>
      <c r="O166" s="43"/>
    </row>
    <row r="167">
      <c r="G167" s="43"/>
      <c r="H167" s="64"/>
      <c r="I167" s="64"/>
      <c r="J167" s="64"/>
      <c r="K167" s="43"/>
      <c r="L167" s="43"/>
      <c r="M167" s="43"/>
      <c r="N167" s="43"/>
      <c r="O167" s="43"/>
    </row>
    <row r="168">
      <c r="G168" s="43"/>
      <c r="H168" s="64"/>
      <c r="I168" s="64"/>
      <c r="J168" s="64"/>
      <c r="K168" s="43"/>
      <c r="L168" s="43"/>
      <c r="M168" s="43"/>
      <c r="N168" s="43"/>
      <c r="O168" s="43"/>
    </row>
    <row r="169">
      <c r="G169" s="43"/>
      <c r="H169" s="64"/>
      <c r="I169" s="64"/>
      <c r="J169" s="64"/>
      <c r="K169" s="43"/>
      <c r="L169" s="43"/>
      <c r="M169" s="43"/>
      <c r="N169" s="43"/>
      <c r="O169" s="43"/>
    </row>
    <row r="170">
      <c r="G170" s="43"/>
      <c r="H170" s="64"/>
      <c r="I170" s="64"/>
      <c r="J170" s="64"/>
      <c r="K170" s="43"/>
      <c r="L170" s="43"/>
      <c r="M170" s="43"/>
      <c r="N170" s="43"/>
      <c r="O170" s="43"/>
    </row>
    <row r="171">
      <c r="G171" s="43"/>
      <c r="H171" s="64"/>
      <c r="I171" s="64"/>
      <c r="J171" s="64"/>
      <c r="K171" s="43"/>
      <c r="L171" s="43"/>
      <c r="M171" s="43"/>
      <c r="N171" s="43"/>
      <c r="O171" s="43"/>
    </row>
    <row r="172">
      <c r="G172" s="43"/>
      <c r="H172" s="64"/>
      <c r="I172" s="64"/>
      <c r="J172" s="64"/>
      <c r="K172" s="43"/>
      <c r="L172" s="43"/>
      <c r="M172" s="43"/>
      <c r="N172" s="43"/>
      <c r="O172" s="43"/>
    </row>
    <row r="173">
      <c r="G173" s="43"/>
      <c r="H173" s="64"/>
      <c r="I173" s="64"/>
      <c r="J173" s="64"/>
      <c r="K173" s="43"/>
      <c r="L173" s="43"/>
      <c r="M173" s="43"/>
      <c r="N173" s="43"/>
      <c r="O173" s="43"/>
    </row>
    <row r="174">
      <c r="G174" s="43"/>
      <c r="H174" s="64"/>
      <c r="I174" s="64"/>
      <c r="J174" s="64"/>
      <c r="K174" s="43"/>
      <c r="L174" s="43"/>
      <c r="M174" s="43"/>
      <c r="N174" s="43"/>
      <c r="O174" s="43"/>
    </row>
    <row r="175">
      <c r="G175" s="43"/>
      <c r="H175" s="64"/>
      <c r="I175" s="64"/>
      <c r="J175" s="64"/>
      <c r="K175" s="43"/>
      <c r="L175" s="43"/>
      <c r="M175" s="43"/>
      <c r="N175" s="43"/>
      <c r="O175" s="43"/>
    </row>
    <row r="176">
      <c r="G176" s="43"/>
      <c r="H176" s="64"/>
      <c r="I176" s="64"/>
      <c r="J176" s="64"/>
      <c r="K176" s="43"/>
      <c r="L176" s="43"/>
      <c r="M176" s="43"/>
      <c r="N176" s="43"/>
      <c r="O176" s="43"/>
    </row>
    <row r="177">
      <c r="G177" s="43"/>
      <c r="H177" s="64"/>
      <c r="I177" s="64"/>
      <c r="J177" s="64"/>
      <c r="K177" s="43"/>
      <c r="L177" s="43"/>
      <c r="M177" s="43"/>
      <c r="N177" s="43"/>
      <c r="O177" s="43"/>
    </row>
    <row r="178">
      <c r="G178" s="43"/>
      <c r="H178" s="64"/>
      <c r="I178" s="64"/>
      <c r="J178" s="64"/>
      <c r="K178" s="43"/>
      <c r="L178" s="43"/>
      <c r="M178" s="43"/>
      <c r="N178" s="43"/>
      <c r="O178" s="43"/>
    </row>
    <row r="179">
      <c r="G179" s="43"/>
      <c r="H179" s="64"/>
      <c r="I179" s="64"/>
      <c r="J179" s="64"/>
      <c r="K179" s="43"/>
      <c r="L179" s="43"/>
      <c r="M179" s="43"/>
      <c r="N179" s="43"/>
      <c r="O179" s="43"/>
    </row>
    <row r="180">
      <c r="G180" s="43"/>
      <c r="H180" s="64"/>
      <c r="I180" s="64"/>
      <c r="J180" s="64"/>
      <c r="K180" s="43"/>
      <c r="L180" s="43"/>
      <c r="M180" s="43"/>
      <c r="N180" s="43"/>
      <c r="O180" s="43"/>
    </row>
    <row r="181">
      <c r="G181" s="43"/>
      <c r="H181" s="64"/>
      <c r="I181" s="64"/>
      <c r="J181" s="64"/>
      <c r="K181" s="43"/>
      <c r="L181" s="43"/>
      <c r="M181" s="43"/>
      <c r="N181" s="43"/>
      <c r="O181" s="43"/>
    </row>
    <row r="182">
      <c r="G182" s="43"/>
      <c r="H182" s="64"/>
      <c r="I182" s="64"/>
      <c r="J182" s="64"/>
      <c r="K182" s="43"/>
      <c r="L182" s="43"/>
      <c r="M182" s="43"/>
      <c r="N182" s="43"/>
      <c r="O182" s="43"/>
    </row>
    <row r="183">
      <c r="G183" s="43"/>
      <c r="H183" s="64"/>
      <c r="I183" s="64"/>
      <c r="J183" s="64"/>
      <c r="K183" s="43"/>
      <c r="L183" s="43"/>
      <c r="M183" s="43"/>
      <c r="N183" s="43"/>
      <c r="O183" s="43"/>
    </row>
    <row r="184">
      <c r="G184" s="43"/>
      <c r="H184" s="64"/>
      <c r="I184" s="64"/>
      <c r="J184" s="64"/>
      <c r="K184" s="43"/>
      <c r="L184" s="43"/>
      <c r="M184" s="43"/>
      <c r="N184" s="43"/>
      <c r="O184" s="43"/>
    </row>
    <row r="185">
      <c r="G185" s="43"/>
      <c r="H185" s="64"/>
      <c r="I185" s="64"/>
      <c r="J185" s="64"/>
      <c r="K185" s="43"/>
      <c r="L185" s="43"/>
      <c r="M185" s="43"/>
      <c r="N185" s="43"/>
      <c r="O185" s="43"/>
    </row>
    <row r="186">
      <c r="G186" s="43"/>
      <c r="H186" s="64"/>
      <c r="I186" s="64"/>
      <c r="J186" s="64"/>
      <c r="K186" s="43"/>
      <c r="L186" s="43"/>
      <c r="M186" s="43"/>
      <c r="N186" s="43"/>
      <c r="O186" s="43"/>
    </row>
    <row r="187">
      <c r="G187" s="43"/>
      <c r="H187" s="64"/>
      <c r="I187" s="64"/>
      <c r="J187" s="64"/>
      <c r="K187" s="43"/>
      <c r="L187" s="43"/>
      <c r="M187" s="43"/>
      <c r="N187" s="43"/>
      <c r="O187" s="43"/>
    </row>
    <row r="188">
      <c r="G188" s="43"/>
      <c r="H188" s="64"/>
      <c r="I188" s="64"/>
      <c r="J188" s="64"/>
      <c r="K188" s="43"/>
      <c r="L188" s="43"/>
      <c r="M188" s="43"/>
      <c r="N188" s="43"/>
      <c r="O188" s="43"/>
    </row>
    <row r="189">
      <c r="G189" s="43"/>
      <c r="H189" s="64"/>
      <c r="I189" s="64"/>
      <c r="J189" s="64"/>
      <c r="K189" s="43"/>
      <c r="L189" s="43"/>
      <c r="M189" s="43"/>
      <c r="N189" s="43"/>
      <c r="O189" s="43"/>
    </row>
    <row r="190">
      <c r="G190" s="43"/>
      <c r="H190" s="64"/>
      <c r="I190" s="64"/>
      <c r="J190" s="64"/>
      <c r="K190" s="43"/>
      <c r="L190" s="43"/>
      <c r="M190" s="43"/>
      <c r="N190" s="43"/>
      <c r="O190" s="43"/>
    </row>
    <row r="191">
      <c r="G191" s="43"/>
      <c r="H191" s="64"/>
      <c r="I191" s="64"/>
      <c r="J191" s="64"/>
      <c r="K191" s="43"/>
      <c r="L191" s="43"/>
      <c r="M191" s="43"/>
      <c r="N191" s="43"/>
      <c r="O191" s="43"/>
    </row>
    <row r="192">
      <c r="G192" s="43"/>
      <c r="H192" s="64"/>
      <c r="I192" s="64"/>
      <c r="J192" s="64"/>
      <c r="K192" s="43"/>
      <c r="L192" s="43"/>
      <c r="M192" s="43"/>
      <c r="N192" s="43"/>
      <c r="O192" s="43"/>
    </row>
    <row r="193">
      <c r="G193" s="43"/>
      <c r="H193" s="64"/>
      <c r="I193" s="64"/>
      <c r="J193" s="64"/>
      <c r="K193" s="43"/>
      <c r="L193" s="43"/>
      <c r="M193" s="43"/>
      <c r="N193" s="43"/>
      <c r="O193" s="43"/>
    </row>
    <row r="194">
      <c r="G194" s="43"/>
      <c r="H194" s="64"/>
      <c r="I194" s="64"/>
      <c r="J194" s="64"/>
      <c r="K194" s="43"/>
      <c r="L194" s="43"/>
      <c r="M194" s="43"/>
      <c r="N194" s="43"/>
      <c r="O194" s="43"/>
    </row>
    <row r="195">
      <c r="G195" s="43"/>
      <c r="H195" s="64"/>
      <c r="I195" s="64"/>
      <c r="J195" s="64"/>
      <c r="K195" s="43"/>
      <c r="L195" s="43"/>
      <c r="M195" s="43"/>
      <c r="N195" s="43"/>
      <c r="O195" s="43"/>
    </row>
    <row r="196">
      <c r="G196" s="43"/>
      <c r="H196" s="64"/>
      <c r="I196" s="64"/>
      <c r="J196" s="64"/>
      <c r="K196" s="43"/>
      <c r="L196" s="43"/>
      <c r="M196" s="43"/>
      <c r="N196" s="43"/>
      <c r="O196" s="43"/>
    </row>
    <row r="197">
      <c r="G197" s="43"/>
      <c r="H197" s="64"/>
      <c r="I197" s="64"/>
      <c r="J197" s="64"/>
      <c r="K197" s="43"/>
      <c r="L197" s="43"/>
      <c r="M197" s="43"/>
      <c r="N197" s="43"/>
      <c r="O197" s="43"/>
    </row>
    <row r="198">
      <c r="G198" s="43"/>
      <c r="H198" s="64"/>
      <c r="I198" s="64"/>
      <c r="J198" s="64"/>
      <c r="K198" s="43"/>
      <c r="L198" s="43"/>
      <c r="M198" s="43"/>
      <c r="N198" s="43"/>
      <c r="O198" s="43"/>
    </row>
    <row r="199">
      <c r="G199" s="43"/>
      <c r="H199" s="64"/>
      <c r="I199" s="64"/>
      <c r="J199" s="64"/>
      <c r="K199" s="43"/>
      <c r="L199" s="43"/>
      <c r="M199" s="43"/>
      <c r="N199" s="43"/>
      <c r="O199" s="43"/>
    </row>
    <row r="200">
      <c r="G200" s="43"/>
      <c r="H200" s="64"/>
      <c r="I200" s="64"/>
      <c r="J200" s="64"/>
      <c r="K200" s="43"/>
      <c r="L200" s="43"/>
      <c r="M200" s="43"/>
      <c r="N200" s="43"/>
      <c r="O200" s="43"/>
    </row>
    <row r="201">
      <c r="G201" s="43"/>
      <c r="H201" s="64"/>
      <c r="I201" s="64"/>
      <c r="J201" s="64"/>
      <c r="K201" s="43"/>
      <c r="L201" s="43"/>
      <c r="M201" s="43"/>
      <c r="N201" s="43"/>
      <c r="O201" s="43"/>
    </row>
    <row r="202">
      <c r="G202" s="43"/>
      <c r="H202" s="64"/>
      <c r="I202" s="64"/>
      <c r="J202" s="64"/>
      <c r="K202" s="43"/>
      <c r="L202" s="43"/>
      <c r="M202" s="43"/>
      <c r="N202" s="43"/>
      <c r="O202" s="43"/>
    </row>
    <row r="203">
      <c r="G203" s="43"/>
      <c r="H203" s="64"/>
      <c r="I203" s="64"/>
      <c r="J203" s="64"/>
      <c r="K203" s="43"/>
      <c r="L203" s="43"/>
      <c r="M203" s="43"/>
      <c r="N203" s="43"/>
      <c r="O203" s="43"/>
    </row>
    <row r="204">
      <c r="G204" s="43"/>
      <c r="H204" s="64"/>
      <c r="I204" s="64"/>
      <c r="J204" s="64"/>
      <c r="K204" s="43"/>
      <c r="L204" s="43"/>
      <c r="M204" s="43"/>
      <c r="N204" s="43"/>
      <c r="O204" s="43"/>
    </row>
    <row r="205">
      <c r="G205" s="43"/>
      <c r="H205" s="64"/>
      <c r="I205" s="64"/>
      <c r="J205" s="64"/>
      <c r="K205" s="43"/>
      <c r="L205" s="43"/>
      <c r="M205" s="43"/>
      <c r="N205" s="43"/>
      <c r="O205" s="43"/>
    </row>
    <row r="206">
      <c r="G206" s="43"/>
      <c r="H206" s="64"/>
      <c r="I206" s="64"/>
      <c r="J206" s="64"/>
      <c r="K206" s="43"/>
      <c r="L206" s="43"/>
      <c r="M206" s="43"/>
      <c r="N206" s="43"/>
      <c r="O206" s="43"/>
    </row>
    <row r="207">
      <c r="G207" s="43"/>
      <c r="H207" s="64"/>
      <c r="I207" s="64"/>
      <c r="J207" s="64"/>
      <c r="K207" s="43"/>
      <c r="L207" s="43"/>
      <c r="M207" s="43"/>
      <c r="N207" s="43"/>
      <c r="O207" s="43"/>
    </row>
    <row r="208">
      <c r="G208" s="43"/>
      <c r="H208" s="64"/>
      <c r="I208" s="64"/>
      <c r="J208" s="64"/>
      <c r="K208" s="43"/>
      <c r="L208" s="43"/>
      <c r="M208" s="43"/>
      <c r="N208" s="43"/>
      <c r="O208" s="43"/>
    </row>
    <row r="209">
      <c r="G209" s="43"/>
      <c r="H209" s="64"/>
      <c r="I209" s="64"/>
      <c r="J209" s="64"/>
      <c r="K209" s="43"/>
      <c r="L209" s="43"/>
      <c r="M209" s="43"/>
      <c r="N209" s="43"/>
      <c r="O209" s="43"/>
    </row>
    <row r="210">
      <c r="G210" s="43"/>
      <c r="H210" s="64"/>
      <c r="I210" s="64"/>
      <c r="J210" s="64"/>
      <c r="K210" s="43"/>
      <c r="L210" s="43"/>
      <c r="M210" s="43"/>
      <c r="N210" s="43"/>
      <c r="O210" s="43"/>
    </row>
    <row r="211">
      <c r="G211" s="43"/>
      <c r="H211" s="64"/>
      <c r="I211" s="64"/>
      <c r="J211" s="64"/>
      <c r="K211" s="43"/>
      <c r="L211" s="43"/>
      <c r="M211" s="43"/>
      <c r="N211" s="43"/>
      <c r="O211" s="43"/>
    </row>
    <row r="212">
      <c r="G212" s="43"/>
      <c r="H212" s="64"/>
      <c r="I212" s="64"/>
      <c r="J212" s="64"/>
      <c r="K212" s="43"/>
      <c r="L212" s="43"/>
      <c r="M212" s="43"/>
      <c r="N212" s="43"/>
      <c r="O212" s="43"/>
    </row>
    <row r="213">
      <c r="G213" s="43"/>
      <c r="H213" s="64"/>
      <c r="I213" s="64"/>
      <c r="J213" s="64"/>
      <c r="K213" s="43"/>
      <c r="L213" s="43"/>
      <c r="M213" s="43"/>
      <c r="N213" s="43"/>
      <c r="O213" s="43"/>
    </row>
    <row r="214">
      <c r="G214" s="43"/>
      <c r="H214" s="64"/>
      <c r="I214" s="64"/>
      <c r="J214" s="64"/>
      <c r="K214" s="43"/>
      <c r="L214" s="43"/>
      <c r="M214" s="43"/>
      <c r="N214" s="43"/>
      <c r="O214" s="43"/>
    </row>
    <row r="215">
      <c r="G215" s="43"/>
      <c r="H215" s="64"/>
      <c r="I215" s="64"/>
      <c r="J215" s="64"/>
      <c r="K215" s="43"/>
      <c r="L215" s="43"/>
      <c r="M215" s="43"/>
      <c r="N215" s="43"/>
      <c r="O215" s="43"/>
    </row>
    <row r="216">
      <c r="G216" s="43"/>
      <c r="H216" s="64"/>
      <c r="I216" s="64"/>
      <c r="J216" s="64"/>
      <c r="K216" s="43"/>
      <c r="L216" s="43"/>
      <c r="M216" s="43"/>
      <c r="N216" s="43"/>
      <c r="O216" s="43"/>
    </row>
    <row r="217">
      <c r="G217" s="43"/>
      <c r="H217" s="64"/>
      <c r="I217" s="64"/>
      <c r="J217" s="64"/>
      <c r="K217" s="43"/>
      <c r="L217" s="43"/>
      <c r="M217" s="43"/>
      <c r="N217" s="43"/>
      <c r="O217" s="43"/>
    </row>
    <row r="218">
      <c r="G218" s="43"/>
      <c r="H218" s="64"/>
      <c r="I218" s="64"/>
      <c r="J218" s="64"/>
      <c r="K218" s="43"/>
      <c r="L218" s="43"/>
      <c r="M218" s="43"/>
      <c r="N218" s="43"/>
      <c r="O218" s="43"/>
    </row>
    <row r="219">
      <c r="G219" s="43"/>
      <c r="H219" s="64"/>
      <c r="I219" s="64"/>
      <c r="J219" s="64"/>
      <c r="K219" s="43"/>
      <c r="L219" s="43"/>
      <c r="M219" s="43"/>
      <c r="N219" s="43"/>
      <c r="O219" s="43"/>
    </row>
    <row r="220">
      <c r="G220" s="43"/>
      <c r="H220" s="64"/>
      <c r="I220" s="64"/>
      <c r="J220" s="64"/>
      <c r="K220" s="43"/>
      <c r="L220" s="43"/>
      <c r="M220" s="43"/>
      <c r="N220" s="43"/>
      <c r="O220" s="43"/>
    </row>
    <row r="221">
      <c r="G221" s="43"/>
      <c r="H221" s="64"/>
      <c r="I221" s="64"/>
      <c r="J221" s="64"/>
      <c r="K221" s="43"/>
      <c r="L221" s="43"/>
      <c r="M221" s="43"/>
      <c r="N221" s="43"/>
      <c r="O221" s="43"/>
    </row>
    <row r="222">
      <c r="G222" s="43"/>
      <c r="H222" s="64"/>
      <c r="I222" s="64"/>
      <c r="J222" s="64"/>
      <c r="K222" s="43"/>
      <c r="L222" s="43"/>
      <c r="M222" s="43"/>
      <c r="N222" s="43"/>
      <c r="O222" s="43"/>
    </row>
    <row r="223">
      <c r="G223" s="43"/>
      <c r="H223" s="64"/>
      <c r="I223" s="64"/>
      <c r="J223" s="64"/>
      <c r="K223" s="43"/>
      <c r="L223" s="43"/>
      <c r="M223" s="43"/>
      <c r="N223" s="43"/>
      <c r="O223" s="43"/>
    </row>
    <row r="224">
      <c r="G224" s="43"/>
      <c r="H224" s="64"/>
      <c r="I224" s="64"/>
      <c r="J224" s="64"/>
      <c r="K224" s="43"/>
      <c r="L224" s="43"/>
      <c r="M224" s="43"/>
      <c r="N224" s="43"/>
      <c r="O224" s="43"/>
    </row>
    <row r="225">
      <c r="G225" s="43"/>
      <c r="H225" s="64"/>
      <c r="I225" s="64"/>
      <c r="J225" s="64"/>
      <c r="K225" s="43"/>
      <c r="L225" s="43"/>
      <c r="M225" s="43"/>
      <c r="N225" s="43"/>
      <c r="O225" s="43"/>
    </row>
    <row r="226">
      <c r="G226" s="43"/>
      <c r="H226" s="64"/>
      <c r="I226" s="64"/>
      <c r="J226" s="64"/>
      <c r="K226" s="43"/>
      <c r="L226" s="43"/>
      <c r="M226" s="43"/>
      <c r="N226" s="43"/>
      <c r="O226" s="43"/>
    </row>
    <row r="227">
      <c r="G227" s="43"/>
      <c r="H227" s="64"/>
      <c r="I227" s="64"/>
      <c r="J227" s="64"/>
      <c r="K227" s="43"/>
      <c r="L227" s="43"/>
      <c r="M227" s="43"/>
      <c r="N227" s="43"/>
      <c r="O227" s="43"/>
    </row>
    <row r="228">
      <c r="G228" s="43"/>
      <c r="H228" s="64"/>
      <c r="I228" s="64"/>
      <c r="J228" s="64"/>
      <c r="K228" s="43"/>
      <c r="L228" s="43"/>
      <c r="M228" s="43"/>
      <c r="N228" s="43"/>
      <c r="O228" s="43"/>
    </row>
    <row r="229">
      <c r="G229" s="43"/>
      <c r="H229" s="64"/>
      <c r="I229" s="64"/>
      <c r="J229" s="64"/>
      <c r="K229" s="43"/>
      <c r="L229" s="43"/>
      <c r="M229" s="43"/>
      <c r="N229" s="43"/>
      <c r="O229" s="43"/>
    </row>
    <row r="230">
      <c r="G230" s="43"/>
      <c r="H230" s="64"/>
      <c r="I230" s="64"/>
      <c r="J230" s="64"/>
      <c r="K230" s="43"/>
      <c r="L230" s="43"/>
      <c r="M230" s="43"/>
      <c r="N230" s="43"/>
      <c r="O230" s="43"/>
    </row>
    <row r="231">
      <c r="G231" s="43"/>
      <c r="H231" s="64"/>
      <c r="I231" s="64"/>
      <c r="J231" s="64"/>
      <c r="K231" s="43"/>
      <c r="L231" s="43"/>
      <c r="M231" s="43"/>
      <c r="N231" s="43"/>
      <c r="O231" s="43"/>
    </row>
    <row r="232">
      <c r="G232" s="43"/>
      <c r="H232" s="64"/>
      <c r="I232" s="64"/>
      <c r="J232" s="64"/>
      <c r="K232" s="43"/>
      <c r="L232" s="43"/>
      <c r="M232" s="43"/>
      <c r="N232" s="43"/>
      <c r="O232" s="43"/>
    </row>
    <row r="233">
      <c r="G233" s="43"/>
      <c r="H233" s="64"/>
      <c r="I233" s="64"/>
      <c r="J233" s="64"/>
      <c r="K233" s="43"/>
      <c r="L233" s="43"/>
      <c r="M233" s="43"/>
      <c r="N233" s="43"/>
      <c r="O233" s="43"/>
    </row>
    <row r="234">
      <c r="G234" s="43"/>
      <c r="H234" s="64"/>
      <c r="I234" s="64"/>
      <c r="J234" s="64"/>
      <c r="K234" s="43"/>
      <c r="L234" s="43"/>
      <c r="M234" s="43"/>
      <c r="N234" s="43"/>
      <c r="O234" s="43"/>
    </row>
    <row r="235">
      <c r="G235" s="43"/>
      <c r="H235" s="64"/>
      <c r="I235" s="64"/>
      <c r="J235" s="64"/>
      <c r="K235" s="43"/>
      <c r="L235" s="43"/>
      <c r="M235" s="43"/>
      <c r="N235" s="43"/>
      <c r="O235" s="43"/>
    </row>
    <row r="236">
      <c r="G236" s="43"/>
      <c r="H236" s="64"/>
      <c r="I236" s="64"/>
      <c r="J236" s="64"/>
      <c r="K236" s="43"/>
      <c r="L236" s="43"/>
      <c r="M236" s="43"/>
      <c r="N236" s="43"/>
      <c r="O236" s="43"/>
    </row>
    <row r="237">
      <c r="G237" s="43"/>
      <c r="H237" s="64"/>
      <c r="I237" s="64"/>
      <c r="J237" s="64"/>
      <c r="K237" s="43"/>
      <c r="L237" s="43"/>
      <c r="M237" s="43"/>
      <c r="N237" s="43"/>
      <c r="O237" s="43"/>
    </row>
    <row r="238">
      <c r="G238" s="43"/>
      <c r="H238" s="64"/>
      <c r="I238" s="64"/>
      <c r="J238" s="64"/>
      <c r="K238" s="43"/>
      <c r="L238" s="43"/>
      <c r="M238" s="43"/>
      <c r="N238" s="43"/>
      <c r="O238" s="43"/>
    </row>
    <row r="239">
      <c r="G239" s="43"/>
      <c r="H239" s="64"/>
      <c r="I239" s="64"/>
      <c r="J239" s="64"/>
      <c r="K239" s="43"/>
      <c r="L239" s="43"/>
      <c r="M239" s="43"/>
      <c r="N239" s="43"/>
      <c r="O239" s="43"/>
    </row>
    <row r="240">
      <c r="G240" s="43"/>
      <c r="H240" s="64"/>
      <c r="I240" s="64"/>
      <c r="J240" s="64"/>
      <c r="K240" s="43"/>
      <c r="L240" s="43"/>
      <c r="M240" s="43"/>
      <c r="N240" s="43"/>
      <c r="O240" s="43"/>
    </row>
    <row r="241">
      <c r="G241" s="43"/>
      <c r="H241" s="64"/>
      <c r="I241" s="64"/>
      <c r="J241" s="64"/>
      <c r="K241" s="43"/>
      <c r="L241" s="43"/>
      <c r="M241" s="43"/>
      <c r="N241" s="43"/>
      <c r="O241" s="43"/>
    </row>
    <row r="242">
      <c r="G242" s="43"/>
      <c r="H242" s="64"/>
      <c r="I242" s="64"/>
      <c r="J242" s="64"/>
      <c r="K242" s="43"/>
      <c r="L242" s="43"/>
      <c r="M242" s="43"/>
      <c r="N242" s="43"/>
      <c r="O242" s="43"/>
    </row>
    <row r="243">
      <c r="G243" s="43"/>
      <c r="H243" s="64"/>
      <c r="I243" s="64"/>
      <c r="J243" s="64"/>
      <c r="K243" s="43"/>
      <c r="L243" s="43"/>
      <c r="M243" s="43"/>
      <c r="N243" s="43"/>
      <c r="O243" s="43"/>
    </row>
    <row r="244">
      <c r="G244" s="43"/>
      <c r="H244" s="64"/>
      <c r="I244" s="64"/>
      <c r="J244" s="64"/>
      <c r="K244" s="43"/>
      <c r="L244" s="43"/>
      <c r="M244" s="43"/>
      <c r="N244" s="43"/>
      <c r="O244" s="43"/>
    </row>
    <row r="245">
      <c r="G245" s="43"/>
      <c r="H245" s="64"/>
      <c r="I245" s="64"/>
      <c r="J245" s="64"/>
      <c r="K245" s="43"/>
      <c r="L245" s="43"/>
      <c r="M245" s="43"/>
      <c r="N245" s="43"/>
      <c r="O245" s="43"/>
    </row>
    <row r="246">
      <c r="G246" s="43"/>
      <c r="H246" s="64"/>
      <c r="I246" s="64"/>
      <c r="J246" s="64"/>
      <c r="K246" s="43"/>
      <c r="L246" s="43"/>
      <c r="M246" s="43"/>
      <c r="N246" s="43"/>
      <c r="O246" s="43"/>
    </row>
    <row r="247">
      <c r="G247" s="43"/>
      <c r="H247" s="64"/>
      <c r="I247" s="64"/>
      <c r="J247" s="64"/>
      <c r="K247" s="43"/>
      <c r="L247" s="43"/>
      <c r="M247" s="43"/>
      <c r="N247" s="43"/>
      <c r="O247" s="43"/>
    </row>
    <row r="248">
      <c r="G248" s="43"/>
      <c r="H248" s="64"/>
      <c r="I248" s="64"/>
      <c r="J248" s="64"/>
      <c r="K248" s="43"/>
      <c r="L248" s="43"/>
      <c r="M248" s="43"/>
      <c r="N248" s="43"/>
      <c r="O248" s="43"/>
    </row>
    <row r="249">
      <c r="G249" s="43"/>
      <c r="H249" s="64"/>
      <c r="I249" s="64"/>
      <c r="J249" s="64"/>
      <c r="K249" s="43"/>
      <c r="L249" s="43"/>
      <c r="M249" s="43"/>
      <c r="N249" s="43"/>
      <c r="O249" s="43"/>
    </row>
    <row r="250">
      <c r="G250" s="43"/>
      <c r="H250" s="64"/>
      <c r="I250" s="64"/>
      <c r="J250" s="64"/>
      <c r="K250" s="43"/>
      <c r="L250" s="43"/>
      <c r="M250" s="43"/>
      <c r="N250" s="43"/>
      <c r="O250" s="43"/>
    </row>
    <row r="251">
      <c r="G251" s="43"/>
      <c r="H251" s="64"/>
      <c r="I251" s="64"/>
      <c r="J251" s="64"/>
      <c r="K251" s="43"/>
      <c r="L251" s="43"/>
      <c r="M251" s="43"/>
      <c r="N251" s="43"/>
      <c r="O251" s="43"/>
    </row>
    <row r="252">
      <c r="G252" s="43"/>
      <c r="H252" s="64"/>
      <c r="I252" s="64"/>
      <c r="J252" s="64"/>
      <c r="K252" s="43"/>
      <c r="L252" s="43"/>
      <c r="M252" s="43"/>
      <c r="N252" s="43"/>
      <c r="O252" s="43"/>
    </row>
    <row r="253">
      <c r="G253" s="43"/>
      <c r="H253" s="64"/>
      <c r="I253" s="64"/>
      <c r="J253" s="64"/>
      <c r="K253" s="43"/>
      <c r="L253" s="43"/>
      <c r="M253" s="43"/>
      <c r="N253" s="43"/>
      <c r="O253" s="43"/>
    </row>
    <row r="254">
      <c r="G254" s="43"/>
      <c r="H254" s="64"/>
      <c r="I254" s="64"/>
      <c r="J254" s="64"/>
      <c r="K254" s="43"/>
      <c r="L254" s="43"/>
      <c r="M254" s="43"/>
      <c r="N254" s="43"/>
      <c r="O254" s="43"/>
    </row>
    <row r="255">
      <c r="G255" s="43"/>
      <c r="H255" s="64"/>
      <c r="I255" s="64"/>
      <c r="J255" s="64"/>
      <c r="K255" s="43"/>
      <c r="L255" s="43"/>
      <c r="M255" s="43"/>
      <c r="N255" s="43"/>
      <c r="O255" s="43"/>
    </row>
    <row r="256">
      <c r="G256" s="43"/>
      <c r="H256" s="64"/>
      <c r="I256" s="64"/>
      <c r="J256" s="64"/>
      <c r="K256" s="43"/>
      <c r="L256" s="43"/>
      <c r="M256" s="43"/>
      <c r="N256" s="43"/>
      <c r="O256" s="43"/>
    </row>
    <row r="257">
      <c r="G257" s="43"/>
      <c r="H257" s="64"/>
      <c r="I257" s="64"/>
      <c r="J257" s="64"/>
      <c r="K257" s="43"/>
      <c r="L257" s="43"/>
      <c r="M257" s="43"/>
      <c r="N257" s="43"/>
      <c r="O257" s="43"/>
    </row>
    <row r="258">
      <c r="G258" s="43"/>
      <c r="H258" s="64"/>
      <c r="I258" s="64"/>
      <c r="J258" s="64"/>
      <c r="K258" s="43"/>
      <c r="L258" s="43"/>
      <c r="M258" s="43"/>
      <c r="N258" s="43"/>
      <c r="O258" s="43"/>
    </row>
    <row r="259">
      <c r="G259" s="43"/>
      <c r="H259" s="64"/>
      <c r="I259" s="64"/>
      <c r="J259" s="64"/>
      <c r="K259" s="43"/>
      <c r="L259" s="43"/>
      <c r="M259" s="43"/>
      <c r="N259" s="43"/>
      <c r="O259" s="43"/>
    </row>
    <row r="260">
      <c r="G260" s="43"/>
      <c r="H260" s="64"/>
      <c r="I260" s="64"/>
      <c r="J260" s="64"/>
      <c r="K260" s="43"/>
      <c r="L260" s="43"/>
      <c r="M260" s="43"/>
      <c r="N260" s="43"/>
      <c r="O260" s="43"/>
    </row>
    <row r="261">
      <c r="G261" s="43"/>
      <c r="H261" s="64"/>
      <c r="I261" s="64"/>
      <c r="J261" s="64"/>
      <c r="K261" s="43"/>
      <c r="L261" s="43"/>
      <c r="M261" s="43"/>
      <c r="N261" s="43"/>
      <c r="O261" s="43"/>
    </row>
    <row r="262">
      <c r="G262" s="43"/>
      <c r="H262" s="64"/>
      <c r="I262" s="64"/>
      <c r="J262" s="64"/>
      <c r="K262" s="43"/>
      <c r="L262" s="43"/>
      <c r="M262" s="43"/>
      <c r="N262" s="43"/>
      <c r="O262" s="43"/>
    </row>
    <row r="263">
      <c r="G263" s="43"/>
      <c r="H263" s="64"/>
      <c r="I263" s="64"/>
      <c r="J263" s="64"/>
      <c r="K263" s="43"/>
      <c r="L263" s="43"/>
      <c r="M263" s="43"/>
      <c r="N263" s="43"/>
      <c r="O263" s="43"/>
    </row>
    <row r="264">
      <c r="G264" s="43"/>
      <c r="H264" s="64"/>
      <c r="I264" s="64"/>
      <c r="J264" s="64"/>
      <c r="K264" s="43"/>
      <c r="L264" s="43"/>
      <c r="M264" s="43"/>
      <c r="N264" s="43"/>
      <c r="O264" s="43"/>
    </row>
    <row r="265">
      <c r="G265" s="43"/>
      <c r="H265" s="64"/>
      <c r="I265" s="64"/>
      <c r="J265" s="64"/>
      <c r="K265" s="43"/>
      <c r="L265" s="43"/>
      <c r="M265" s="43"/>
      <c r="N265" s="43"/>
      <c r="O265" s="43"/>
    </row>
    <row r="266">
      <c r="G266" s="43"/>
      <c r="H266" s="64"/>
      <c r="I266" s="64"/>
      <c r="J266" s="64"/>
      <c r="K266" s="43"/>
      <c r="L266" s="43"/>
      <c r="M266" s="43"/>
      <c r="N266" s="43"/>
      <c r="O266" s="43"/>
    </row>
    <row r="267">
      <c r="G267" s="43"/>
      <c r="H267" s="64"/>
      <c r="I267" s="64"/>
      <c r="J267" s="64"/>
      <c r="K267" s="43"/>
      <c r="L267" s="43"/>
      <c r="M267" s="43"/>
      <c r="N267" s="43"/>
      <c r="O267" s="43"/>
    </row>
    <row r="268">
      <c r="G268" s="43"/>
      <c r="H268" s="64"/>
      <c r="I268" s="64"/>
      <c r="J268" s="64"/>
      <c r="K268" s="43"/>
      <c r="L268" s="43"/>
      <c r="M268" s="43"/>
      <c r="N268" s="43"/>
      <c r="O268" s="43"/>
    </row>
    <row r="269">
      <c r="G269" s="43"/>
      <c r="H269" s="64"/>
      <c r="I269" s="64"/>
      <c r="J269" s="64"/>
      <c r="K269" s="43"/>
      <c r="L269" s="43"/>
      <c r="M269" s="43"/>
      <c r="N269" s="43"/>
      <c r="O269" s="43"/>
    </row>
    <row r="270">
      <c r="G270" s="43"/>
      <c r="H270" s="64"/>
      <c r="I270" s="64"/>
      <c r="J270" s="64"/>
      <c r="K270" s="43"/>
      <c r="L270" s="43"/>
      <c r="M270" s="43"/>
      <c r="N270" s="43"/>
      <c r="O270" s="43"/>
    </row>
    <row r="271">
      <c r="G271" s="43"/>
      <c r="H271" s="64"/>
      <c r="I271" s="64"/>
      <c r="J271" s="64"/>
      <c r="K271" s="43"/>
      <c r="L271" s="43"/>
      <c r="M271" s="43"/>
      <c r="N271" s="43"/>
      <c r="O271" s="43"/>
    </row>
    <row r="272">
      <c r="G272" s="43"/>
      <c r="H272" s="64"/>
      <c r="I272" s="64"/>
      <c r="J272" s="64"/>
      <c r="K272" s="43"/>
      <c r="L272" s="43"/>
      <c r="M272" s="43"/>
      <c r="N272" s="43"/>
      <c r="O272" s="43"/>
    </row>
    <row r="273">
      <c r="G273" s="43"/>
      <c r="H273" s="64"/>
      <c r="I273" s="64"/>
      <c r="J273" s="64"/>
      <c r="K273" s="43"/>
      <c r="L273" s="43"/>
      <c r="M273" s="43"/>
      <c r="N273" s="43"/>
      <c r="O273" s="43"/>
    </row>
    <row r="274">
      <c r="G274" s="43"/>
      <c r="H274" s="64"/>
      <c r="I274" s="64"/>
      <c r="J274" s="64"/>
      <c r="K274" s="43"/>
      <c r="L274" s="43"/>
      <c r="M274" s="43"/>
      <c r="N274" s="43"/>
      <c r="O274" s="43"/>
    </row>
    <row r="275">
      <c r="G275" s="43"/>
      <c r="H275" s="64"/>
      <c r="I275" s="64"/>
      <c r="J275" s="64"/>
      <c r="K275" s="43"/>
      <c r="L275" s="43"/>
      <c r="M275" s="43"/>
      <c r="N275" s="43"/>
      <c r="O275" s="43"/>
    </row>
    <row r="276">
      <c r="G276" s="43"/>
      <c r="H276" s="64"/>
      <c r="I276" s="64"/>
      <c r="J276" s="64"/>
      <c r="K276" s="43"/>
      <c r="L276" s="43"/>
      <c r="M276" s="43"/>
      <c r="N276" s="43"/>
      <c r="O276" s="43"/>
    </row>
    <row r="277">
      <c r="G277" s="43"/>
      <c r="H277" s="64"/>
      <c r="I277" s="64"/>
      <c r="J277" s="64"/>
      <c r="K277" s="43"/>
      <c r="L277" s="43"/>
      <c r="M277" s="43"/>
      <c r="N277" s="43"/>
      <c r="O277" s="43"/>
    </row>
    <row r="278">
      <c r="G278" s="43"/>
      <c r="H278" s="64"/>
      <c r="I278" s="64"/>
      <c r="J278" s="64"/>
      <c r="K278" s="43"/>
      <c r="L278" s="43"/>
      <c r="M278" s="43"/>
      <c r="N278" s="43"/>
      <c r="O278" s="43"/>
    </row>
    <row r="279">
      <c r="G279" s="43"/>
      <c r="H279" s="64"/>
      <c r="I279" s="64"/>
      <c r="J279" s="64"/>
      <c r="K279" s="43"/>
      <c r="L279" s="43"/>
      <c r="M279" s="43"/>
      <c r="N279" s="43"/>
      <c r="O279" s="43"/>
    </row>
    <row r="280">
      <c r="G280" s="43"/>
      <c r="H280" s="64"/>
      <c r="I280" s="64"/>
      <c r="J280" s="64"/>
      <c r="K280" s="43"/>
      <c r="L280" s="43"/>
      <c r="M280" s="43"/>
      <c r="N280" s="43"/>
      <c r="O280" s="43"/>
    </row>
    <row r="281">
      <c r="G281" s="43"/>
      <c r="H281" s="64"/>
      <c r="I281" s="64"/>
      <c r="J281" s="64"/>
      <c r="K281" s="43"/>
      <c r="L281" s="43"/>
      <c r="M281" s="43"/>
      <c r="N281" s="43"/>
      <c r="O281" s="43"/>
    </row>
    <row r="282">
      <c r="G282" s="43"/>
      <c r="H282" s="64"/>
      <c r="I282" s="64"/>
      <c r="J282" s="64"/>
      <c r="K282" s="43"/>
      <c r="L282" s="43"/>
      <c r="M282" s="43"/>
      <c r="N282" s="43"/>
      <c r="O282" s="43"/>
    </row>
    <row r="283">
      <c r="G283" s="43"/>
      <c r="H283" s="64"/>
      <c r="I283" s="64"/>
      <c r="J283" s="64"/>
      <c r="K283" s="43"/>
      <c r="L283" s="43"/>
      <c r="M283" s="43"/>
      <c r="N283" s="43"/>
      <c r="O283" s="43"/>
    </row>
    <row r="284">
      <c r="G284" s="43"/>
      <c r="H284" s="64"/>
      <c r="I284" s="64"/>
      <c r="J284" s="64"/>
      <c r="K284" s="43"/>
      <c r="L284" s="43"/>
      <c r="M284" s="43"/>
      <c r="N284" s="43"/>
      <c r="O284" s="43"/>
    </row>
    <row r="285">
      <c r="G285" s="43"/>
      <c r="H285" s="64"/>
      <c r="I285" s="64"/>
      <c r="J285" s="64"/>
      <c r="K285" s="43"/>
      <c r="L285" s="43"/>
      <c r="M285" s="43"/>
      <c r="N285" s="43"/>
      <c r="O285" s="43"/>
    </row>
    <row r="286">
      <c r="G286" s="43"/>
      <c r="H286" s="64"/>
      <c r="I286" s="64"/>
      <c r="J286" s="64"/>
      <c r="K286" s="43"/>
      <c r="L286" s="43"/>
      <c r="M286" s="43"/>
      <c r="N286" s="43"/>
      <c r="O286" s="43"/>
    </row>
    <row r="287">
      <c r="G287" s="43"/>
      <c r="H287" s="64"/>
      <c r="I287" s="64"/>
      <c r="J287" s="64"/>
      <c r="K287" s="43"/>
      <c r="L287" s="43"/>
      <c r="M287" s="43"/>
      <c r="N287" s="43"/>
      <c r="O287" s="43"/>
    </row>
    <row r="288">
      <c r="G288" s="43"/>
      <c r="H288" s="64"/>
      <c r="I288" s="64"/>
      <c r="J288" s="64"/>
      <c r="K288" s="43"/>
      <c r="L288" s="43"/>
      <c r="M288" s="43"/>
      <c r="N288" s="43"/>
      <c r="O288" s="43"/>
    </row>
    <row r="289">
      <c r="G289" s="43"/>
      <c r="H289" s="64"/>
      <c r="I289" s="64"/>
      <c r="J289" s="64"/>
      <c r="K289" s="43"/>
      <c r="L289" s="43"/>
      <c r="M289" s="43"/>
      <c r="N289" s="43"/>
      <c r="O289" s="43"/>
    </row>
    <row r="290">
      <c r="G290" s="43"/>
      <c r="H290" s="64"/>
      <c r="I290" s="64"/>
      <c r="J290" s="64"/>
      <c r="K290" s="43"/>
      <c r="L290" s="43"/>
      <c r="M290" s="43"/>
      <c r="N290" s="43"/>
      <c r="O290" s="43"/>
    </row>
    <row r="291">
      <c r="G291" s="43"/>
      <c r="H291" s="64"/>
      <c r="I291" s="64"/>
      <c r="J291" s="64"/>
      <c r="K291" s="43"/>
      <c r="L291" s="43"/>
      <c r="M291" s="43"/>
      <c r="N291" s="43"/>
      <c r="O291" s="43"/>
    </row>
    <row r="292">
      <c r="G292" s="43"/>
      <c r="H292" s="64"/>
      <c r="I292" s="64"/>
      <c r="J292" s="64"/>
      <c r="K292" s="43"/>
      <c r="L292" s="43"/>
      <c r="M292" s="43"/>
      <c r="N292" s="43"/>
      <c r="O292" s="43"/>
    </row>
    <row r="293">
      <c r="G293" s="43"/>
      <c r="H293" s="64"/>
      <c r="I293" s="64"/>
      <c r="J293" s="64"/>
      <c r="K293" s="43"/>
      <c r="L293" s="43"/>
      <c r="M293" s="43"/>
      <c r="N293" s="43"/>
      <c r="O293" s="43"/>
    </row>
    <row r="294">
      <c r="G294" s="43"/>
      <c r="H294" s="64"/>
      <c r="I294" s="64"/>
      <c r="J294" s="64"/>
      <c r="K294" s="43"/>
      <c r="L294" s="43"/>
      <c r="M294" s="43"/>
      <c r="N294" s="43"/>
      <c r="O294" s="43"/>
    </row>
    <row r="295">
      <c r="G295" s="43"/>
      <c r="H295" s="64"/>
      <c r="I295" s="64"/>
      <c r="J295" s="64"/>
      <c r="K295" s="43"/>
      <c r="L295" s="43"/>
      <c r="M295" s="43"/>
      <c r="N295" s="43"/>
      <c r="O295" s="43"/>
    </row>
    <row r="296">
      <c r="G296" s="43"/>
      <c r="H296" s="64"/>
      <c r="I296" s="64"/>
      <c r="J296" s="64"/>
      <c r="K296" s="43"/>
      <c r="L296" s="43"/>
      <c r="M296" s="43"/>
      <c r="N296" s="43"/>
      <c r="O296" s="43"/>
    </row>
    <row r="297">
      <c r="G297" s="43"/>
      <c r="H297" s="64"/>
      <c r="I297" s="64"/>
      <c r="J297" s="64"/>
      <c r="K297" s="43"/>
      <c r="L297" s="43"/>
      <c r="M297" s="43"/>
      <c r="N297" s="43"/>
      <c r="O297" s="43"/>
    </row>
    <row r="298">
      <c r="G298" s="43"/>
      <c r="H298" s="64"/>
      <c r="I298" s="64"/>
      <c r="J298" s="64"/>
      <c r="K298" s="43"/>
      <c r="L298" s="43"/>
      <c r="M298" s="43"/>
      <c r="N298" s="43"/>
      <c r="O298" s="43"/>
    </row>
    <row r="299">
      <c r="G299" s="43"/>
      <c r="H299" s="64"/>
      <c r="I299" s="64"/>
      <c r="J299" s="64"/>
      <c r="K299" s="43"/>
      <c r="L299" s="43"/>
      <c r="M299" s="43"/>
      <c r="N299" s="43"/>
      <c r="O299" s="43"/>
    </row>
    <row r="300">
      <c r="G300" s="43"/>
      <c r="H300" s="64"/>
      <c r="I300" s="64"/>
      <c r="J300" s="64"/>
      <c r="K300" s="43"/>
      <c r="L300" s="43"/>
      <c r="M300" s="43"/>
      <c r="N300" s="43"/>
      <c r="O300" s="43"/>
    </row>
    <row r="301">
      <c r="G301" s="43"/>
      <c r="H301" s="64"/>
      <c r="I301" s="64"/>
      <c r="J301" s="64"/>
      <c r="K301" s="43"/>
      <c r="L301" s="43"/>
      <c r="M301" s="43"/>
      <c r="N301" s="43"/>
      <c r="O301" s="43"/>
    </row>
    <row r="302">
      <c r="G302" s="43"/>
      <c r="H302" s="64"/>
      <c r="I302" s="64"/>
      <c r="J302" s="64"/>
      <c r="K302" s="43"/>
      <c r="L302" s="43"/>
      <c r="M302" s="43"/>
      <c r="N302" s="43"/>
      <c r="O302" s="43"/>
    </row>
    <row r="303">
      <c r="G303" s="43"/>
      <c r="H303" s="64"/>
      <c r="I303" s="64"/>
      <c r="J303" s="64"/>
      <c r="K303" s="43"/>
      <c r="L303" s="43"/>
      <c r="M303" s="43"/>
      <c r="N303" s="43"/>
      <c r="O303" s="43"/>
    </row>
    <row r="304">
      <c r="G304" s="43"/>
      <c r="H304" s="64"/>
      <c r="I304" s="64"/>
      <c r="J304" s="64"/>
      <c r="K304" s="43"/>
      <c r="L304" s="43"/>
      <c r="M304" s="43"/>
      <c r="N304" s="43"/>
      <c r="O304" s="43"/>
    </row>
    <row r="305">
      <c r="G305" s="43"/>
      <c r="H305" s="64"/>
      <c r="I305" s="64"/>
      <c r="J305" s="64"/>
      <c r="K305" s="43"/>
      <c r="L305" s="43"/>
      <c r="M305" s="43"/>
      <c r="N305" s="43"/>
      <c r="O305" s="43"/>
    </row>
    <row r="306">
      <c r="G306" s="43"/>
      <c r="H306" s="64"/>
      <c r="I306" s="64"/>
      <c r="J306" s="64"/>
      <c r="K306" s="43"/>
      <c r="L306" s="43"/>
      <c r="M306" s="43"/>
      <c r="N306" s="43"/>
      <c r="O306" s="43"/>
    </row>
    <row r="307">
      <c r="G307" s="43"/>
      <c r="H307" s="64"/>
      <c r="I307" s="64"/>
      <c r="J307" s="64"/>
      <c r="K307" s="43"/>
      <c r="L307" s="43"/>
      <c r="M307" s="43"/>
      <c r="N307" s="43"/>
      <c r="O307" s="43"/>
    </row>
    <row r="308">
      <c r="G308" s="43"/>
      <c r="H308" s="64"/>
      <c r="I308" s="64"/>
      <c r="J308" s="64"/>
      <c r="K308" s="43"/>
      <c r="L308" s="43"/>
      <c r="M308" s="43"/>
      <c r="N308" s="43"/>
      <c r="O308" s="43"/>
    </row>
    <row r="309">
      <c r="G309" s="43"/>
      <c r="H309" s="64"/>
      <c r="I309" s="64"/>
      <c r="J309" s="64"/>
      <c r="K309" s="43"/>
      <c r="L309" s="43"/>
      <c r="M309" s="43"/>
      <c r="N309" s="43"/>
      <c r="O309" s="43"/>
    </row>
    <row r="310">
      <c r="G310" s="43"/>
      <c r="H310" s="64"/>
      <c r="I310" s="64"/>
      <c r="J310" s="64"/>
      <c r="K310" s="43"/>
      <c r="L310" s="43"/>
      <c r="M310" s="43"/>
      <c r="N310" s="43"/>
      <c r="O310" s="43"/>
    </row>
    <row r="311">
      <c r="G311" s="43"/>
      <c r="H311" s="64"/>
      <c r="I311" s="64"/>
      <c r="J311" s="64"/>
      <c r="K311" s="43"/>
      <c r="L311" s="43"/>
      <c r="M311" s="43"/>
      <c r="N311" s="43"/>
      <c r="O311" s="43"/>
    </row>
    <row r="312">
      <c r="G312" s="43"/>
      <c r="H312" s="64"/>
      <c r="I312" s="64"/>
      <c r="J312" s="64"/>
      <c r="K312" s="43"/>
      <c r="L312" s="43"/>
      <c r="M312" s="43"/>
      <c r="N312" s="43"/>
      <c r="O312" s="43"/>
    </row>
    <row r="313">
      <c r="G313" s="43"/>
      <c r="H313" s="64"/>
      <c r="I313" s="64"/>
      <c r="J313" s="64"/>
      <c r="K313" s="43"/>
      <c r="L313" s="43"/>
      <c r="M313" s="43"/>
      <c r="N313" s="43"/>
      <c r="O313" s="43"/>
    </row>
    <row r="314">
      <c r="G314" s="43"/>
      <c r="H314" s="64"/>
      <c r="I314" s="64"/>
      <c r="J314" s="64"/>
      <c r="K314" s="43"/>
      <c r="L314" s="43"/>
      <c r="M314" s="43"/>
      <c r="N314" s="43"/>
      <c r="O314" s="43"/>
    </row>
    <row r="315">
      <c r="G315" s="43"/>
      <c r="H315" s="64"/>
      <c r="I315" s="64"/>
      <c r="J315" s="64"/>
      <c r="K315" s="43"/>
      <c r="L315" s="43"/>
      <c r="M315" s="43"/>
      <c r="N315" s="43"/>
      <c r="O315" s="43"/>
    </row>
    <row r="316">
      <c r="G316" s="43"/>
      <c r="H316" s="64"/>
      <c r="I316" s="64"/>
      <c r="J316" s="64"/>
      <c r="K316" s="43"/>
      <c r="L316" s="43"/>
      <c r="M316" s="43"/>
      <c r="N316" s="43"/>
      <c r="O316" s="43"/>
    </row>
    <row r="317">
      <c r="G317" s="43"/>
      <c r="H317" s="64"/>
      <c r="I317" s="64"/>
      <c r="J317" s="64"/>
      <c r="K317" s="43"/>
      <c r="L317" s="43"/>
      <c r="M317" s="43"/>
      <c r="N317" s="43"/>
      <c r="O317" s="43"/>
    </row>
    <row r="318">
      <c r="G318" s="43"/>
      <c r="H318" s="64"/>
      <c r="I318" s="64"/>
      <c r="J318" s="64"/>
      <c r="K318" s="43"/>
      <c r="L318" s="43"/>
      <c r="M318" s="43"/>
      <c r="N318" s="43"/>
      <c r="O318" s="43"/>
    </row>
    <row r="319">
      <c r="G319" s="43"/>
      <c r="H319" s="64"/>
      <c r="I319" s="64"/>
      <c r="J319" s="64"/>
      <c r="K319" s="43"/>
      <c r="L319" s="43"/>
      <c r="M319" s="43"/>
      <c r="N319" s="43"/>
      <c r="O319" s="43"/>
    </row>
    <row r="320">
      <c r="G320" s="43"/>
      <c r="H320" s="64"/>
      <c r="I320" s="64"/>
      <c r="J320" s="64"/>
      <c r="K320" s="43"/>
      <c r="L320" s="43"/>
      <c r="M320" s="43"/>
      <c r="N320" s="43"/>
      <c r="O320" s="43"/>
    </row>
    <row r="321">
      <c r="G321" s="43"/>
      <c r="H321" s="64"/>
      <c r="I321" s="64"/>
      <c r="J321" s="64"/>
      <c r="K321" s="43"/>
      <c r="L321" s="43"/>
      <c r="M321" s="43"/>
      <c r="N321" s="43"/>
      <c r="O321" s="43"/>
    </row>
    <row r="322">
      <c r="G322" s="43"/>
      <c r="H322" s="64"/>
      <c r="I322" s="64"/>
      <c r="J322" s="64"/>
      <c r="K322" s="43"/>
      <c r="L322" s="43"/>
      <c r="M322" s="43"/>
      <c r="N322" s="43"/>
      <c r="O322" s="43"/>
    </row>
    <row r="323">
      <c r="G323" s="43"/>
      <c r="H323" s="64"/>
      <c r="I323" s="64"/>
      <c r="J323" s="64"/>
      <c r="K323" s="43"/>
      <c r="L323" s="43"/>
      <c r="M323" s="43"/>
      <c r="N323" s="43"/>
      <c r="O323" s="43"/>
    </row>
    <row r="324">
      <c r="G324" s="43"/>
      <c r="H324" s="64"/>
      <c r="I324" s="64"/>
      <c r="J324" s="64"/>
      <c r="K324" s="43"/>
      <c r="L324" s="43"/>
      <c r="M324" s="43"/>
      <c r="N324" s="43"/>
      <c r="O324" s="43"/>
    </row>
    <row r="325">
      <c r="G325" s="43"/>
      <c r="H325" s="64"/>
      <c r="I325" s="64"/>
      <c r="J325" s="64"/>
      <c r="K325" s="43"/>
      <c r="L325" s="43"/>
      <c r="M325" s="43"/>
      <c r="N325" s="43"/>
      <c r="O325" s="43"/>
    </row>
    <row r="326">
      <c r="G326" s="43"/>
      <c r="H326" s="64"/>
      <c r="I326" s="64"/>
      <c r="J326" s="64"/>
      <c r="K326" s="43"/>
      <c r="L326" s="43"/>
      <c r="M326" s="43"/>
      <c r="N326" s="43"/>
      <c r="O326" s="43"/>
    </row>
    <row r="327">
      <c r="G327" s="43"/>
      <c r="H327" s="64"/>
      <c r="I327" s="64"/>
      <c r="J327" s="64"/>
      <c r="K327" s="43"/>
      <c r="L327" s="43"/>
      <c r="M327" s="43"/>
      <c r="N327" s="43"/>
      <c r="O327" s="43"/>
    </row>
    <row r="328">
      <c r="G328" s="43"/>
      <c r="H328" s="64"/>
      <c r="I328" s="64"/>
      <c r="J328" s="64"/>
      <c r="K328" s="43"/>
      <c r="L328" s="43"/>
      <c r="M328" s="43"/>
      <c r="N328" s="43"/>
      <c r="O328" s="43"/>
    </row>
    <row r="329">
      <c r="G329" s="43"/>
      <c r="H329" s="64"/>
      <c r="I329" s="64"/>
      <c r="J329" s="64"/>
      <c r="K329" s="43"/>
      <c r="L329" s="43"/>
      <c r="M329" s="43"/>
      <c r="N329" s="43"/>
      <c r="O329" s="43"/>
    </row>
    <row r="330">
      <c r="G330" s="43"/>
      <c r="H330" s="64"/>
      <c r="I330" s="64"/>
      <c r="J330" s="64"/>
      <c r="K330" s="43"/>
      <c r="L330" s="43"/>
      <c r="M330" s="43"/>
      <c r="N330" s="43"/>
      <c r="O330" s="43"/>
    </row>
    <row r="331">
      <c r="G331" s="43"/>
      <c r="H331" s="64"/>
      <c r="I331" s="64"/>
      <c r="J331" s="64"/>
      <c r="K331" s="43"/>
      <c r="L331" s="43"/>
      <c r="M331" s="43"/>
      <c r="N331" s="43"/>
      <c r="O331" s="43"/>
    </row>
    <row r="332">
      <c r="G332" s="43"/>
      <c r="H332" s="64"/>
      <c r="I332" s="64"/>
      <c r="J332" s="64"/>
      <c r="K332" s="43"/>
      <c r="L332" s="43"/>
      <c r="M332" s="43"/>
      <c r="N332" s="43"/>
      <c r="O332" s="43"/>
    </row>
    <row r="333">
      <c r="G333" s="43"/>
      <c r="H333" s="64"/>
      <c r="I333" s="64"/>
      <c r="J333" s="64"/>
      <c r="K333" s="43"/>
      <c r="L333" s="43"/>
      <c r="M333" s="43"/>
      <c r="N333" s="43"/>
      <c r="O333" s="43"/>
    </row>
    <row r="334">
      <c r="G334" s="43"/>
      <c r="H334" s="64"/>
      <c r="I334" s="64"/>
      <c r="J334" s="64"/>
      <c r="K334" s="43"/>
      <c r="L334" s="43"/>
      <c r="M334" s="43"/>
      <c r="N334" s="43"/>
      <c r="O334" s="43"/>
    </row>
    <row r="335">
      <c r="G335" s="43"/>
      <c r="H335" s="64"/>
      <c r="I335" s="64"/>
      <c r="J335" s="64"/>
      <c r="K335" s="43"/>
      <c r="L335" s="43"/>
      <c r="M335" s="43"/>
      <c r="N335" s="43"/>
      <c r="O335" s="43"/>
    </row>
    <row r="336">
      <c r="G336" s="43"/>
      <c r="H336" s="64"/>
      <c r="I336" s="64"/>
      <c r="J336" s="64"/>
      <c r="K336" s="43"/>
      <c r="L336" s="43"/>
      <c r="M336" s="43"/>
      <c r="N336" s="43"/>
      <c r="O336" s="43"/>
    </row>
    <row r="337">
      <c r="G337" s="43"/>
      <c r="H337" s="64"/>
      <c r="I337" s="64"/>
      <c r="J337" s="64"/>
      <c r="K337" s="43"/>
      <c r="L337" s="43"/>
      <c r="M337" s="43"/>
      <c r="N337" s="43"/>
      <c r="O337" s="43"/>
    </row>
    <row r="338">
      <c r="G338" s="43"/>
      <c r="H338" s="64"/>
      <c r="I338" s="64"/>
      <c r="J338" s="64"/>
      <c r="K338" s="43"/>
      <c r="L338" s="43"/>
      <c r="M338" s="43"/>
      <c r="N338" s="43"/>
      <c r="O338" s="43"/>
    </row>
    <row r="339">
      <c r="G339" s="43"/>
      <c r="H339" s="64"/>
      <c r="I339" s="64"/>
      <c r="J339" s="64"/>
      <c r="K339" s="43"/>
      <c r="L339" s="43"/>
      <c r="M339" s="43"/>
      <c r="N339" s="43"/>
      <c r="O339" s="43"/>
    </row>
    <row r="340">
      <c r="G340" s="43"/>
      <c r="H340" s="64"/>
      <c r="I340" s="64"/>
      <c r="J340" s="64"/>
      <c r="K340" s="43"/>
      <c r="L340" s="43"/>
      <c r="M340" s="43"/>
      <c r="N340" s="43"/>
      <c r="O340" s="43"/>
    </row>
    <row r="341">
      <c r="G341" s="43"/>
      <c r="H341" s="64"/>
      <c r="I341" s="64"/>
      <c r="J341" s="64"/>
      <c r="K341" s="43"/>
      <c r="L341" s="43"/>
      <c r="M341" s="43"/>
      <c r="N341" s="43"/>
      <c r="O341" s="43"/>
    </row>
    <row r="342">
      <c r="G342" s="43"/>
      <c r="H342" s="64"/>
      <c r="I342" s="64"/>
      <c r="J342" s="64"/>
      <c r="K342" s="43"/>
      <c r="L342" s="43"/>
      <c r="M342" s="43"/>
      <c r="N342" s="43"/>
      <c r="O342" s="43"/>
    </row>
    <row r="343">
      <c r="G343" s="43"/>
      <c r="H343" s="64"/>
      <c r="I343" s="64"/>
      <c r="J343" s="64"/>
      <c r="K343" s="43"/>
      <c r="L343" s="43"/>
      <c r="M343" s="43"/>
      <c r="N343" s="43"/>
      <c r="O343" s="43"/>
    </row>
    <row r="344">
      <c r="G344" s="43"/>
      <c r="H344" s="64"/>
      <c r="I344" s="64"/>
      <c r="J344" s="64"/>
      <c r="K344" s="43"/>
      <c r="L344" s="43"/>
      <c r="M344" s="43"/>
      <c r="N344" s="43"/>
      <c r="O344" s="43"/>
    </row>
    <row r="345">
      <c r="G345" s="43"/>
      <c r="H345" s="64"/>
      <c r="I345" s="64"/>
      <c r="J345" s="64"/>
      <c r="K345" s="43"/>
      <c r="L345" s="43"/>
      <c r="M345" s="43"/>
      <c r="N345" s="43"/>
      <c r="O345" s="43"/>
    </row>
    <row r="346">
      <c r="G346" s="43"/>
      <c r="H346" s="64"/>
      <c r="I346" s="64"/>
      <c r="J346" s="64"/>
      <c r="K346" s="43"/>
      <c r="L346" s="43"/>
      <c r="M346" s="43"/>
      <c r="N346" s="43"/>
      <c r="O346" s="43"/>
    </row>
    <row r="347">
      <c r="G347" s="43"/>
      <c r="H347" s="64"/>
      <c r="I347" s="64"/>
      <c r="J347" s="64"/>
      <c r="K347" s="43"/>
      <c r="L347" s="43"/>
      <c r="M347" s="43"/>
      <c r="N347" s="43"/>
      <c r="O347" s="43"/>
    </row>
    <row r="348">
      <c r="G348" s="43"/>
      <c r="H348" s="64"/>
      <c r="I348" s="64"/>
      <c r="J348" s="64"/>
      <c r="K348" s="43"/>
      <c r="L348" s="43"/>
      <c r="M348" s="43"/>
      <c r="N348" s="43"/>
      <c r="O348" s="43"/>
    </row>
    <row r="349">
      <c r="G349" s="43"/>
      <c r="H349" s="64"/>
      <c r="I349" s="64"/>
      <c r="J349" s="64"/>
      <c r="K349" s="43"/>
      <c r="L349" s="43"/>
      <c r="M349" s="43"/>
      <c r="N349" s="43"/>
      <c r="O349" s="43"/>
    </row>
    <row r="350">
      <c r="G350" s="43"/>
      <c r="H350" s="64"/>
      <c r="I350" s="64"/>
      <c r="J350" s="64"/>
      <c r="K350" s="43"/>
      <c r="L350" s="43"/>
      <c r="M350" s="43"/>
      <c r="N350" s="43"/>
      <c r="O350" s="43"/>
    </row>
    <row r="351">
      <c r="G351" s="43"/>
      <c r="H351" s="64"/>
      <c r="I351" s="64"/>
      <c r="J351" s="64"/>
      <c r="K351" s="43"/>
      <c r="L351" s="43"/>
      <c r="M351" s="43"/>
      <c r="N351" s="43"/>
      <c r="O351" s="43"/>
    </row>
    <row r="352">
      <c r="G352" s="43"/>
      <c r="H352" s="64"/>
      <c r="I352" s="64"/>
      <c r="J352" s="64"/>
      <c r="K352" s="43"/>
      <c r="L352" s="43"/>
      <c r="M352" s="43"/>
      <c r="N352" s="43"/>
      <c r="O352" s="43"/>
    </row>
    <row r="353">
      <c r="G353" s="43"/>
      <c r="H353" s="64"/>
      <c r="I353" s="64"/>
      <c r="J353" s="64"/>
      <c r="K353" s="43"/>
      <c r="L353" s="43"/>
      <c r="M353" s="43"/>
      <c r="N353" s="43"/>
      <c r="O353" s="43"/>
    </row>
    <row r="354">
      <c r="G354" s="43"/>
      <c r="H354" s="64"/>
      <c r="I354" s="64"/>
      <c r="J354" s="64"/>
      <c r="K354" s="43"/>
      <c r="L354" s="43"/>
      <c r="M354" s="43"/>
      <c r="N354" s="43"/>
      <c r="O354" s="43"/>
    </row>
    <row r="355">
      <c r="G355" s="43"/>
      <c r="H355" s="64"/>
      <c r="I355" s="64"/>
      <c r="J355" s="64"/>
      <c r="K355" s="43"/>
      <c r="L355" s="43"/>
      <c r="M355" s="43"/>
      <c r="N355" s="43"/>
      <c r="O355" s="43"/>
    </row>
    <row r="356">
      <c r="G356" s="43"/>
      <c r="H356" s="64"/>
      <c r="I356" s="64"/>
      <c r="J356" s="64"/>
      <c r="K356" s="43"/>
      <c r="L356" s="43"/>
      <c r="M356" s="43"/>
      <c r="N356" s="43"/>
      <c r="O356" s="43"/>
    </row>
    <row r="357">
      <c r="G357" s="43"/>
      <c r="H357" s="64"/>
      <c r="I357" s="64"/>
      <c r="J357" s="64"/>
      <c r="K357" s="43"/>
      <c r="L357" s="43"/>
      <c r="M357" s="43"/>
      <c r="N357" s="43"/>
      <c r="O357" s="43"/>
    </row>
    <row r="358">
      <c r="G358" s="43"/>
      <c r="H358" s="64"/>
      <c r="I358" s="64"/>
      <c r="J358" s="64"/>
      <c r="K358" s="43"/>
      <c r="L358" s="43"/>
      <c r="M358" s="43"/>
      <c r="N358" s="43"/>
      <c r="O358" s="43"/>
    </row>
    <row r="359">
      <c r="G359" s="43"/>
      <c r="H359" s="64"/>
      <c r="I359" s="64"/>
      <c r="J359" s="64"/>
      <c r="K359" s="43"/>
      <c r="L359" s="43"/>
      <c r="M359" s="43"/>
      <c r="N359" s="43"/>
      <c r="O359" s="43"/>
    </row>
    <row r="360">
      <c r="G360" s="43"/>
      <c r="H360" s="64"/>
      <c r="I360" s="64"/>
      <c r="J360" s="64"/>
      <c r="K360" s="43"/>
      <c r="L360" s="43"/>
      <c r="M360" s="43"/>
      <c r="N360" s="43"/>
      <c r="O360" s="43"/>
    </row>
    <row r="361">
      <c r="G361" s="43"/>
      <c r="H361" s="64"/>
      <c r="I361" s="64"/>
      <c r="J361" s="64"/>
      <c r="K361" s="43"/>
      <c r="L361" s="43"/>
      <c r="M361" s="43"/>
      <c r="N361" s="43"/>
      <c r="O361" s="43"/>
    </row>
    <row r="362">
      <c r="G362" s="43"/>
      <c r="H362" s="64"/>
      <c r="I362" s="64"/>
      <c r="J362" s="64"/>
      <c r="K362" s="43"/>
      <c r="L362" s="43"/>
      <c r="M362" s="43"/>
      <c r="N362" s="43"/>
      <c r="O362" s="43"/>
    </row>
    <row r="363">
      <c r="G363" s="43"/>
      <c r="H363" s="64"/>
      <c r="I363" s="64"/>
      <c r="J363" s="64"/>
      <c r="K363" s="43"/>
      <c r="L363" s="43"/>
      <c r="M363" s="43"/>
      <c r="N363" s="43"/>
      <c r="O363" s="43"/>
    </row>
    <row r="364">
      <c r="G364" s="43"/>
      <c r="H364" s="64"/>
      <c r="I364" s="64"/>
      <c r="J364" s="64"/>
      <c r="K364" s="43"/>
      <c r="L364" s="43"/>
      <c r="M364" s="43"/>
      <c r="N364" s="43"/>
      <c r="O364" s="43"/>
    </row>
    <row r="365">
      <c r="G365" s="43"/>
      <c r="H365" s="64"/>
      <c r="I365" s="64"/>
      <c r="J365" s="64"/>
      <c r="K365" s="43"/>
      <c r="L365" s="43"/>
      <c r="M365" s="43"/>
      <c r="N365" s="43"/>
      <c r="O365" s="43"/>
    </row>
    <row r="366">
      <c r="G366" s="43"/>
      <c r="H366" s="64"/>
      <c r="I366" s="64"/>
      <c r="J366" s="64"/>
      <c r="K366" s="43"/>
      <c r="L366" s="43"/>
      <c r="M366" s="43"/>
      <c r="N366" s="43"/>
      <c r="O366" s="43"/>
    </row>
    <row r="367">
      <c r="G367" s="43"/>
      <c r="H367" s="64"/>
      <c r="I367" s="64"/>
      <c r="J367" s="64"/>
      <c r="K367" s="43"/>
      <c r="L367" s="43"/>
      <c r="M367" s="43"/>
      <c r="N367" s="43"/>
      <c r="O367" s="43"/>
    </row>
    <row r="368">
      <c r="G368" s="43"/>
      <c r="H368" s="64"/>
      <c r="I368" s="64"/>
      <c r="J368" s="64"/>
      <c r="K368" s="43"/>
      <c r="L368" s="43"/>
      <c r="M368" s="43"/>
      <c r="N368" s="43"/>
      <c r="O368" s="43"/>
    </row>
    <row r="369">
      <c r="G369" s="43"/>
      <c r="H369" s="64"/>
      <c r="I369" s="64"/>
      <c r="J369" s="64"/>
      <c r="K369" s="43"/>
      <c r="L369" s="43"/>
      <c r="M369" s="43"/>
      <c r="N369" s="43"/>
      <c r="O369" s="43"/>
    </row>
    <row r="370">
      <c r="G370" s="43"/>
      <c r="H370" s="64"/>
      <c r="I370" s="64"/>
      <c r="J370" s="64"/>
      <c r="K370" s="43"/>
      <c r="L370" s="43"/>
      <c r="M370" s="43"/>
      <c r="N370" s="43"/>
      <c r="O370" s="43"/>
    </row>
    <row r="371">
      <c r="G371" s="43"/>
      <c r="H371" s="64"/>
      <c r="I371" s="64"/>
      <c r="J371" s="64"/>
      <c r="K371" s="43"/>
      <c r="L371" s="43"/>
      <c r="M371" s="43"/>
      <c r="N371" s="43"/>
      <c r="O371" s="43"/>
    </row>
    <row r="372">
      <c r="G372" s="43"/>
      <c r="H372" s="64"/>
      <c r="I372" s="64"/>
      <c r="J372" s="64"/>
      <c r="K372" s="43"/>
      <c r="L372" s="43"/>
      <c r="M372" s="43"/>
      <c r="N372" s="43"/>
      <c r="O372" s="43"/>
    </row>
    <row r="373">
      <c r="G373" s="43"/>
      <c r="H373" s="64"/>
      <c r="I373" s="64"/>
      <c r="J373" s="64"/>
      <c r="K373" s="43"/>
      <c r="L373" s="43"/>
      <c r="M373" s="43"/>
      <c r="N373" s="43"/>
      <c r="O373" s="43"/>
    </row>
    <row r="374">
      <c r="G374" s="43"/>
      <c r="H374" s="64"/>
      <c r="I374" s="64"/>
      <c r="J374" s="64"/>
      <c r="K374" s="43"/>
      <c r="L374" s="43"/>
      <c r="M374" s="43"/>
      <c r="N374" s="43"/>
      <c r="O374" s="43"/>
    </row>
    <row r="375">
      <c r="G375" s="43"/>
      <c r="H375" s="64"/>
      <c r="I375" s="64"/>
      <c r="J375" s="64"/>
      <c r="K375" s="43"/>
      <c r="L375" s="43"/>
      <c r="M375" s="43"/>
      <c r="N375" s="43"/>
      <c r="O375" s="43"/>
    </row>
    <row r="376">
      <c r="G376" s="43"/>
      <c r="H376" s="64"/>
      <c r="I376" s="64"/>
      <c r="J376" s="64"/>
      <c r="K376" s="43"/>
      <c r="L376" s="43"/>
      <c r="M376" s="43"/>
      <c r="N376" s="43"/>
      <c r="O376" s="43"/>
    </row>
    <row r="377">
      <c r="G377" s="43"/>
      <c r="H377" s="64"/>
      <c r="I377" s="64"/>
      <c r="J377" s="64"/>
      <c r="K377" s="43"/>
      <c r="L377" s="43"/>
      <c r="M377" s="43"/>
      <c r="N377" s="43"/>
      <c r="O377" s="43"/>
    </row>
    <row r="378">
      <c r="G378" s="43"/>
      <c r="H378" s="64"/>
      <c r="I378" s="64"/>
      <c r="J378" s="64"/>
      <c r="K378" s="43"/>
      <c r="L378" s="43"/>
      <c r="M378" s="43"/>
      <c r="N378" s="43"/>
      <c r="O378" s="43"/>
    </row>
    <row r="379">
      <c r="G379" s="43"/>
      <c r="H379" s="64"/>
      <c r="I379" s="64"/>
      <c r="J379" s="64"/>
      <c r="K379" s="43"/>
      <c r="L379" s="43"/>
      <c r="M379" s="43"/>
      <c r="N379" s="43"/>
      <c r="O379" s="43"/>
    </row>
    <row r="380">
      <c r="G380" s="43"/>
      <c r="H380" s="64"/>
      <c r="I380" s="64"/>
      <c r="J380" s="64"/>
      <c r="K380" s="43"/>
      <c r="L380" s="43"/>
      <c r="M380" s="43"/>
      <c r="N380" s="43"/>
      <c r="O380" s="43"/>
    </row>
    <row r="381">
      <c r="G381" s="43"/>
      <c r="H381" s="64"/>
      <c r="I381" s="64"/>
      <c r="J381" s="64"/>
      <c r="K381" s="43"/>
      <c r="L381" s="43"/>
      <c r="M381" s="43"/>
      <c r="N381" s="43"/>
      <c r="O381" s="43"/>
    </row>
    <row r="382">
      <c r="G382" s="43"/>
      <c r="H382" s="64"/>
      <c r="I382" s="64"/>
      <c r="J382" s="64"/>
      <c r="K382" s="43"/>
      <c r="L382" s="43"/>
      <c r="M382" s="43"/>
      <c r="N382" s="43"/>
      <c r="O382" s="43"/>
    </row>
    <row r="383">
      <c r="G383" s="43"/>
      <c r="H383" s="64"/>
      <c r="I383" s="64"/>
      <c r="J383" s="64"/>
      <c r="K383" s="43"/>
      <c r="L383" s="43"/>
      <c r="M383" s="43"/>
      <c r="N383" s="43"/>
      <c r="O383" s="43"/>
    </row>
    <row r="384">
      <c r="G384" s="43"/>
      <c r="H384" s="64"/>
      <c r="I384" s="64"/>
      <c r="J384" s="64"/>
      <c r="K384" s="43"/>
      <c r="L384" s="43"/>
      <c r="M384" s="43"/>
      <c r="N384" s="43"/>
      <c r="O384" s="43"/>
    </row>
    <row r="385">
      <c r="G385" s="43"/>
      <c r="H385" s="64"/>
      <c r="I385" s="64"/>
      <c r="J385" s="64"/>
      <c r="K385" s="43"/>
      <c r="L385" s="43"/>
      <c r="M385" s="43"/>
      <c r="N385" s="43"/>
      <c r="O385" s="43"/>
    </row>
    <row r="386">
      <c r="G386" s="43"/>
      <c r="H386" s="64"/>
      <c r="I386" s="64"/>
      <c r="J386" s="64"/>
      <c r="K386" s="43"/>
      <c r="L386" s="43"/>
      <c r="M386" s="43"/>
      <c r="N386" s="43"/>
      <c r="O386" s="43"/>
    </row>
    <row r="387">
      <c r="G387" s="43"/>
      <c r="H387" s="64"/>
      <c r="I387" s="64"/>
      <c r="J387" s="64"/>
      <c r="K387" s="43"/>
      <c r="L387" s="43"/>
      <c r="M387" s="43"/>
      <c r="N387" s="43"/>
      <c r="O387" s="43"/>
    </row>
    <row r="388">
      <c r="G388" s="43"/>
      <c r="H388" s="64"/>
      <c r="I388" s="64"/>
      <c r="J388" s="64"/>
      <c r="K388" s="43"/>
      <c r="L388" s="43"/>
      <c r="M388" s="43"/>
      <c r="N388" s="43"/>
      <c r="O388" s="43"/>
    </row>
    <row r="389">
      <c r="G389" s="43"/>
      <c r="H389" s="64"/>
      <c r="I389" s="64"/>
      <c r="J389" s="64"/>
      <c r="K389" s="43"/>
      <c r="L389" s="43"/>
      <c r="M389" s="43"/>
      <c r="N389" s="43"/>
      <c r="O389" s="43"/>
    </row>
    <row r="390">
      <c r="G390" s="43"/>
      <c r="H390" s="64"/>
      <c r="I390" s="64"/>
      <c r="J390" s="64"/>
      <c r="K390" s="43"/>
      <c r="L390" s="43"/>
      <c r="M390" s="43"/>
      <c r="N390" s="43"/>
      <c r="O390" s="43"/>
    </row>
    <row r="391">
      <c r="G391" s="43"/>
      <c r="H391" s="64"/>
      <c r="I391" s="64"/>
      <c r="J391" s="64"/>
      <c r="K391" s="43"/>
      <c r="L391" s="43"/>
      <c r="M391" s="43"/>
      <c r="N391" s="43"/>
      <c r="O391" s="43"/>
    </row>
    <row r="392">
      <c r="G392" s="43"/>
      <c r="H392" s="64"/>
      <c r="I392" s="64"/>
      <c r="J392" s="64"/>
      <c r="K392" s="43"/>
      <c r="L392" s="43"/>
      <c r="M392" s="43"/>
      <c r="N392" s="43"/>
      <c r="O392" s="43"/>
    </row>
    <row r="393">
      <c r="G393" s="43"/>
      <c r="H393" s="64"/>
      <c r="I393" s="64"/>
      <c r="J393" s="64"/>
      <c r="K393" s="43"/>
      <c r="L393" s="43"/>
      <c r="M393" s="43"/>
      <c r="N393" s="43"/>
      <c r="O393" s="43"/>
    </row>
    <row r="394">
      <c r="G394" s="43"/>
      <c r="H394" s="64"/>
      <c r="I394" s="64"/>
      <c r="J394" s="64"/>
      <c r="K394" s="43"/>
      <c r="L394" s="43"/>
      <c r="M394" s="43"/>
      <c r="N394" s="43"/>
      <c r="O394" s="43"/>
    </row>
    <row r="395">
      <c r="G395" s="43"/>
      <c r="H395" s="64"/>
      <c r="I395" s="64"/>
      <c r="J395" s="64"/>
      <c r="K395" s="43"/>
      <c r="L395" s="43"/>
      <c r="M395" s="43"/>
      <c r="N395" s="43"/>
      <c r="O395" s="43"/>
    </row>
    <row r="396">
      <c r="G396" s="43"/>
      <c r="H396" s="64"/>
      <c r="I396" s="64"/>
      <c r="J396" s="64"/>
      <c r="K396" s="43"/>
      <c r="L396" s="43"/>
      <c r="M396" s="43"/>
      <c r="N396" s="43"/>
      <c r="O396" s="43"/>
    </row>
    <row r="397">
      <c r="G397" s="43"/>
      <c r="H397" s="64"/>
      <c r="I397" s="64"/>
      <c r="J397" s="64"/>
      <c r="K397" s="43"/>
      <c r="L397" s="43"/>
      <c r="M397" s="43"/>
      <c r="N397" s="43"/>
      <c r="O397" s="43"/>
    </row>
    <row r="398">
      <c r="G398" s="43"/>
      <c r="H398" s="64"/>
      <c r="I398" s="64"/>
      <c r="J398" s="64"/>
      <c r="K398" s="43"/>
      <c r="L398" s="43"/>
      <c r="M398" s="43"/>
      <c r="N398" s="43"/>
      <c r="O398" s="43"/>
    </row>
    <row r="399">
      <c r="G399" s="43"/>
      <c r="H399" s="64"/>
      <c r="I399" s="64"/>
      <c r="J399" s="64"/>
      <c r="K399" s="43"/>
      <c r="L399" s="43"/>
      <c r="M399" s="43"/>
      <c r="N399" s="43"/>
      <c r="O399" s="43"/>
    </row>
    <row r="400">
      <c r="G400" s="43"/>
      <c r="H400" s="64"/>
      <c r="I400" s="64"/>
      <c r="J400" s="64"/>
      <c r="K400" s="43"/>
      <c r="L400" s="43"/>
      <c r="M400" s="43"/>
      <c r="N400" s="43"/>
      <c r="O400" s="43"/>
    </row>
    <row r="401">
      <c r="G401" s="43"/>
      <c r="H401" s="64"/>
      <c r="I401" s="64"/>
      <c r="J401" s="64"/>
      <c r="K401" s="43"/>
      <c r="L401" s="43"/>
      <c r="M401" s="43"/>
      <c r="N401" s="43"/>
      <c r="O401" s="43"/>
    </row>
    <row r="402">
      <c r="G402" s="43"/>
      <c r="H402" s="64"/>
      <c r="I402" s="64"/>
      <c r="J402" s="64"/>
      <c r="K402" s="43"/>
      <c r="L402" s="43"/>
      <c r="M402" s="43"/>
      <c r="N402" s="43"/>
      <c r="O402" s="43"/>
    </row>
    <row r="403">
      <c r="G403" s="43"/>
      <c r="H403" s="64"/>
      <c r="I403" s="64"/>
      <c r="J403" s="64"/>
      <c r="K403" s="43"/>
      <c r="L403" s="43"/>
      <c r="M403" s="43"/>
      <c r="N403" s="43"/>
      <c r="O403" s="43"/>
    </row>
    <row r="404">
      <c r="G404" s="43"/>
      <c r="H404" s="64"/>
      <c r="I404" s="64"/>
      <c r="J404" s="64"/>
      <c r="K404" s="43"/>
      <c r="L404" s="43"/>
      <c r="M404" s="43"/>
      <c r="N404" s="43"/>
      <c r="O404" s="43"/>
    </row>
    <row r="405">
      <c r="G405" s="43"/>
      <c r="H405" s="64"/>
      <c r="I405" s="64"/>
      <c r="J405" s="64"/>
      <c r="K405" s="43"/>
      <c r="L405" s="43"/>
      <c r="M405" s="43"/>
      <c r="N405" s="43"/>
      <c r="O405" s="43"/>
    </row>
    <row r="406">
      <c r="G406" s="43"/>
      <c r="H406" s="64"/>
      <c r="I406" s="64"/>
      <c r="J406" s="64"/>
      <c r="K406" s="43"/>
      <c r="L406" s="43"/>
      <c r="M406" s="43"/>
      <c r="N406" s="43"/>
      <c r="O406" s="43"/>
    </row>
    <row r="407">
      <c r="G407" s="43"/>
      <c r="H407" s="64"/>
      <c r="I407" s="64"/>
      <c r="J407" s="64"/>
      <c r="K407" s="43"/>
      <c r="L407" s="43"/>
      <c r="M407" s="43"/>
      <c r="N407" s="43"/>
      <c r="O407" s="43"/>
    </row>
    <row r="408">
      <c r="G408" s="43"/>
      <c r="H408" s="64"/>
      <c r="I408" s="64"/>
      <c r="J408" s="64"/>
      <c r="K408" s="43"/>
      <c r="L408" s="43"/>
      <c r="M408" s="43"/>
      <c r="N408" s="43"/>
      <c r="O408" s="43"/>
    </row>
    <row r="409">
      <c r="G409" s="43"/>
      <c r="H409" s="64"/>
      <c r="I409" s="64"/>
      <c r="J409" s="64"/>
      <c r="K409" s="43"/>
      <c r="L409" s="43"/>
      <c r="M409" s="43"/>
      <c r="N409" s="43"/>
      <c r="O409" s="43"/>
    </row>
    <row r="410">
      <c r="G410" s="43"/>
      <c r="H410" s="64"/>
      <c r="I410" s="64"/>
      <c r="J410" s="64"/>
      <c r="K410" s="43"/>
      <c r="L410" s="43"/>
      <c r="M410" s="43"/>
      <c r="N410" s="43"/>
      <c r="O410" s="43"/>
    </row>
    <row r="411">
      <c r="G411" s="43"/>
      <c r="H411" s="64"/>
      <c r="I411" s="64"/>
      <c r="J411" s="64"/>
      <c r="K411" s="43"/>
      <c r="L411" s="43"/>
      <c r="M411" s="43"/>
      <c r="N411" s="43"/>
      <c r="O411" s="43"/>
    </row>
    <row r="412">
      <c r="G412" s="43"/>
      <c r="H412" s="64"/>
      <c r="I412" s="64"/>
      <c r="J412" s="64"/>
      <c r="K412" s="43"/>
      <c r="L412" s="43"/>
      <c r="M412" s="43"/>
      <c r="N412" s="43"/>
      <c r="O412" s="43"/>
    </row>
    <row r="413">
      <c r="G413" s="43"/>
      <c r="H413" s="64"/>
      <c r="I413" s="64"/>
      <c r="J413" s="64"/>
      <c r="K413" s="43"/>
      <c r="L413" s="43"/>
      <c r="M413" s="43"/>
      <c r="N413" s="43"/>
      <c r="O413" s="43"/>
    </row>
    <row r="414">
      <c r="G414" s="43"/>
      <c r="H414" s="64"/>
      <c r="I414" s="64"/>
      <c r="J414" s="64"/>
      <c r="K414" s="43"/>
      <c r="L414" s="43"/>
      <c r="M414" s="43"/>
      <c r="N414" s="43"/>
      <c r="O414" s="43"/>
    </row>
    <row r="415">
      <c r="G415" s="43"/>
      <c r="H415" s="64"/>
      <c r="I415" s="64"/>
      <c r="J415" s="64"/>
      <c r="K415" s="43"/>
      <c r="L415" s="43"/>
      <c r="M415" s="43"/>
      <c r="N415" s="43"/>
      <c r="O415" s="43"/>
    </row>
    <row r="416">
      <c r="G416" s="43"/>
      <c r="H416" s="64"/>
      <c r="I416" s="64"/>
      <c r="J416" s="64"/>
      <c r="K416" s="43"/>
      <c r="L416" s="43"/>
      <c r="M416" s="43"/>
      <c r="N416" s="43"/>
      <c r="O416" s="43"/>
    </row>
    <row r="417">
      <c r="G417" s="43"/>
      <c r="H417" s="64"/>
      <c r="I417" s="64"/>
      <c r="J417" s="64"/>
      <c r="K417" s="43"/>
      <c r="L417" s="43"/>
      <c r="M417" s="43"/>
      <c r="N417" s="43"/>
      <c r="O417" s="43"/>
    </row>
    <row r="418">
      <c r="G418" s="43"/>
      <c r="H418" s="64"/>
      <c r="I418" s="64"/>
      <c r="J418" s="64"/>
      <c r="K418" s="43"/>
      <c r="L418" s="43"/>
      <c r="M418" s="43"/>
      <c r="N418" s="43"/>
      <c r="O418" s="43"/>
    </row>
    <row r="419">
      <c r="G419" s="43"/>
      <c r="H419" s="64"/>
      <c r="I419" s="64"/>
      <c r="J419" s="64"/>
      <c r="K419" s="43"/>
      <c r="L419" s="43"/>
      <c r="M419" s="43"/>
      <c r="N419" s="43"/>
      <c r="O419" s="43"/>
    </row>
    <row r="420">
      <c r="G420" s="43"/>
      <c r="H420" s="64"/>
      <c r="I420" s="64"/>
      <c r="J420" s="64"/>
      <c r="K420" s="43"/>
      <c r="L420" s="43"/>
      <c r="M420" s="43"/>
      <c r="N420" s="43"/>
      <c r="O420" s="43"/>
    </row>
    <row r="421">
      <c r="G421" s="43"/>
      <c r="H421" s="64"/>
      <c r="I421" s="64"/>
      <c r="J421" s="64"/>
      <c r="K421" s="43"/>
      <c r="L421" s="43"/>
      <c r="M421" s="43"/>
      <c r="N421" s="43"/>
      <c r="O421" s="43"/>
    </row>
    <row r="422">
      <c r="G422" s="43"/>
      <c r="H422" s="64"/>
      <c r="I422" s="64"/>
      <c r="J422" s="64"/>
      <c r="K422" s="43"/>
      <c r="L422" s="43"/>
      <c r="M422" s="43"/>
      <c r="N422" s="43"/>
      <c r="O422" s="43"/>
    </row>
    <row r="423">
      <c r="G423" s="43"/>
      <c r="H423" s="64"/>
      <c r="I423" s="64"/>
      <c r="J423" s="64"/>
      <c r="K423" s="43"/>
      <c r="L423" s="43"/>
      <c r="M423" s="43"/>
      <c r="N423" s="43"/>
      <c r="O423" s="43"/>
    </row>
    <row r="424">
      <c r="G424" s="43"/>
      <c r="H424" s="64"/>
      <c r="I424" s="64"/>
      <c r="J424" s="64"/>
      <c r="K424" s="43"/>
      <c r="L424" s="43"/>
      <c r="M424" s="43"/>
      <c r="N424" s="43"/>
      <c r="O424" s="43"/>
    </row>
    <row r="425">
      <c r="G425" s="43"/>
      <c r="H425" s="64"/>
      <c r="I425" s="64"/>
      <c r="J425" s="64"/>
      <c r="K425" s="43"/>
      <c r="L425" s="43"/>
      <c r="M425" s="43"/>
      <c r="N425" s="43"/>
      <c r="O425" s="43"/>
    </row>
    <row r="426">
      <c r="G426" s="43"/>
      <c r="H426" s="64"/>
      <c r="I426" s="64"/>
      <c r="J426" s="64"/>
      <c r="K426" s="43"/>
      <c r="L426" s="43"/>
      <c r="M426" s="43"/>
      <c r="N426" s="43"/>
      <c r="O426" s="43"/>
    </row>
    <row r="427">
      <c r="G427" s="43"/>
      <c r="H427" s="64"/>
      <c r="I427" s="64"/>
      <c r="J427" s="64"/>
      <c r="K427" s="43"/>
      <c r="L427" s="43"/>
      <c r="M427" s="43"/>
      <c r="N427" s="43"/>
      <c r="O427" s="43"/>
    </row>
    <row r="428">
      <c r="G428" s="43"/>
      <c r="H428" s="64"/>
      <c r="I428" s="64"/>
      <c r="J428" s="64"/>
      <c r="K428" s="43"/>
      <c r="L428" s="43"/>
      <c r="M428" s="43"/>
      <c r="N428" s="43"/>
      <c r="O428" s="43"/>
    </row>
    <row r="429">
      <c r="G429" s="43"/>
      <c r="H429" s="64"/>
      <c r="I429" s="64"/>
      <c r="J429" s="64"/>
      <c r="K429" s="43"/>
      <c r="L429" s="43"/>
      <c r="M429" s="43"/>
      <c r="N429" s="43"/>
      <c r="O429" s="43"/>
    </row>
    <row r="430">
      <c r="G430" s="43"/>
      <c r="H430" s="64"/>
      <c r="I430" s="64"/>
      <c r="J430" s="64"/>
      <c r="K430" s="43"/>
      <c r="L430" s="43"/>
      <c r="M430" s="43"/>
      <c r="N430" s="43"/>
      <c r="O430" s="43"/>
    </row>
    <row r="431">
      <c r="G431" s="43"/>
      <c r="H431" s="64"/>
      <c r="I431" s="64"/>
      <c r="J431" s="64"/>
      <c r="K431" s="43"/>
      <c r="L431" s="43"/>
      <c r="M431" s="43"/>
      <c r="N431" s="43"/>
      <c r="O431" s="43"/>
    </row>
    <row r="432">
      <c r="G432" s="43"/>
      <c r="H432" s="64"/>
      <c r="I432" s="64"/>
      <c r="J432" s="64"/>
      <c r="K432" s="43"/>
      <c r="L432" s="43"/>
      <c r="M432" s="43"/>
      <c r="N432" s="43"/>
      <c r="O432" s="43"/>
    </row>
    <row r="433">
      <c r="G433" s="43"/>
      <c r="H433" s="64"/>
      <c r="I433" s="64"/>
      <c r="J433" s="64"/>
      <c r="K433" s="43"/>
      <c r="L433" s="43"/>
      <c r="M433" s="43"/>
      <c r="N433" s="43"/>
      <c r="O433" s="43"/>
    </row>
    <row r="434">
      <c r="G434" s="43"/>
      <c r="H434" s="64"/>
      <c r="I434" s="64"/>
      <c r="J434" s="64"/>
      <c r="K434" s="43"/>
      <c r="L434" s="43"/>
      <c r="M434" s="43"/>
      <c r="N434" s="43"/>
      <c r="O434" s="43"/>
    </row>
    <row r="435">
      <c r="G435" s="43"/>
      <c r="H435" s="64"/>
      <c r="I435" s="64"/>
      <c r="J435" s="64"/>
      <c r="K435" s="43"/>
      <c r="L435" s="43"/>
      <c r="M435" s="43"/>
      <c r="N435" s="43"/>
      <c r="O435" s="43"/>
    </row>
    <row r="436">
      <c r="G436" s="43"/>
      <c r="H436" s="64"/>
      <c r="I436" s="64"/>
      <c r="J436" s="64"/>
      <c r="K436" s="43"/>
      <c r="L436" s="43"/>
      <c r="M436" s="43"/>
      <c r="N436" s="43"/>
      <c r="O436" s="43"/>
    </row>
    <row r="437">
      <c r="G437" s="43"/>
      <c r="H437" s="64"/>
      <c r="I437" s="64"/>
      <c r="J437" s="64"/>
      <c r="K437" s="43"/>
      <c r="L437" s="43"/>
      <c r="M437" s="43"/>
      <c r="N437" s="43"/>
      <c r="O437" s="43"/>
    </row>
    <row r="438">
      <c r="G438" s="43"/>
      <c r="H438" s="64"/>
      <c r="I438" s="64"/>
      <c r="J438" s="64"/>
      <c r="K438" s="43"/>
      <c r="L438" s="43"/>
      <c r="M438" s="43"/>
      <c r="N438" s="43"/>
      <c r="O438" s="43"/>
    </row>
    <row r="439">
      <c r="G439" s="43"/>
      <c r="H439" s="64"/>
      <c r="I439" s="64"/>
      <c r="J439" s="64"/>
      <c r="K439" s="43"/>
      <c r="L439" s="43"/>
      <c r="M439" s="43"/>
      <c r="N439" s="43"/>
      <c r="O439" s="43"/>
    </row>
    <row r="440">
      <c r="G440" s="43"/>
      <c r="H440" s="64"/>
      <c r="I440" s="64"/>
      <c r="J440" s="64"/>
      <c r="K440" s="43"/>
      <c r="L440" s="43"/>
      <c r="M440" s="43"/>
      <c r="N440" s="43"/>
      <c r="O440" s="43"/>
    </row>
    <row r="441">
      <c r="G441" s="43"/>
      <c r="H441" s="64"/>
      <c r="I441" s="64"/>
      <c r="J441" s="64"/>
      <c r="K441" s="43"/>
      <c r="L441" s="43"/>
      <c r="M441" s="43"/>
      <c r="N441" s="43"/>
      <c r="O441" s="43"/>
    </row>
    <row r="442">
      <c r="G442" s="43"/>
      <c r="H442" s="64"/>
      <c r="I442" s="64"/>
      <c r="J442" s="64"/>
      <c r="K442" s="43"/>
      <c r="L442" s="43"/>
      <c r="M442" s="43"/>
      <c r="N442" s="43"/>
      <c r="O442" s="43"/>
    </row>
    <row r="443">
      <c r="G443" s="43"/>
      <c r="H443" s="64"/>
      <c r="I443" s="64"/>
      <c r="J443" s="64"/>
      <c r="K443" s="43"/>
      <c r="L443" s="43"/>
      <c r="M443" s="43"/>
      <c r="N443" s="43"/>
      <c r="O443" s="43"/>
    </row>
    <row r="444">
      <c r="G444" s="43"/>
      <c r="H444" s="64"/>
      <c r="I444" s="64"/>
      <c r="J444" s="64"/>
      <c r="K444" s="43"/>
      <c r="L444" s="43"/>
      <c r="M444" s="43"/>
      <c r="N444" s="43"/>
      <c r="O444" s="43"/>
    </row>
    <row r="445">
      <c r="G445" s="43"/>
      <c r="H445" s="64"/>
      <c r="I445" s="64"/>
      <c r="J445" s="64"/>
      <c r="K445" s="43"/>
      <c r="L445" s="43"/>
      <c r="M445" s="43"/>
      <c r="N445" s="43"/>
      <c r="O445" s="43"/>
    </row>
    <row r="446">
      <c r="G446" s="43"/>
      <c r="H446" s="64"/>
      <c r="I446" s="64"/>
      <c r="J446" s="64"/>
      <c r="K446" s="43"/>
      <c r="L446" s="43"/>
      <c r="M446" s="43"/>
      <c r="N446" s="43"/>
      <c r="O446" s="43"/>
    </row>
    <row r="447">
      <c r="G447" s="43"/>
      <c r="H447" s="64"/>
      <c r="I447" s="64"/>
      <c r="J447" s="64"/>
      <c r="K447" s="43"/>
      <c r="L447" s="43"/>
      <c r="M447" s="43"/>
      <c r="N447" s="43"/>
      <c r="O447" s="43"/>
    </row>
    <row r="448">
      <c r="G448" s="43"/>
      <c r="H448" s="64"/>
      <c r="I448" s="64"/>
      <c r="J448" s="64"/>
      <c r="K448" s="43"/>
      <c r="L448" s="43"/>
      <c r="M448" s="43"/>
      <c r="N448" s="43"/>
      <c r="O448" s="43"/>
    </row>
    <row r="449">
      <c r="G449" s="43"/>
      <c r="H449" s="64"/>
      <c r="I449" s="64"/>
      <c r="J449" s="64"/>
      <c r="K449" s="43"/>
      <c r="L449" s="43"/>
      <c r="M449" s="43"/>
      <c r="N449" s="43"/>
      <c r="O449" s="43"/>
    </row>
    <row r="450">
      <c r="G450" s="43"/>
      <c r="H450" s="64"/>
      <c r="I450" s="64"/>
      <c r="J450" s="64"/>
      <c r="K450" s="43"/>
      <c r="L450" s="43"/>
      <c r="M450" s="43"/>
      <c r="N450" s="43"/>
      <c r="O450" s="43"/>
    </row>
    <row r="451">
      <c r="G451" s="43"/>
      <c r="H451" s="64"/>
      <c r="I451" s="64"/>
      <c r="J451" s="64"/>
      <c r="K451" s="43"/>
      <c r="L451" s="43"/>
      <c r="M451" s="43"/>
      <c r="N451" s="43"/>
      <c r="O451" s="43"/>
    </row>
    <row r="452">
      <c r="G452" s="43"/>
      <c r="H452" s="64"/>
      <c r="I452" s="64"/>
      <c r="J452" s="64"/>
      <c r="K452" s="43"/>
      <c r="L452" s="43"/>
      <c r="M452" s="43"/>
      <c r="N452" s="43"/>
      <c r="O452" s="43"/>
    </row>
    <row r="453">
      <c r="G453" s="43"/>
      <c r="H453" s="64"/>
      <c r="I453" s="64"/>
      <c r="J453" s="64"/>
      <c r="K453" s="43"/>
      <c r="L453" s="43"/>
      <c r="M453" s="43"/>
      <c r="N453" s="43"/>
      <c r="O453" s="43"/>
    </row>
    <row r="454">
      <c r="G454" s="43"/>
      <c r="H454" s="64"/>
      <c r="I454" s="64"/>
      <c r="J454" s="64"/>
      <c r="K454" s="43"/>
      <c r="L454" s="43"/>
      <c r="M454" s="43"/>
      <c r="N454" s="43"/>
      <c r="O454" s="43"/>
    </row>
    <row r="455">
      <c r="G455" s="43"/>
      <c r="H455" s="64"/>
      <c r="I455" s="64"/>
      <c r="J455" s="64"/>
      <c r="K455" s="43"/>
      <c r="L455" s="43"/>
      <c r="M455" s="43"/>
      <c r="N455" s="43"/>
      <c r="O455" s="43"/>
    </row>
    <row r="456">
      <c r="G456" s="43"/>
      <c r="H456" s="64"/>
      <c r="I456" s="64"/>
      <c r="J456" s="64"/>
      <c r="K456" s="43"/>
      <c r="L456" s="43"/>
      <c r="M456" s="43"/>
      <c r="N456" s="43"/>
      <c r="O456" s="43"/>
    </row>
    <row r="457">
      <c r="G457" s="43"/>
      <c r="H457" s="64"/>
      <c r="I457" s="64"/>
      <c r="J457" s="64"/>
      <c r="K457" s="43"/>
      <c r="L457" s="43"/>
      <c r="M457" s="43"/>
      <c r="N457" s="43"/>
      <c r="O457" s="43"/>
    </row>
    <row r="458">
      <c r="G458" s="43"/>
      <c r="H458" s="64"/>
      <c r="I458" s="64"/>
      <c r="J458" s="64"/>
      <c r="K458" s="43"/>
      <c r="L458" s="43"/>
      <c r="M458" s="43"/>
      <c r="N458" s="43"/>
      <c r="O458" s="43"/>
    </row>
    <row r="459">
      <c r="G459" s="43"/>
      <c r="H459" s="64"/>
      <c r="I459" s="64"/>
      <c r="J459" s="64"/>
      <c r="K459" s="43"/>
      <c r="L459" s="43"/>
      <c r="M459" s="43"/>
      <c r="N459" s="43"/>
      <c r="O459" s="43"/>
    </row>
    <row r="460">
      <c r="G460" s="43"/>
      <c r="H460" s="64"/>
      <c r="I460" s="64"/>
      <c r="J460" s="64"/>
      <c r="K460" s="43"/>
      <c r="L460" s="43"/>
      <c r="M460" s="43"/>
      <c r="N460" s="43"/>
      <c r="O460" s="43"/>
    </row>
    <row r="461">
      <c r="G461" s="43"/>
      <c r="H461" s="64"/>
      <c r="I461" s="64"/>
      <c r="J461" s="64"/>
      <c r="K461" s="43"/>
      <c r="L461" s="43"/>
      <c r="M461" s="43"/>
      <c r="N461" s="43"/>
      <c r="O461" s="43"/>
    </row>
    <row r="462">
      <c r="G462" s="43"/>
      <c r="H462" s="64"/>
      <c r="I462" s="64"/>
      <c r="J462" s="64"/>
      <c r="K462" s="43"/>
      <c r="L462" s="43"/>
      <c r="M462" s="43"/>
      <c r="N462" s="43"/>
      <c r="O462" s="43"/>
    </row>
    <row r="463">
      <c r="G463" s="43"/>
      <c r="H463" s="64"/>
      <c r="I463" s="64"/>
      <c r="J463" s="64"/>
      <c r="K463" s="43"/>
      <c r="L463" s="43"/>
      <c r="M463" s="43"/>
      <c r="N463" s="43"/>
      <c r="O463" s="43"/>
    </row>
    <row r="464">
      <c r="G464" s="43"/>
      <c r="H464" s="64"/>
      <c r="I464" s="64"/>
      <c r="J464" s="64"/>
      <c r="K464" s="43"/>
      <c r="L464" s="43"/>
      <c r="M464" s="43"/>
      <c r="N464" s="43"/>
      <c r="O464" s="43"/>
    </row>
    <row r="465">
      <c r="G465" s="43"/>
      <c r="H465" s="64"/>
      <c r="I465" s="64"/>
      <c r="J465" s="64"/>
      <c r="K465" s="43"/>
      <c r="L465" s="43"/>
      <c r="M465" s="43"/>
      <c r="N465" s="43"/>
      <c r="O465" s="43"/>
    </row>
    <row r="466">
      <c r="G466" s="43"/>
      <c r="H466" s="64"/>
      <c r="I466" s="64"/>
      <c r="J466" s="64"/>
      <c r="K466" s="43"/>
      <c r="L466" s="43"/>
      <c r="M466" s="43"/>
      <c r="N466" s="43"/>
      <c r="O466" s="43"/>
    </row>
    <row r="467">
      <c r="G467" s="43"/>
      <c r="H467" s="64"/>
      <c r="I467" s="64"/>
      <c r="J467" s="64"/>
      <c r="K467" s="43"/>
      <c r="L467" s="43"/>
      <c r="M467" s="43"/>
      <c r="N467" s="43"/>
      <c r="O467" s="43"/>
    </row>
    <row r="468">
      <c r="G468" s="43"/>
      <c r="H468" s="64"/>
      <c r="I468" s="64"/>
      <c r="J468" s="64"/>
      <c r="K468" s="43"/>
      <c r="L468" s="43"/>
      <c r="M468" s="43"/>
      <c r="N468" s="43"/>
      <c r="O468" s="43"/>
    </row>
    <row r="469">
      <c r="G469" s="43"/>
      <c r="H469" s="64"/>
      <c r="I469" s="64"/>
      <c r="J469" s="64"/>
      <c r="K469" s="43"/>
      <c r="L469" s="43"/>
      <c r="M469" s="43"/>
      <c r="N469" s="43"/>
      <c r="O469" s="43"/>
    </row>
    <row r="470">
      <c r="G470" s="43"/>
      <c r="H470" s="64"/>
      <c r="I470" s="64"/>
      <c r="J470" s="64"/>
      <c r="K470" s="43"/>
      <c r="L470" s="43"/>
      <c r="M470" s="43"/>
      <c r="N470" s="43"/>
      <c r="O470" s="43"/>
    </row>
    <row r="471">
      <c r="G471" s="43"/>
      <c r="H471" s="64"/>
      <c r="I471" s="64"/>
      <c r="J471" s="64"/>
      <c r="K471" s="43"/>
      <c r="L471" s="43"/>
      <c r="M471" s="43"/>
      <c r="N471" s="43"/>
      <c r="O471" s="43"/>
    </row>
    <row r="472">
      <c r="G472" s="43"/>
      <c r="H472" s="64"/>
      <c r="I472" s="64"/>
      <c r="J472" s="64"/>
      <c r="K472" s="43"/>
      <c r="L472" s="43"/>
      <c r="M472" s="43"/>
      <c r="N472" s="43"/>
      <c r="O472" s="43"/>
    </row>
    <row r="473">
      <c r="G473" s="43"/>
      <c r="H473" s="64"/>
      <c r="I473" s="64"/>
      <c r="J473" s="64"/>
      <c r="K473" s="43"/>
      <c r="L473" s="43"/>
      <c r="M473" s="43"/>
      <c r="N473" s="43"/>
      <c r="O473" s="43"/>
    </row>
    <row r="474">
      <c r="G474" s="43"/>
      <c r="H474" s="64"/>
      <c r="I474" s="64"/>
      <c r="J474" s="64"/>
      <c r="K474" s="43"/>
      <c r="L474" s="43"/>
      <c r="M474" s="43"/>
      <c r="N474" s="43"/>
      <c r="O474" s="43"/>
    </row>
    <row r="475">
      <c r="G475" s="43"/>
      <c r="H475" s="64"/>
      <c r="I475" s="64"/>
      <c r="J475" s="64"/>
      <c r="K475" s="43"/>
      <c r="L475" s="43"/>
      <c r="M475" s="43"/>
      <c r="N475" s="43"/>
      <c r="O475" s="43"/>
    </row>
    <row r="476">
      <c r="G476" s="43"/>
      <c r="H476" s="64"/>
      <c r="I476" s="64"/>
      <c r="J476" s="64"/>
      <c r="K476" s="43"/>
      <c r="L476" s="43"/>
      <c r="M476" s="43"/>
      <c r="N476" s="43"/>
      <c r="O476" s="43"/>
    </row>
    <row r="477">
      <c r="G477" s="43"/>
      <c r="H477" s="64"/>
      <c r="I477" s="64"/>
      <c r="J477" s="64"/>
      <c r="K477" s="43"/>
      <c r="L477" s="43"/>
      <c r="M477" s="43"/>
      <c r="N477" s="43"/>
      <c r="O477" s="43"/>
    </row>
    <row r="478">
      <c r="G478" s="43"/>
      <c r="H478" s="64"/>
      <c r="I478" s="64"/>
      <c r="J478" s="64"/>
      <c r="K478" s="43"/>
      <c r="L478" s="43"/>
      <c r="M478" s="43"/>
      <c r="N478" s="43"/>
      <c r="O478" s="43"/>
    </row>
    <row r="479">
      <c r="G479" s="43"/>
      <c r="H479" s="64"/>
      <c r="I479" s="64"/>
      <c r="J479" s="64"/>
      <c r="K479" s="43"/>
      <c r="L479" s="43"/>
      <c r="M479" s="43"/>
      <c r="N479" s="43"/>
      <c r="O479" s="43"/>
    </row>
    <row r="480">
      <c r="G480" s="43"/>
      <c r="H480" s="64"/>
      <c r="I480" s="64"/>
      <c r="J480" s="64"/>
      <c r="K480" s="43"/>
      <c r="L480" s="43"/>
      <c r="M480" s="43"/>
      <c r="N480" s="43"/>
      <c r="O480" s="43"/>
    </row>
    <row r="481">
      <c r="G481" s="43"/>
      <c r="H481" s="64"/>
      <c r="I481" s="64"/>
      <c r="J481" s="64"/>
      <c r="K481" s="43"/>
      <c r="L481" s="43"/>
      <c r="M481" s="43"/>
      <c r="N481" s="43"/>
      <c r="O481" s="43"/>
    </row>
    <row r="482">
      <c r="G482" s="43"/>
      <c r="H482" s="64"/>
      <c r="I482" s="64"/>
      <c r="J482" s="64"/>
      <c r="K482" s="43"/>
      <c r="L482" s="43"/>
      <c r="M482" s="43"/>
      <c r="N482" s="43"/>
      <c r="O482" s="43"/>
    </row>
    <row r="483">
      <c r="G483" s="43"/>
      <c r="H483" s="64"/>
      <c r="I483" s="64"/>
      <c r="J483" s="64"/>
      <c r="K483" s="43"/>
      <c r="L483" s="43"/>
      <c r="M483" s="43"/>
      <c r="N483" s="43"/>
      <c r="O483" s="43"/>
    </row>
    <row r="484">
      <c r="G484" s="43"/>
      <c r="H484" s="64"/>
      <c r="I484" s="64"/>
      <c r="J484" s="64"/>
      <c r="K484" s="43"/>
      <c r="L484" s="43"/>
      <c r="M484" s="43"/>
      <c r="N484" s="43"/>
      <c r="O484" s="43"/>
    </row>
    <row r="485">
      <c r="G485" s="43"/>
      <c r="H485" s="64"/>
      <c r="I485" s="64"/>
      <c r="J485" s="64"/>
      <c r="K485" s="43"/>
      <c r="L485" s="43"/>
      <c r="M485" s="43"/>
      <c r="N485" s="43"/>
      <c r="O485" s="43"/>
    </row>
    <row r="486">
      <c r="G486" s="43"/>
      <c r="H486" s="64"/>
      <c r="I486" s="64"/>
      <c r="J486" s="64"/>
      <c r="K486" s="43"/>
      <c r="L486" s="43"/>
      <c r="M486" s="43"/>
      <c r="N486" s="43"/>
      <c r="O486" s="43"/>
    </row>
    <row r="487">
      <c r="G487" s="43"/>
      <c r="H487" s="64"/>
      <c r="I487" s="64"/>
      <c r="J487" s="64"/>
      <c r="K487" s="43"/>
      <c r="L487" s="43"/>
      <c r="M487" s="43"/>
      <c r="N487" s="43"/>
      <c r="O487" s="43"/>
    </row>
    <row r="488">
      <c r="G488" s="43"/>
      <c r="H488" s="64"/>
      <c r="I488" s="64"/>
      <c r="J488" s="64"/>
      <c r="K488" s="43"/>
      <c r="L488" s="43"/>
      <c r="M488" s="43"/>
      <c r="N488" s="43"/>
      <c r="O488" s="43"/>
    </row>
    <row r="489">
      <c r="G489" s="43"/>
      <c r="H489" s="64"/>
      <c r="I489" s="64"/>
      <c r="J489" s="64"/>
      <c r="K489" s="43"/>
      <c r="L489" s="43"/>
      <c r="M489" s="43"/>
      <c r="N489" s="43"/>
      <c r="O489" s="43"/>
    </row>
    <row r="490">
      <c r="G490" s="43"/>
      <c r="H490" s="64"/>
      <c r="I490" s="64"/>
      <c r="J490" s="64"/>
      <c r="K490" s="43"/>
      <c r="L490" s="43"/>
      <c r="M490" s="43"/>
      <c r="N490" s="43"/>
      <c r="O490" s="43"/>
    </row>
    <row r="491">
      <c r="G491" s="43"/>
      <c r="H491" s="64"/>
      <c r="I491" s="64"/>
      <c r="J491" s="64"/>
      <c r="K491" s="43"/>
      <c r="L491" s="43"/>
      <c r="M491" s="43"/>
      <c r="N491" s="43"/>
      <c r="O491" s="43"/>
    </row>
    <row r="492">
      <c r="G492" s="43"/>
      <c r="H492" s="64"/>
      <c r="I492" s="64"/>
      <c r="J492" s="64"/>
      <c r="K492" s="43"/>
      <c r="L492" s="43"/>
      <c r="M492" s="43"/>
      <c r="N492" s="43"/>
      <c r="O492" s="43"/>
    </row>
    <row r="493">
      <c r="G493" s="43"/>
      <c r="H493" s="64"/>
      <c r="I493" s="64"/>
      <c r="J493" s="64"/>
      <c r="K493" s="43"/>
      <c r="L493" s="43"/>
      <c r="M493" s="43"/>
      <c r="N493" s="43"/>
      <c r="O493" s="43"/>
    </row>
    <row r="494">
      <c r="G494" s="43"/>
      <c r="H494" s="64"/>
      <c r="I494" s="64"/>
      <c r="J494" s="64"/>
      <c r="K494" s="43"/>
      <c r="L494" s="43"/>
      <c r="M494" s="43"/>
      <c r="N494" s="43"/>
      <c r="O494" s="43"/>
    </row>
    <row r="495">
      <c r="G495" s="43"/>
      <c r="H495" s="64"/>
      <c r="I495" s="64"/>
      <c r="J495" s="64"/>
      <c r="K495" s="43"/>
      <c r="L495" s="43"/>
      <c r="M495" s="43"/>
      <c r="N495" s="43"/>
      <c r="O495" s="43"/>
    </row>
    <row r="496">
      <c r="G496" s="43"/>
      <c r="H496" s="64"/>
      <c r="I496" s="64"/>
      <c r="J496" s="64"/>
      <c r="K496" s="43"/>
      <c r="L496" s="43"/>
      <c r="M496" s="43"/>
      <c r="N496" s="43"/>
      <c r="O496" s="43"/>
    </row>
    <row r="497">
      <c r="G497" s="43"/>
      <c r="H497" s="64"/>
      <c r="I497" s="64"/>
      <c r="J497" s="64"/>
      <c r="K497" s="43"/>
      <c r="L497" s="43"/>
      <c r="M497" s="43"/>
      <c r="N497" s="43"/>
      <c r="O497" s="43"/>
    </row>
    <row r="498">
      <c r="G498" s="43"/>
      <c r="H498" s="64"/>
      <c r="I498" s="64"/>
      <c r="J498" s="64"/>
      <c r="K498" s="43"/>
      <c r="L498" s="43"/>
      <c r="M498" s="43"/>
      <c r="N498" s="43"/>
      <c r="O498" s="43"/>
    </row>
    <row r="499">
      <c r="G499" s="43"/>
      <c r="H499" s="64"/>
      <c r="I499" s="64"/>
      <c r="J499" s="64"/>
      <c r="K499" s="43"/>
      <c r="L499" s="43"/>
      <c r="M499" s="43"/>
      <c r="N499" s="43"/>
      <c r="O499" s="43"/>
    </row>
    <row r="500">
      <c r="G500" s="43"/>
      <c r="H500" s="64"/>
      <c r="I500" s="64"/>
      <c r="J500" s="64"/>
      <c r="K500" s="43"/>
      <c r="L500" s="43"/>
      <c r="M500" s="43"/>
      <c r="N500" s="43"/>
      <c r="O500" s="43"/>
    </row>
    <row r="501">
      <c r="G501" s="43"/>
      <c r="H501" s="64"/>
      <c r="I501" s="64"/>
      <c r="J501" s="64"/>
      <c r="K501" s="43"/>
      <c r="L501" s="43"/>
      <c r="M501" s="43"/>
      <c r="N501" s="43"/>
      <c r="O501" s="43"/>
    </row>
    <row r="502">
      <c r="G502" s="43"/>
      <c r="H502" s="64"/>
      <c r="I502" s="64"/>
      <c r="J502" s="64"/>
      <c r="K502" s="43"/>
      <c r="L502" s="43"/>
      <c r="M502" s="43"/>
      <c r="N502" s="43"/>
      <c r="O502" s="43"/>
    </row>
    <row r="503">
      <c r="G503" s="43"/>
      <c r="H503" s="64"/>
      <c r="I503" s="64"/>
      <c r="J503" s="64"/>
      <c r="K503" s="43"/>
      <c r="L503" s="43"/>
      <c r="M503" s="43"/>
      <c r="N503" s="43"/>
      <c r="O503" s="43"/>
    </row>
    <row r="504">
      <c r="G504" s="43"/>
      <c r="H504" s="64"/>
      <c r="I504" s="64"/>
      <c r="J504" s="64"/>
      <c r="K504" s="43"/>
      <c r="L504" s="43"/>
      <c r="M504" s="43"/>
      <c r="N504" s="43"/>
      <c r="O504" s="43"/>
    </row>
    <row r="505">
      <c r="G505" s="43"/>
      <c r="H505" s="64"/>
      <c r="I505" s="64"/>
      <c r="J505" s="64"/>
      <c r="K505" s="43"/>
      <c r="L505" s="43"/>
      <c r="M505" s="43"/>
      <c r="N505" s="43"/>
      <c r="O505" s="43"/>
    </row>
    <row r="506">
      <c r="G506" s="43"/>
      <c r="H506" s="64"/>
      <c r="I506" s="64"/>
      <c r="J506" s="64"/>
      <c r="K506" s="43"/>
      <c r="L506" s="43"/>
      <c r="M506" s="43"/>
      <c r="N506" s="43"/>
      <c r="O506" s="43"/>
    </row>
    <row r="507">
      <c r="G507" s="43"/>
      <c r="H507" s="64"/>
      <c r="I507" s="64"/>
      <c r="J507" s="64"/>
      <c r="K507" s="43"/>
      <c r="L507" s="43"/>
      <c r="M507" s="43"/>
      <c r="N507" s="43"/>
      <c r="O507" s="43"/>
    </row>
    <row r="508">
      <c r="G508" s="43"/>
      <c r="H508" s="64"/>
      <c r="I508" s="64"/>
      <c r="J508" s="64"/>
      <c r="K508" s="43"/>
      <c r="L508" s="43"/>
      <c r="M508" s="43"/>
      <c r="N508" s="43"/>
      <c r="O508" s="43"/>
    </row>
    <row r="509">
      <c r="G509" s="43"/>
      <c r="H509" s="64"/>
      <c r="I509" s="64"/>
      <c r="J509" s="64"/>
      <c r="K509" s="43"/>
      <c r="L509" s="43"/>
      <c r="M509" s="43"/>
      <c r="N509" s="43"/>
      <c r="O509" s="43"/>
    </row>
    <row r="510">
      <c r="G510" s="43"/>
      <c r="H510" s="64"/>
      <c r="I510" s="64"/>
      <c r="J510" s="64"/>
      <c r="K510" s="43"/>
      <c r="L510" s="43"/>
      <c r="M510" s="43"/>
      <c r="N510" s="43"/>
      <c r="O510" s="43"/>
    </row>
    <row r="511">
      <c r="G511" s="43"/>
      <c r="H511" s="64"/>
      <c r="I511" s="64"/>
      <c r="J511" s="64"/>
      <c r="K511" s="43"/>
      <c r="L511" s="43"/>
      <c r="M511" s="43"/>
      <c r="N511" s="43"/>
      <c r="O511" s="43"/>
    </row>
    <row r="512">
      <c r="G512" s="43"/>
      <c r="H512" s="64"/>
      <c r="I512" s="64"/>
      <c r="J512" s="64"/>
      <c r="K512" s="43"/>
      <c r="L512" s="43"/>
      <c r="M512" s="43"/>
      <c r="N512" s="43"/>
      <c r="O512" s="43"/>
    </row>
    <row r="513">
      <c r="G513" s="43"/>
      <c r="H513" s="64"/>
      <c r="I513" s="64"/>
      <c r="J513" s="64"/>
      <c r="K513" s="43"/>
      <c r="L513" s="43"/>
      <c r="M513" s="43"/>
      <c r="N513" s="43"/>
      <c r="O513" s="43"/>
    </row>
    <row r="514">
      <c r="G514" s="43"/>
      <c r="H514" s="64"/>
      <c r="I514" s="64"/>
      <c r="J514" s="64"/>
      <c r="K514" s="43"/>
      <c r="L514" s="43"/>
      <c r="M514" s="43"/>
      <c r="N514" s="43"/>
      <c r="O514" s="43"/>
    </row>
    <row r="515">
      <c r="G515" s="43"/>
      <c r="H515" s="64"/>
      <c r="I515" s="64"/>
      <c r="J515" s="64"/>
      <c r="K515" s="43"/>
      <c r="L515" s="43"/>
      <c r="M515" s="43"/>
      <c r="N515" s="43"/>
      <c r="O515" s="43"/>
    </row>
    <row r="516">
      <c r="G516" s="43"/>
      <c r="H516" s="64"/>
      <c r="I516" s="64"/>
      <c r="J516" s="64"/>
      <c r="K516" s="43"/>
      <c r="L516" s="43"/>
      <c r="M516" s="43"/>
      <c r="N516" s="43"/>
      <c r="O516" s="43"/>
    </row>
    <row r="517">
      <c r="G517" s="43"/>
      <c r="H517" s="64"/>
      <c r="I517" s="64"/>
      <c r="J517" s="64"/>
      <c r="K517" s="43"/>
      <c r="L517" s="43"/>
      <c r="M517" s="43"/>
      <c r="N517" s="43"/>
      <c r="O517" s="43"/>
    </row>
    <row r="518">
      <c r="G518" s="43"/>
      <c r="H518" s="64"/>
      <c r="I518" s="64"/>
      <c r="J518" s="64"/>
      <c r="K518" s="43"/>
      <c r="L518" s="43"/>
      <c r="M518" s="43"/>
      <c r="N518" s="43"/>
      <c r="O518" s="43"/>
    </row>
    <row r="519">
      <c r="G519" s="43"/>
      <c r="H519" s="64"/>
      <c r="I519" s="64"/>
      <c r="J519" s="64"/>
      <c r="K519" s="43"/>
      <c r="L519" s="43"/>
      <c r="M519" s="43"/>
      <c r="N519" s="43"/>
      <c r="O519" s="43"/>
    </row>
    <row r="520">
      <c r="G520" s="43"/>
      <c r="H520" s="64"/>
      <c r="I520" s="64"/>
      <c r="J520" s="64"/>
      <c r="K520" s="43"/>
      <c r="L520" s="43"/>
      <c r="M520" s="43"/>
      <c r="N520" s="43"/>
      <c r="O520" s="43"/>
    </row>
    <row r="521">
      <c r="G521" s="43"/>
      <c r="H521" s="64"/>
      <c r="I521" s="64"/>
      <c r="J521" s="64"/>
      <c r="K521" s="43"/>
      <c r="L521" s="43"/>
      <c r="M521" s="43"/>
      <c r="N521" s="43"/>
      <c r="O521" s="43"/>
    </row>
    <row r="522">
      <c r="G522" s="43"/>
      <c r="H522" s="64"/>
      <c r="I522" s="64"/>
      <c r="J522" s="64"/>
      <c r="K522" s="43"/>
      <c r="L522" s="43"/>
      <c r="M522" s="43"/>
      <c r="N522" s="43"/>
      <c r="O522" s="43"/>
    </row>
    <row r="523">
      <c r="G523" s="43"/>
      <c r="H523" s="64"/>
      <c r="I523" s="64"/>
      <c r="J523" s="64"/>
      <c r="K523" s="43"/>
      <c r="L523" s="43"/>
      <c r="M523" s="43"/>
      <c r="N523" s="43"/>
      <c r="O523" s="43"/>
    </row>
    <row r="524">
      <c r="G524" s="43"/>
      <c r="H524" s="64"/>
      <c r="I524" s="64"/>
      <c r="J524" s="64"/>
      <c r="K524" s="43"/>
      <c r="L524" s="43"/>
      <c r="M524" s="43"/>
      <c r="N524" s="43"/>
      <c r="O524" s="43"/>
    </row>
    <row r="525">
      <c r="G525" s="43"/>
      <c r="H525" s="64"/>
      <c r="I525" s="64"/>
      <c r="J525" s="64"/>
      <c r="K525" s="43"/>
      <c r="L525" s="43"/>
      <c r="M525" s="43"/>
      <c r="N525" s="43"/>
      <c r="O525" s="43"/>
    </row>
    <row r="526">
      <c r="G526" s="43"/>
      <c r="H526" s="64"/>
      <c r="I526" s="64"/>
      <c r="J526" s="64"/>
      <c r="K526" s="43"/>
      <c r="L526" s="43"/>
      <c r="M526" s="43"/>
      <c r="N526" s="43"/>
      <c r="O526" s="43"/>
    </row>
    <row r="527">
      <c r="G527" s="43"/>
      <c r="H527" s="64"/>
      <c r="I527" s="64"/>
      <c r="J527" s="64"/>
      <c r="K527" s="43"/>
      <c r="L527" s="43"/>
      <c r="M527" s="43"/>
      <c r="N527" s="43"/>
      <c r="O527" s="43"/>
    </row>
    <row r="528">
      <c r="G528" s="43"/>
      <c r="H528" s="64"/>
      <c r="I528" s="64"/>
      <c r="J528" s="64"/>
      <c r="K528" s="43"/>
      <c r="L528" s="43"/>
      <c r="M528" s="43"/>
      <c r="N528" s="43"/>
      <c r="O528" s="43"/>
    </row>
    <row r="529">
      <c r="G529" s="43"/>
      <c r="H529" s="64"/>
      <c r="I529" s="64"/>
      <c r="J529" s="64"/>
      <c r="K529" s="43"/>
      <c r="L529" s="43"/>
      <c r="M529" s="43"/>
      <c r="N529" s="43"/>
      <c r="O529" s="43"/>
    </row>
    <row r="530">
      <c r="G530" s="43"/>
      <c r="H530" s="64"/>
      <c r="I530" s="64"/>
      <c r="J530" s="64"/>
      <c r="K530" s="43"/>
      <c r="L530" s="43"/>
      <c r="M530" s="43"/>
      <c r="N530" s="43"/>
      <c r="O530" s="43"/>
    </row>
    <row r="531">
      <c r="G531" s="43"/>
      <c r="H531" s="64"/>
      <c r="I531" s="64"/>
      <c r="J531" s="64"/>
      <c r="K531" s="43"/>
      <c r="L531" s="43"/>
      <c r="M531" s="43"/>
      <c r="N531" s="43"/>
      <c r="O531" s="43"/>
    </row>
    <row r="532">
      <c r="G532" s="43"/>
      <c r="H532" s="64"/>
      <c r="I532" s="64"/>
      <c r="J532" s="64"/>
      <c r="K532" s="43"/>
      <c r="L532" s="43"/>
      <c r="M532" s="43"/>
      <c r="N532" s="43"/>
      <c r="O532" s="43"/>
    </row>
    <row r="533">
      <c r="G533" s="43"/>
      <c r="H533" s="64"/>
      <c r="I533" s="64"/>
      <c r="J533" s="64"/>
      <c r="K533" s="43"/>
      <c r="L533" s="43"/>
      <c r="M533" s="43"/>
      <c r="N533" s="43"/>
      <c r="O533" s="43"/>
    </row>
    <row r="534">
      <c r="G534" s="43"/>
      <c r="H534" s="64"/>
      <c r="I534" s="64"/>
      <c r="J534" s="64"/>
      <c r="K534" s="43"/>
      <c r="L534" s="43"/>
      <c r="M534" s="43"/>
      <c r="N534" s="43"/>
      <c r="O534" s="43"/>
    </row>
    <row r="535">
      <c r="G535" s="43"/>
      <c r="H535" s="64"/>
      <c r="I535" s="64"/>
      <c r="J535" s="64"/>
      <c r="K535" s="43"/>
      <c r="L535" s="43"/>
      <c r="M535" s="43"/>
      <c r="N535" s="43"/>
      <c r="O535" s="43"/>
    </row>
    <row r="536">
      <c r="G536" s="43"/>
      <c r="H536" s="64"/>
      <c r="I536" s="64"/>
      <c r="J536" s="64"/>
      <c r="K536" s="43"/>
      <c r="L536" s="43"/>
      <c r="M536" s="43"/>
      <c r="N536" s="43"/>
      <c r="O536" s="43"/>
    </row>
    <row r="537">
      <c r="G537" s="43"/>
      <c r="H537" s="64"/>
      <c r="I537" s="64"/>
      <c r="J537" s="64"/>
      <c r="K537" s="43"/>
      <c r="L537" s="43"/>
      <c r="M537" s="43"/>
      <c r="N537" s="43"/>
      <c r="O537" s="43"/>
    </row>
    <row r="538">
      <c r="G538" s="43"/>
      <c r="H538" s="64"/>
      <c r="I538" s="64"/>
      <c r="J538" s="64"/>
      <c r="K538" s="43"/>
      <c r="L538" s="43"/>
      <c r="M538" s="43"/>
      <c r="N538" s="43"/>
      <c r="O538" s="43"/>
    </row>
    <row r="539">
      <c r="G539" s="43"/>
      <c r="H539" s="64"/>
      <c r="I539" s="64"/>
      <c r="J539" s="64"/>
      <c r="K539" s="43"/>
      <c r="L539" s="43"/>
      <c r="M539" s="43"/>
      <c r="N539" s="43"/>
      <c r="O539" s="43"/>
    </row>
    <row r="540">
      <c r="G540" s="43"/>
      <c r="H540" s="64"/>
      <c r="I540" s="64"/>
      <c r="J540" s="64"/>
      <c r="K540" s="43"/>
      <c r="L540" s="43"/>
      <c r="M540" s="43"/>
      <c r="N540" s="43"/>
      <c r="O540" s="43"/>
    </row>
    <row r="541">
      <c r="G541" s="43"/>
      <c r="H541" s="64"/>
      <c r="I541" s="64"/>
      <c r="J541" s="64"/>
      <c r="K541" s="43"/>
      <c r="L541" s="43"/>
      <c r="M541" s="43"/>
      <c r="N541" s="43"/>
      <c r="O541" s="43"/>
    </row>
    <row r="542">
      <c r="G542" s="43"/>
      <c r="H542" s="64"/>
      <c r="I542" s="64"/>
      <c r="J542" s="64"/>
      <c r="K542" s="43"/>
      <c r="L542" s="43"/>
      <c r="M542" s="43"/>
      <c r="N542" s="43"/>
      <c r="O542" s="43"/>
    </row>
    <row r="543">
      <c r="G543" s="43"/>
      <c r="H543" s="64"/>
      <c r="I543" s="64"/>
      <c r="J543" s="64"/>
      <c r="K543" s="43"/>
      <c r="L543" s="43"/>
      <c r="M543" s="43"/>
      <c r="N543" s="43"/>
      <c r="O543" s="43"/>
    </row>
    <row r="544">
      <c r="G544" s="43"/>
      <c r="H544" s="64"/>
      <c r="I544" s="64"/>
      <c r="J544" s="64"/>
      <c r="K544" s="43"/>
      <c r="L544" s="43"/>
      <c r="M544" s="43"/>
      <c r="N544" s="43"/>
      <c r="O544" s="43"/>
    </row>
    <row r="545">
      <c r="G545" s="43"/>
      <c r="H545" s="64"/>
      <c r="I545" s="64"/>
      <c r="J545" s="64"/>
      <c r="K545" s="43"/>
      <c r="L545" s="43"/>
      <c r="M545" s="43"/>
      <c r="N545" s="43"/>
      <c r="O545" s="43"/>
    </row>
    <row r="546">
      <c r="G546" s="43"/>
      <c r="H546" s="64"/>
      <c r="I546" s="64"/>
      <c r="J546" s="64"/>
      <c r="K546" s="43"/>
      <c r="L546" s="43"/>
      <c r="M546" s="43"/>
      <c r="N546" s="43"/>
      <c r="O546" s="43"/>
    </row>
    <row r="547">
      <c r="G547" s="43"/>
      <c r="H547" s="64"/>
      <c r="I547" s="64"/>
      <c r="J547" s="64"/>
      <c r="K547" s="43"/>
      <c r="L547" s="43"/>
      <c r="M547" s="43"/>
      <c r="N547" s="43"/>
      <c r="O547" s="43"/>
    </row>
    <row r="548">
      <c r="G548" s="43"/>
      <c r="H548" s="64"/>
      <c r="I548" s="64"/>
      <c r="J548" s="64"/>
      <c r="K548" s="43"/>
      <c r="L548" s="43"/>
      <c r="M548" s="43"/>
      <c r="N548" s="43"/>
      <c r="O548" s="43"/>
    </row>
    <row r="549">
      <c r="G549" s="43"/>
      <c r="H549" s="64"/>
      <c r="I549" s="64"/>
      <c r="J549" s="64"/>
      <c r="K549" s="43"/>
      <c r="L549" s="43"/>
      <c r="M549" s="43"/>
      <c r="N549" s="43"/>
      <c r="O549" s="43"/>
    </row>
    <row r="550">
      <c r="G550" s="43"/>
      <c r="H550" s="64"/>
      <c r="I550" s="64"/>
      <c r="J550" s="64"/>
      <c r="K550" s="43"/>
      <c r="L550" s="43"/>
      <c r="M550" s="43"/>
      <c r="N550" s="43"/>
      <c r="O550" s="43"/>
    </row>
    <row r="551">
      <c r="G551" s="43"/>
      <c r="H551" s="64"/>
      <c r="I551" s="64"/>
      <c r="J551" s="64"/>
      <c r="K551" s="43"/>
      <c r="L551" s="43"/>
      <c r="M551" s="43"/>
      <c r="N551" s="43"/>
      <c r="O551" s="43"/>
    </row>
    <row r="552">
      <c r="G552" s="43"/>
      <c r="H552" s="64"/>
      <c r="I552" s="64"/>
      <c r="J552" s="64"/>
      <c r="K552" s="43"/>
      <c r="L552" s="43"/>
      <c r="M552" s="43"/>
      <c r="N552" s="43"/>
      <c r="O552" s="43"/>
    </row>
    <row r="553">
      <c r="G553" s="43"/>
      <c r="H553" s="64"/>
      <c r="I553" s="64"/>
      <c r="J553" s="64"/>
      <c r="K553" s="43"/>
      <c r="L553" s="43"/>
      <c r="M553" s="43"/>
      <c r="N553" s="43"/>
      <c r="O553" s="43"/>
    </row>
    <row r="554">
      <c r="G554" s="43"/>
      <c r="H554" s="64"/>
      <c r="I554" s="64"/>
      <c r="J554" s="64"/>
      <c r="K554" s="43"/>
      <c r="L554" s="43"/>
      <c r="M554" s="43"/>
      <c r="N554" s="43"/>
      <c r="O554" s="43"/>
    </row>
    <row r="555">
      <c r="G555" s="43"/>
      <c r="H555" s="64"/>
      <c r="I555" s="64"/>
      <c r="J555" s="64"/>
      <c r="K555" s="43"/>
      <c r="L555" s="43"/>
      <c r="M555" s="43"/>
      <c r="N555" s="43"/>
      <c r="O555" s="43"/>
    </row>
    <row r="556">
      <c r="G556" s="43"/>
      <c r="H556" s="64"/>
      <c r="I556" s="64"/>
      <c r="J556" s="64"/>
      <c r="K556" s="43"/>
      <c r="L556" s="43"/>
      <c r="M556" s="43"/>
      <c r="N556" s="43"/>
      <c r="O556" s="43"/>
    </row>
    <row r="557">
      <c r="G557" s="43"/>
      <c r="H557" s="64"/>
      <c r="I557" s="64"/>
      <c r="J557" s="64"/>
      <c r="K557" s="43"/>
      <c r="L557" s="43"/>
      <c r="M557" s="43"/>
      <c r="N557" s="43"/>
      <c r="O557" s="43"/>
    </row>
    <row r="558">
      <c r="G558" s="43"/>
      <c r="H558" s="64"/>
      <c r="I558" s="64"/>
      <c r="J558" s="64"/>
      <c r="K558" s="43"/>
      <c r="L558" s="43"/>
      <c r="M558" s="43"/>
      <c r="N558" s="43"/>
      <c r="O558" s="43"/>
    </row>
    <row r="559">
      <c r="G559" s="43"/>
      <c r="H559" s="64"/>
      <c r="I559" s="64"/>
      <c r="J559" s="64"/>
      <c r="K559" s="43"/>
      <c r="L559" s="43"/>
      <c r="M559" s="43"/>
      <c r="N559" s="43"/>
      <c r="O559" s="43"/>
    </row>
    <row r="560">
      <c r="G560" s="43"/>
      <c r="H560" s="64"/>
      <c r="I560" s="64"/>
      <c r="J560" s="64"/>
      <c r="K560" s="43"/>
      <c r="L560" s="43"/>
      <c r="M560" s="43"/>
      <c r="N560" s="43"/>
      <c r="O560" s="43"/>
    </row>
    <row r="561">
      <c r="G561" s="43"/>
      <c r="H561" s="64"/>
      <c r="I561" s="64"/>
      <c r="J561" s="64"/>
      <c r="K561" s="43"/>
      <c r="L561" s="43"/>
      <c r="M561" s="43"/>
      <c r="N561" s="43"/>
      <c r="O561" s="43"/>
    </row>
    <row r="562">
      <c r="G562" s="43"/>
      <c r="H562" s="64"/>
      <c r="I562" s="64"/>
      <c r="J562" s="64"/>
      <c r="K562" s="43"/>
      <c r="L562" s="43"/>
      <c r="M562" s="43"/>
      <c r="N562" s="43"/>
      <c r="O562" s="43"/>
    </row>
    <row r="563">
      <c r="G563" s="43"/>
      <c r="H563" s="64"/>
      <c r="I563" s="64"/>
      <c r="J563" s="64"/>
      <c r="K563" s="43"/>
      <c r="L563" s="43"/>
      <c r="M563" s="43"/>
      <c r="N563" s="43"/>
      <c r="O563" s="43"/>
    </row>
    <row r="564">
      <c r="G564" s="43"/>
      <c r="H564" s="64"/>
      <c r="I564" s="64"/>
      <c r="J564" s="64"/>
      <c r="K564" s="43"/>
      <c r="L564" s="43"/>
      <c r="M564" s="43"/>
      <c r="N564" s="43"/>
      <c r="O564" s="43"/>
    </row>
    <row r="565">
      <c r="G565" s="43"/>
      <c r="H565" s="64"/>
      <c r="I565" s="64"/>
      <c r="J565" s="64"/>
      <c r="K565" s="43"/>
      <c r="L565" s="43"/>
      <c r="M565" s="43"/>
      <c r="N565" s="43"/>
      <c r="O565" s="43"/>
    </row>
    <row r="566">
      <c r="G566" s="43"/>
      <c r="H566" s="64"/>
      <c r="I566" s="64"/>
      <c r="J566" s="64"/>
      <c r="K566" s="43"/>
      <c r="L566" s="43"/>
      <c r="M566" s="43"/>
      <c r="N566" s="43"/>
      <c r="O566" s="43"/>
    </row>
    <row r="567">
      <c r="G567" s="43"/>
      <c r="H567" s="64"/>
      <c r="I567" s="64"/>
      <c r="J567" s="64"/>
      <c r="K567" s="43"/>
      <c r="L567" s="43"/>
      <c r="M567" s="43"/>
      <c r="N567" s="43"/>
      <c r="O567" s="43"/>
    </row>
    <row r="568">
      <c r="G568" s="43"/>
      <c r="H568" s="64"/>
      <c r="I568" s="64"/>
      <c r="J568" s="64"/>
      <c r="K568" s="43"/>
      <c r="L568" s="43"/>
      <c r="M568" s="43"/>
      <c r="N568" s="43"/>
      <c r="O568" s="43"/>
    </row>
    <row r="569">
      <c r="G569" s="43"/>
      <c r="H569" s="64"/>
      <c r="I569" s="64"/>
      <c r="J569" s="64"/>
      <c r="K569" s="43"/>
      <c r="L569" s="43"/>
      <c r="M569" s="43"/>
      <c r="N569" s="43"/>
      <c r="O569" s="43"/>
    </row>
    <row r="570">
      <c r="G570" s="43"/>
      <c r="H570" s="64"/>
      <c r="I570" s="64"/>
      <c r="J570" s="64"/>
      <c r="K570" s="43"/>
      <c r="L570" s="43"/>
      <c r="M570" s="43"/>
      <c r="N570" s="43"/>
      <c r="O570" s="43"/>
    </row>
    <row r="571">
      <c r="G571" s="43"/>
      <c r="H571" s="64"/>
      <c r="I571" s="64"/>
      <c r="J571" s="64"/>
      <c r="K571" s="43"/>
      <c r="L571" s="43"/>
      <c r="M571" s="43"/>
      <c r="N571" s="43"/>
      <c r="O571" s="43"/>
    </row>
    <row r="572">
      <c r="G572" s="43"/>
      <c r="H572" s="64"/>
      <c r="I572" s="64"/>
      <c r="J572" s="64"/>
      <c r="K572" s="43"/>
      <c r="L572" s="43"/>
      <c r="M572" s="43"/>
      <c r="N572" s="43"/>
      <c r="O572" s="43"/>
    </row>
    <row r="573">
      <c r="G573" s="43"/>
      <c r="H573" s="64"/>
      <c r="I573" s="64"/>
      <c r="J573" s="64"/>
      <c r="K573" s="43"/>
      <c r="L573" s="43"/>
      <c r="M573" s="43"/>
      <c r="N573" s="43"/>
      <c r="O573" s="43"/>
    </row>
    <row r="574">
      <c r="G574" s="43"/>
      <c r="H574" s="64"/>
      <c r="I574" s="64"/>
      <c r="J574" s="64"/>
      <c r="K574" s="43"/>
      <c r="L574" s="43"/>
      <c r="M574" s="43"/>
      <c r="N574" s="43"/>
      <c r="O574" s="43"/>
    </row>
    <row r="575">
      <c r="G575" s="43"/>
      <c r="H575" s="64"/>
      <c r="I575" s="64"/>
      <c r="J575" s="64"/>
      <c r="K575" s="43"/>
      <c r="L575" s="43"/>
      <c r="M575" s="43"/>
      <c r="N575" s="43"/>
      <c r="O575" s="43"/>
    </row>
    <row r="576">
      <c r="G576" s="43"/>
      <c r="H576" s="64"/>
      <c r="I576" s="64"/>
      <c r="J576" s="64"/>
      <c r="K576" s="43"/>
      <c r="L576" s="43"/>
      <c r="M576" s="43"/>
      <c r="N576" s="43"/>
      <c r="O576" s="43"/>
    </row>
    <row r="577">
      <c r="G577" s="43"/>
      <c r="H577" s="64"/>
      <c r="I577" s="64"/>
      <c r="J577" s="64"/>
      <c r="K577" s="43"/>
      <c r="L577" s="43"/>
      <c r="M577" s="43"/>
      <c r="N577" s="43"/>
      <c r="O577" s="43"/>
    </row>
    <row r="578">
      <c r="G578" s="43"/>
      <c r="H578" s="64"/>
      <c r="I578" s="64"/>
      <c r="J578" s="64"/>
      <c r="K578" s="43"/>
      <c r="L578" s="43"/>
      <c r="M578" s="43"/>
      <c r="N578" s="43"/>
      <c r="O578" s="43"/>
    </row>
    <row r="579">
      <c r="G579" s="43"/>
      <c r="H579" s="64"/>
      <c r="I579" s="64"/>
      <c r="J579" s="64"/>
      <c r="K579" s="43"/>
      <c r="L579" s="43"/>
      <c r="M579" s="43"/>
      <c r="N579" s="43"/>
      <c r="O579" s="43"/>
    </row>
    <row r="580">
      <c r="G580" s="43"/>
      <c r="H580" s="64"/>
      <c r="I580" s="64"/>
      <c r="J580" s="64"/>
      <c r="K580" s="43"/>
      <c r="L580" s="43"/>
      <c r="M580" s="43"/>
      <c r="N580" s="43"/>
      <c r="O580" s="43"/>
    </row>
    <row r="581">
      <c r="G581" s="43"/>
      <c r="H581" s="64"/>
      <c r="I581" s="64"/>
      <c r="J581" s="64"/>
      <c r="K581" s="43"/>
      <c r="L581" s="43"/>
      <c r="M581" s="43"/>
      <c r="N581" s="43"/>
      <c r="O581" s="43"/>
    </row>
    <row r="582">
      <c r="G582" s="43"/>
      <c r="H582" s="64"/>
      <c r="I582" s="64"/>
      <c r="J582" s="64"/>
      <c r="K582" s="43"/>
      <c r="L582" s="43"/>
      <c r="M582" s="43"/>
      <c r="N582" s="43"/>
      <c r="O582" s="43"/>
    </row>
    <row r="583">
      <c r="G583" s="43"/>
      <c r="H583" s="64"/>
      <c r="I583" s="64"/>
      <c r="J583" s="64"/>
      <c r="K583" s="43"/>
      <c r="L583" s="43"/>
      <c r="M583" s="43"/>
      <c r="N583" s="43"/>
      <c r="O583" s="43"/>
    </row>
    <row r="584">
      <c r="G584" s="43"/>
      <c r="H584" s="64"/>
      <c r="I584" s="64"/>
      <c r="J584" s="64"/>
      <c r="K584" s="43"/>
      <c r="L584" s="43"/>
      <c r="M584" s="43"/>
      <c r="N584" s="43"/>
      <c r="O584" s="43"/>
    </row>
    <row r="585">
      <c r="G585" s="43"/>
      <c r="H585" s="64"/>
      <c r="I585" s="64"/>
      <c r="J585" s="64"/>
      <c r="K585" s="43"/>
      <c r="L585" s="43"/>
      <c r="M585" s="43"/>
      <c r="N585" s="43"/>
      <c r="O585" s="43"/>
    </row>
    <row r="586">
      <c r="G586" s="43"/>
      <c r="H586" s="64"/>
      <c r="I586" s="64"/>
      <c r="J586" s="64"/>
      <c r="K586" s="43"/>
      <c r="L586" s="43"/>
      <c r="M586" s="43"/>
      <c r="N586" s="43"/>
      <c r="O586" s="43"/>
    </row>
    <row r="587">
      <c r="G587" s="43"/>
      <c r="H587" s="64"/>
      <c r="I587" s="64"/>
      <c r="J587" s="64"/>
      <c r="K587" s="43"/>
      <c r="L587" s="43"/>
      <c r="M587" s="43"/>
      <c r="N587" s="43"/>
      <c r="O587" s="43"/>
    </row>
    <row r="588">
      <c r="G588" s="43"/>
      <c r="H588" s="64"/>
      <c r="I588" s="64"/>
      <c r="J588" s="64"/>
      <c r="K588" s="43"/>
      <c r="L588" s="43"/>
      <c r="M588" s="43"/>
      <c r="N588" s="43"/>
      <c r="O588" s="43"/>
    </row>
    <row r="589">
      <c r="G589" s="43"/>
      <c r="H589" s="64"/>
      <c r="I589" s="64"/>
      <c r="J589" s="64"/>
      <c r="K589" s="43"/>
      <c r="L589" s="43"/>
      <c r="M589" s="43"/>
      <c r="N589" s="43"/>
      <c r="O589" s="43"/>
    </row>
    <row r="590">
      <c r="G590" s="43"/>
      <c r="H590" s="64"/>
      <c r="I590" s="64"/>
      <c r="J590" s="64"/>
      <c r="K590" s="43"/>
      <c r="L590" s="43"/>
      <c r="M590" s="43"/>
      <c r="N590" s="43"/>
      <c r="O590" s="43"/>
    </row>
    <row r="591">
      <c r="G591" s="43"/>
      <c r="H591" s="64"/>
      <c r="I591" s="64"/>
      <c r="J591" s="64"/>
      <c r="K591" s="43"/>
      <c r="L591" s="43"/>
      <c r="M591" s="43"/>
      <c r="N591" s="43"/>
      <c r="O591" s="43"/>
    </row>
    <row r="592">
      <c r="G592" s="43"/>
      <c r="H592" s="64"/>
      <c r="I592" s="64"/>
      <c r="J592" s="64"/>
      <c r="K592" s="43"/>
      <c r="L592" s="43"/>
      <c r="M592" s="43"/>
      <c r="N592" s="43"/>
      <c r="O592" s="43"/>
    </row>
    <row r="593">
      <c r="G593" s="43"/>
      <c r="H593" s="64"/>
      <c r="I593" s="64"/>
      <c r="J593" s="64"/>
      <c r="K593" s="43"/>
      <c r="L593" s="43"/>
      <c r="M593" s="43"/>
      <c r="N593" s="43"/>
      <c r="O593" s="43"/>
    </row>
    <row r="594">
      <c r="G594" s="43"/>
      <c r="H594" s="64"/>
      <c r="I594" s="64"/>
      <c r="J594" s="64"/>
      <c r="K594" s="43"/>
      <c r="L594" s="43"/>
      <c r="M594" s="43"/>
      <c r="N594" s="43"/>
      <c r="O594" s="43"/>
    </row>
    <row r="595">
      <c r="G595" s="43"/>
      <c r="H595" s="64"/>
      <c r="I595" s="64"/>
      <c r="J595" s="64"/>
      <c r="K595" s="43"/>
      <c r="L595" s="43"/>
      <c r="M595" s="43"/>
      <c r="N595" s="43"/>
      <c r="O595" s="43"/>
    </row>
    <row r="596">
      <c r="G596" s="43"/>
      <c r="H596" s="64"/>
      <c r="I596" s="64"/>
      <c r="J596" s="64"/>
      <c r="K596" s="43"/>
      <c r="L596" s="43"/>
      <c r="M596" s="43"/>
      <c r="N596" s="43"/>
      <c r="O596" s="43"/>
    </row>
    <row r="597">
      <c r="G597" s="43"/>
      <c r="H597" s="64"/>
      <c r="I597" s="64"/>
      <c r="J597" s="64"/>
      <c r="K597" s="43"/>
      <c r="L597" s="43"/>
      <c r="M597" s="43"/>
      <c r="N597" s="43"/>
      <c r="O597" s="43"/>
    </row>
    <row r="598">
      <c r="G598" s="43"/>
      <c r="H598" s="64"/>
      <c r="I598" s="64"/>
      <c r="J598" s="64"/>
      <c r="K598" s="43"/>
      <c r="L598" s="43"/>
      <c r="M598" s="43"/>
      <c r="N598" s="43"/>
      <c r="O598" s="43"/>
    </row>
    <row r="599">
      <c r="G599" s="43"/>
      <c r="H599" s="64"/>
      <c r="I599" s="64"/>
      <c r="J599" s="64"/>
      <c r="K599" s="43"/>
      <c r="L599" s="43"/>
      <c r="M599" s="43"/>
      <c r="N599" s="43"/>
      <c r="O599" s="43"/>
    </row>
    <row r="600">
      <c r="G600" s="43"/>
      <c r="H600" s="64"/>
      <c r="I600" s="64"/>
      <c r="J600" s="64"/>
      <c r="K600" s="43"/>
      <c r="L600" s="43"/>
      <c r="M600" s="43"/>
      <c r="N600" s="43"/>
      <c r="O600" s="43"/>
    </row>
    <row r="601">
      <c r="G601" s="43"/>
      <c r="H601" s="64"/>
      <c r="I601" s="64"/>
      <c r="J601" s="64"/>
      <c r="K601" s="43"/>
      <c r="L601" s="43"/>
      <c r="M601" s="43"/>
      <c r="N601" s="43"/>
      <c r="O601" s="43"/>
    </row>
    <row r="602">
      <c r="G602" s="43"/>
      <c r="H602" s="64"/>
      <c r="I602" s="64"/>
      <c r="J602" s="64"/>
      <c r="K602" s="43"/>
      <c r="L602" s="43"/>
      <c r="M602" s="43"/>
      <c r="N602" s="43"/>
      <c r="O602" s="43"/>
    </row>
    <row r="603">
      <c r="G603" s="43"/>
      <c r="H603" s="64"/>
      <c r="I603" s="64"/>
      <c r="J603" s="64"/>
      <c r="K603" s="43"/>
      <c r="L603" s="43"/>
      <c r="M603" s="43"/>
      <c r="N603" s="43"/>
      <c r="O603" s="43"/>
    </row>
    <row r="604">
      <c r="G604" s="43"/>
      <c r="H604" s="64"/>
      <c r="I604" s="64"/>
      <c r="J604" s="64"/>
      <c r="K604" s="43"/>
      <c r="L604" s="43"/>
      <c r="M604" s="43"/>
      <c r="N604" s="43"/>
      <c r="O604" s="43"/>
    </row>
    <row r="605">
      <c r="G605" s="43"/>
      <c r="H605" s="64"/>
      <c r="I605" s="64"/>
      <c r="J605" s="64"/>
      <c r="K605" s="43"/>
      <c r="L605" s="43"/>
      <c r="M605" s="43"/>
      <c r="N605" s="43"/>
      <c r="O605" s="43"/>
    </row>
    <row r="606">
      <c r="G606" s="43"/>
      <c r="H606" s="64"/>
      <c r="I606" s="64"/>
      <c r="J606" s="64"/>
      <c r="K606" s="43"/>
      <c r="L606" s="43"/>
      <c r="M606" s="43"/>
      <c r="N606" s="43"/>
      <c r="O606" s="43"/>
    </row>
    <row r="607">
      <c r="G607" s="43"/>
      <c r="H607" s="64"/>
      <c r="I607" s="64"/>
      <c r="J607" s="64"/>
      <c r="K607" s="43"/>
      <c r="L607" s="43"/>
      <c r="M607" s="43"/>
      <c r="N607" s="43"/>
      <c r="O607" s="43"/>
    </row>
    <row r="608">
      <c r="G608" s="43"/>
      <c r="H608" s="64"/>
      <c r="I608" s="64"/>
      <c r="J608" s="64"/>
      <c r="K608" s="43"/>
      <c r="L608" s="43"/>
      <c r="M608" s="43"/>
      <c r="N608" s="43"/>
      <c r="O608" s="43"/>
    </row>
    <row r="609">
      <c r="G609" s="43"/>
      <c r="H609" s="64"/>
      <c r="I609" s="64"/>
      <c r="J609" s="64"/>
      <c r="K609" s="43"/>
      <c r="L609" s="43"/>
      <c r="M609" s="43"/>
      <c r="N609" s="43"/>
      <c r="O609" s="43"/>
    </row>
    <row r="610">
      <c r="G610" s="43"/>
      <c r="H610" s="64"/>
      <c r="I610" s="64"/>
      <c r="J610" s="64"/>
      <c r="K610" s="43"/>
      <c r="L610" s="43"/>
      <c r="M610" s="43"/>
      <c r="N610" s="43"/>
      <c r="O610" s="43"/>
    </row>
    <row r="611">
      <c r="G611" s="43"/>
      <c r="H611" s="64"/>
      <c r="I611" s="64"/>
      <c r="J611" s="64"/>
      <c r="K611" s="43"/>
      <c r="L611" s="43"/>
      <c r="M611" s="43"/>
      <c r="N611" s="43"/>
      <c r="O611" s="43"/>
    </row>
    <row r="612">
      <c r="G612" s="43"/>
      <c r="H612" s="64"/>
      <c r="I612" s="64"/>
      <c r="J612" s="64"/>
      <c r="K612" s="43"/>
      <c r="L612" s="43"/>
      <c r="M612" s="43"/>
      <c r="N612" s="43"/>
      <c r="O612" s="43"/>
    </row>
    <row r="613">
      <c r="G613" s="43"/>
      <c r="H613" s="64"/>
      <c r="I613" s="64"/>
      <c r="J613" s="64"/>
      <c r="K613" s="43"/>
      <c r="L613" s="43"/>
      <c r="M613" s="43"/>
      <c r="N613" s="43"/>
      <c r="O613" s="43"/>
    </row>
    <row r="614">
      <c r="G614" s="43"/>
      <c r="H614" s="64"/>
      <c r="I614" s="64"/>
      <c r="J614" s="64"/>
      <c r="K614" s="43"/>
      <c r="L614" s="43"/>
      <c r="M614" s="43"/>
      <c r="N614" s="43"/>
      <c r="O614" s="43"/>
    </row>
    <row r="615">
      <c r="G615" s="43"/>
      <c r="H615" s="64"/>
      <c r="I615" s="64"/>
      <c r="J615" s="64"/>
      <c r="K615" s="43"/>
      <c r="L615" s="43"/>
      <c r="M615" s="43"/>
      <c r="N615" s="43"/>
      <c r="O615" s="43"/>
    </row>
    <row r="616">
      <c r="G616" s="43"/>
      <c r="H616" s="64"/>
      <c r="I616" s="64"/>
      <c r="J616" s="64"/>
      <c r="K616" s="43"/>
      <c r="L616" s="43"/>
      <c r="M616" s="43"/>
      <c r="N616" s="43"/>
      <c r="O616" s="43"/>
    </row>
    <row r="617">
      <c r="G617" s="43"/>
      <c r="H617" s="64"/>
      <c r="I617" s="64"/>
      <c r="J617" s="64"/>
      <c r="K617" s="43"/>
      <c r="L617" s="43"/>
      <c r="M617" s="43"/>
      <c r="N617" s="43"/>
      <c r="O617" s="43"/>
    </row>
    <row r="618">
      <c r="G618" s="43"/>
      <c r="H618" s="64"/>
      <c r="I618" s="64"/>
      <c r="J618" s="64"/>
      <c r="K618" s="43"/>
      <c r="L618" s="43"/>
      <c r="M618" s="43"/>
      <c r="N618" s="43"/>
      <c r="O618" s="43"/>
    </row>
    <row r="619">
      <c r="G619" s="43"/>
      <c r="H619" s="64"/>
      <c r="I619" s="64"/>
      <c r="J619" s="64"/>
      <c r="K619" s="43"/>
      <c r="L619" s="43"/>
      <c r="M619" s="43"/>
      <c r="N619" s="43"/>
      <c r="O619" s="43"/>
    </row>
    <row r="620">
      <c r="G620" s="43"/>
      <c r="H620" s="64"/>
      <c r="I620" s="64"/>
      <c r="J620" s="64"/>
      <c r="K620" s="43"/>
      <c r="L620" s="43"/>
      <c r="M620" s="43"/>
      <c r="N620" s="43"/>
      <c r="O620" s="43"/>
    </row>
    <row r="621">
      <c r="G621" s="43"/>
      <c r="H621" s="64"/>
      <c r="I621" s="64"/>
      <c r="J621" s="64"/>
      <c r="K621" s="43"/>
      <c r="L621" s="43"/>
      <c r="M621" s="43"/>
      <c r="N621" s="43"/>
      <c r="O621" s="43"/>
    </row>
    <row r="622">
      <c r="G622" s="43"/>
      <c r="H622" s="64"/>
      <c r="I622" s="64"/>
      <c r="J622" s="64"/>
      <c r="K622" s="43"/>
      <c r="L622" s="43"/>
      <c r="M622" s="43"/>
      <c r="N622" s="43"/>
      <c r="O622" s="43"/>
    </row>
    <row r="623">
      <c r="G623" s="43"/>
      <c r="H623" s="64"/>
      <c r="I623" s="64"/>
      <c r="J623" s="64"/>
      <c r="K623" s="43"/>
      <c r="L623" s="43"/>
      <c r="M623" s="43"/>
      <c r="N623" s="43"/>
      <c r="O623" s="43"/>
    </row>
    <row r="624">
      <c r="G624" s="43"/>
      <c r="H624" s="64"/>
      <c r="I624" s="64"/>
      <c r="J624" s="64"/>
      <c r="K624" s="43"/>
      <c r="L624" s="43"/>
      <c r="M624" s="43"/>
      <c r="N624" s="43"/>
      <c r="O624" s="43"/>
    </row>
    <row r="625">
      <c r="G625" s="43"/>
      <c r="H625" s="64"/>
      <c r="I625" s="64"/>
      <c r="J625" s="64"/>
      <c r="K625" s="43"/>
      <c r="L625" s="43"/>
      <c r="M625" s="43"/>
      <c r="N625" s="43"/>
      <c r="O625" s="43"/>
    </row>
    <row r="626">
      <c r="G626" s="43"/>
      <c r="H626" s="64"/>
      <c r="I626" s="64"/>
      <c r="J626" s="64"/>
      <c r="K626" s="43"/>
      <c r="L626" s="43"/>
      <c r="M626" s="43"/>
      <c r="N626" s="43"/>
      <c r="O626" s="43"/>
    </row>
    <row r="627">
      <c r="G627" s="43"/>
      <c r="H627" s="64"/>
      <c r="I627" s="64"/>
      <c r="J627" s="64"/>
      <c r="K627" s="43"/>
      <c r="L627" s="43"/>
      <c r="M627" s="43"/>
      <c r="N627" s="43"/>
      <c r="O627" s="43"/>
    </row>
    <row r="628">
      <c r="G628" s="43"/>
      <c r="H628" s="64"/>
      <c r="I628" s="64"/>
      <c r="J628" s="64"/>
      <c r="K628" s="43"/>
      <c r="L628" s="43"/>
      <c r="M628" s="43"/>
      <c r="N628" s="43"/>
      <c r="O628" s="43"/>
    </row>
    <row r="629">
      <c r="G629" s="43"/>
      <c r="H629" s="64"/>
      <c r="I629" s="64"/>
      <c r="J629" s="64"/>
      <c r="K629" s="43"/>
      <c r="L629" s="43"/>
      <c r="M629" s="43"/>
      <c r="N629" s="43"/>
      <c r="O629" s="43"/>
    </row>
    <row r="630">
      <c r="G630" s="43"/>
      <c r="H630" s="64"/>
      <c r="I630" s="64"/>
      <c r="J630" s="64"/>
      <c r="K630" s="43"/>
      <c r="L630" s="43"/>
      <c r="M630" s="43"/>
      <c r="N630" s="43"/>
      <c r="O630" s="43"/>
    </row>
    <row r="631">
      <c r="G631" s="43"/>
      <c r="H631" s="64"/>
      <c r="I631" s="64"/>
      <c r="J631" s="64"/>
      <c r="K631" s="43"/>
      <c r="L631" s="43"/>
      <c r="M631" s="43"/>
      <c r="N631" s="43"/>
      <c r="O631" s="43"/>
    </row>
    <row r="632">
      <c r="G632" s="43"/>
      <c r="H632" s="64"/>
      <c r="I632" s="64"/>
      <c r="J632" s="64"/>
      <c r="K632" s="43"/>
      <c r="L632" s="43"/>
      <c r="M632" s="43"/>
      <c r="N632" s="43"/>
      <c r="O632" s="43"/>
    </row>
    <row r="633">
      <c r="G633" s="43"/>
      <c r="H633" s="64"/>
      <c r="I633" s="64"/>
      <c r="J633" s="64"/>
      <c r="K633" s="43"/>
      <c r="L633" s="43"/>
      <c r="M633" s="43"/>
      <c r="N633" s="43"/>
      <c r="O633" s="43"/>
    </row>
    <row r="634">
      <c r="G634" s="43"/>
      <c r="H634" s="64"/>
      <c r="I634" s="64"/>
      <c r="J634" s="64"/>
      <c r="K634" s="43"/>
      <c r="L634" s="43"/>
      <c r="M634" s="43"/>
      <c r="N634" s="43"/>
      <c r="O634" s="43"/>
    </row>
    <row r="635">
      <c r="G635" s="43"/>
      <c r="H635" s="64"/>
      <c r="I635" s="64"/>
      <c r="J635" s="64"/>
      <c r="K635" s="43"/>
      <c r="L635" s="43"/>
      <c r="M635" s="43"/>
      <c r="N635" s="43"/>
      <c r="O635" s="43"/>
    </row>
    <row r="636">
      <c r="G636" s="43"/>
      <c r="H636" s="64"/>
      <c r="I636" s="64"/>
      <c r="J636" s="64"/>
      <c r="K636" s="43"/>
      <c r="L636" s="43"/>
      <c r="M636" s="43"/>
      <c r="N636" s="43"/>
      <c r="O636" s="43"/>
    </row>
    <row r="637">
      <c r="G637" s="43"/>
      <c r="H637" s="64"/>
      <c r="I637" s="64"/>
      <c r="J637" s="64"/>
      <c r="K637" s="43"/>
      <c r="L637" s="43"/>
      <c r="M637" s="43"/>
      <c r="N637" s="43"/>
      <c r="O637" s="43"/>
    </row>
    <row r="638">
      <c r="G638" s="43"/>
      <c r="H638" s="64"/>
      <c r="I638" s="64"/>
      <c r="J638" s="64"/>
      <c r="K638" s="43"/>
      <c r="L638" s="43"/>
      <c r="M638" s="43"/>
      <c r="N638" s="43"/>
      <c r="O638" s="43"/>
    </row>
    <row r="639">
      <c r="G639" s="43"/>
      <c r="H639" s="64"/>
      <c r="I639" s="64"/>
      <c r="J639" s="64"/>
      <c r="K639" s="43"/>
      <c r="L639" s="43"/>
      <c r="M639" s="43"/>
      <c r="N639" s="43"/>
      <c r="O639" s="43"/>
    </row>
    <row r="640">
      <c r="G640" s="43"/>
      <c r="H640" s="64"/>
      <c r="I640" s="64"/>
      <c r="J640" s="64"/>
      <c r="K640" s="43"/>
      <c r="L640" s="43"/>
      <c r="M640" s="43"/>
      <c r="N640" s="43"/>
      <c r="O640" s="43"/>
    </row>
    <row r="641">
      <c r="G641" s="43"/>
      <c r="H641" s="64"/>
      <c r="I641" s="64"/>
      <c r="J641" s="64"/>
      <c r="K641" s="43"/>
      <c r="L641" s="43"/>
      <c r="M641" s="43"/>
      <c r="N641" s="43"/>
      <c r="O641" s="43"/>
    </row>
    <row r="642">
      <c r="G642" s="43"/>
      <c r="H642" s="64"/>
      <c r="I642" s="64"/>
      <c r="J642" s="64"/>
      <c r="K642" s="43"/>
      <c r="L642" s="43"/>
      <c r="M642" s="43"/>
      <c r="N642" s="43"/>
      <c r="O642" s="43"/>
    </row>
    <row r="643">
      <c r="G643" s="43"/>
      <c r="H643" s="64"/>
      <c r="I643" s="64"/>
      <c r="J643" s="64"/>
      <c r="K643" s="43"/>
      <c r="L643" s="43"/>
      <c r="M643" s="43"/>
      <c r="N643" s="43"/>
      <c r="O643" s="43"/>
    </row>
    <row r="644">
      <c r="G644" s="43"/>
      <c r="H644" s="64"/>
      <c r="I644" s="64"/>
      <c r="J644" s="64"/>
      <c r="K644" s="43"/>
      <c r="L644" s="43"/>
      <c r="M644" s="43"/>
      <c r="N644" s="43"/>
      <c r="O644" s="43"/>
    </row>
    <row r="645">
      <c r="G645" s="43"/>
      <c r="H645" s="64"/>
      <c r="I645" s="64"/>
      <c r="J645" s="64"/>
      <c r="K645" s="43"/>
      <c r="L645" s="43"/>
      <c r="M645" s="43"/>
      <c r="N645" s="43"/>
      <c r="O645" s="43"/>
    </row>
    <row r="646">
      <c r="G646" s="43"/>
      <c r="H646" s="64"/>
      <c r="I646" s="64"/>
      <c r="J646" s="64"/>
      <c r="K646" s="43"/>
      <c r="L646" s="43"/>
      <c r="M646" s="43"/>
      <c r="N646" s="43"/>
      <c r="O646" s="43"/>
    </row>
    <row r="647">
      <c r="G647" s="43"/>
      <c r="H647" s="64"/>
      <c r="I647" s="64"/>
      <c r="J647" s="64"/>
      <c r="K647" s="43"/>
      <c r="L647" s="43"/>
      <c r="M647" s="43"/>
      <c r="N647" s="43"/>
      <c r="O647" s="43"/>
    </row>
    <row r="648">
      <c r="G648" s="43"/>
      <c r="H648" s="64"/>
      <c r="I648" s="64"/>
      <c r="J648" s="64"/>
      <c r="K648" s="43"/>
      <c r="L648" s="43"/>
      <c r="M648" s="43"/>
      <c r="N648" s="43"/>
      <c r="O648" s="43"/>
    </row>
    <row r="649">
      <c r="G649" s="43"/>
      <c r="H649" s="64"/>
      <c r="I649" s="64"/>
      <c r="J649" s="64"/>
      <c r="K649" s="43"/>
      <c r="L649" s="43"/>
      <c r="M649" s="43"/>
      <c r="N649" s="43"/>
      <c r="O649" s="43"/>
    </row>
    <row r="650">
      <c r="G650" s="43"/>
      <c r="H650" s="64"/>
      <c r="I650" s="64"/>
      <c r="J650" s="64"/>
      <c r="K650" s="43"/>
      <c r="L650" s="43"/>
      <c r="M650" s="43"/>
      <c r="N650" s="43"/>
      <c r="O650" s="43"/>
    </row>
    <row r="651">
      <c r="G651" s="43"/>
      <c r="H651" s="64"/>
      <c r="I651" s="64"/>
      <c r="J651" s="64"/>
      <c r="K651" s="43"/>
      <c r="L651" s="43"/>
      <c r="M651" s="43"/>
      <c r="N651" s="43"/>
      <c r="O651" s="43"/>
    </row>
    <row r="652">
      <c r="G652" s="43"/>
      <c r="H652" s="64"/>
      <c r="I652" s="64"/>
      <c r="J652" s="64"/>
      <c r="K652" s="43"/>
      <c r="L652" s="43"/>
      <c r="M652" s="43"/>
      <c r="N652" s="43"/>
      <c r="O652" s="43"/>
    </row>
    <row r="653">
      <c r="G653" s="43"/>
      <c r="H653" s="64"/>
      <c r="I653" s="64"/>
      <c r="J653" s="64"/>
      <c r="K653" s="43"/>
      <c r="L653" s="43"/>
      <c r="M653" s="43"/>
      <c r="N653" s="43"/>
      <c r="O653" s="43"/>
    </row>
    <row r="654">
      <c r="G654" s="43"/>
      <c r="H654" s="64"/>
      <c r="I654" s="64"/>
      <c r="J654" s="64"/>
      <c r="K654" s="43"/>
      <c r="L654" s="43"/>
      <c r="M654" s="43"/>
      <c r="N654" s="43"/>
      <c r="O654" s="43"/>
    </row>
    <row r="655">
      <c r="G655" s="43"/>
      <c r="H655" s="64"/>
      <c r="I655" s="64"/>
      <c r="J655" s="64"/>
      <c r="K655" s="43"/>
      <c r="L655" s="43"/>
      <c r="M655" s="43"/>
      <c r="N655" s="43"/>
      <c r="O655" s="43"/>
    </row>
    <row r="656">
      <c r="G656" s="43"/>
      <c r="H656" s="64"/>
      <c r="I656" s="64"/>
      <c r="J656" s="64"/>
      <c r="K656" s="43"/>
      <c r="L656" s="43"/>
      <c r="M656" s="43"/>
      <c r="N656" s="43"/>
      <c r="O656" s="43"/>
    </row>
    <row r="657">
      <c r="G657" s="43"/>
      <c r="H657" s="64"/>
      <c r="I657" s="64"/>
      <c r="J657" s="64"/>
      <c r="K657" s="43"/>
      <c r="L657" s="43"/>
      <c r="M657" s="43"/>
      <c r="N657" s="43"/>
      <c r="O657" s="43"/>
    </row>
    <row r="658">
      <c r="G658" s="43"/>
      <c r="H658" s="64"/>
      <c r="I658" s="64"/>
      <c r="J658" s="64"/>
      <c r="K658" s="43"/>
      <c r="L658" s="43"/>
      <c r="M658" s="43"/>
      <c r="N658" s="43"/>
      <c r="O658" s="43"/>
    </row>
    <row r="659">
      <c r="G659" s="43"/>
      <c r="H659" s="64"/>
      <c r="I659" s="64"/>
      <c r="J659" s="64"/>
      <c r="K659" s="43"/>
      <c r="L659" s="43"/>
      <c r="M659" s="43"/>
      <c r="N659" s="43"/>
      <c r="O659" s="43"/>
    </row>
    <row r="660">
      <c r="G660" s="43"/>
      <c r="H660" s="64"/>
      <c r="I660" s="64"/>
      <c r="J660" s="64"/>
      <c r="K660" s="43"/>
      <c r="L660" s="43"/>
      <c r="M660" s="43"/>
      <c r="N660" s="43"/>
      <c r="O660" s="43"/>
    </row>
    <row r="661">
      <c r="G661" s="43"/>
      <c r="H661" s="64"/>
      <c r="I661" s="64"/>
      <c r="J661" s="64"/>
      <c r="K661" s="43"/>
      <c r="L661" s="43"/>
      <c r="M661" s="43"/>
      <c r="N661" s="43"/>
      <c r="O661" s="43"/>
    </row>
    <row r="662">
      <c r="G662" s="43"/>
      <c r="H662" s="64"/>
      <c r="I662" s="64"/>
      <c r="J662" s="64"/>
      <c r="K662" s="43"/>
      <c r="L662" s="43"/>
      <c r="M662" s="43"/>
      <c r="N662" s="43"/>
      <c r="O662" s="43"/>
    </row>
    <row r="663">
      <c r="G663" s="43"/>
      <c r="H663" s="64"/>
      <c r="I663" s="64"/>
      <c r="J663" s="64"/>
      <c r="K663" s="43"/>
      <c r="L663" s="43"/>
      <c r="M663" s="43"/>
      <c r="N663" s="43"/>
      <c r="O663" s="43"/>
    </row>
    <row r="664">
      <c r="G664" s="43"/>
      <c r="H664" s="64"/>
      <c r="I664" s="64"/>
      <c r="J664" s="64"/>
      <c r="K664" s="43"/>
      <c r="L664" s="43"/>
      <c r="M664" s="43"/>
      <c r="N664" s="43"/>
      <c r="O664" s="43"/>
    </row>
    <row r="665">
      <c r="G665" s="43"/>
      <c r="H665" s="64"/>
      <c r="I665" s="64"/>
      <c r="J665" s="64"/>
      <c r="K665" s="43"/>
      <c r="L665" s="43"/>
      <c r="M665" s="43"/>
      <c r="N665" s="43"/>
      <c r="O665" s="43"/>
    </row>
    <row r="666">
      <c r="G666" s="43"/>
      <c r="H666" s="64"/>
      <c r="I666" s="64"/>
      <c r="J666" s="64"/>
      <c r="K666" s="43"/>
      <c r="L666" s="43"/>
      <c r="M666" s="43"/>
      <c r="N666" s="43"/>
      <c r="O666" s="43"/>
    </row>
    <row r="667">
      <c r="G667" s="43"/>
      <c r="H667" s="64"/>
      <c r="I667" s="64"/>
      <c r="J667" s="64"/>
      <c r="K667" s="43"/>
      <c r="L667" s="43"/>
      <c r="M667" s="43"/>
      <c r="N667" s="43"/>
      <c r="O667" s="43"/>
    </row>
    <row r="668">
      <c r="G668" s="43"/>
      <c r="H668" s="64"/>
      <c r="I668" s="64"/>
      <c r="J668" s="64"/>
      <c r="K668" s="43"/>
      <c r="L668" s="43"/>
      <c r="M668" s="43"/>
      <c r="N668" s="43"/>
      <c r="O668" s="43"/>
    </row>
    <row r="669">
      <c r="G669" s="43"/>
      <c r="H669" s="64"/>
      <c r="I669" s="64"/>
      <c r="J669" s="64"/>
      <c r="K669" s="43"/>
      <c r="L669" s="43"/>
      <c r="M669" s="43"/>
      <c r="N669" s="43"/>
      <c r="O669" s="43"/>
    </row>
    <row r="670">
      <c r="G670" s="43"/>
      <c r="H670" s="64"/>
      <c r="I670" s="64"/>
      <c r="J670" s="64"/>
      <c r="K670" s="43"/>
      <c r="L670" s="43"/>
      <c r="M670" s="43"/>
      <c r="N670" s="43"/>
      <c r="O670" s="43"/>
    </row>
    <row r="671">
      <c r="G671" s="43"/>
      <c r="H671" s="64"/>
      <c r="I671" s="64"/>
      <c r="J671" s="64"/>
      <c r="K671" s="43"/>
      <c r="L671" s="43"/>
      <c r="M671" s="43"/>
      <c r="N671" s="43"/>
      <c r="O671" s="43"/>
    </row>
    <row r="672">
      <c r="G672" s="43"/>
      <c r="H672" s="64"/>
      <c r="I672" s="64"/>
      <c r="J672" s="64"/>
      <c r="K672" s="43"/>
      <c r="L672" s="43"/>
      <c r="M672" s="43"/>
      <c r="N672" s="43"/>
      <c r="O672" s="43"/>
    </row>
    <row r="673">
      <c r="G673" s="43"/>
      <c r="H673" s="64"/>
      <c r="I673" s="64"/>
      <c r="J673" s="64"/>
      <c r="K673" s="43"/>
      <c r="L673" s="43"/>
      <c r="M673" s="43"/>
      <c r="N673" s="43"/>
      <c r="O673" s="43"/>
    </row>
    <row r="674">
      <c r="G674" s="43"/>
      <c r="H674" s="64"/>
      <c r="I674" s="64"/>
      <c r="J674" s="64"/>
      <c r="K674" s="43"/>
      <c r="L674" s="43"/>
      <c r="M674" s="43"/>
      <c r="N674" s="43"/>
      <c r="O674" s="43"/>
    </row>
    <row r="675">
      <c r="G675" s="43"/>
      <c r="H675" s="64"/>
      <c r="I675" s="64"/>
      <c r="J675" s="64"/>
      <c r="K675" s="43"/>
      <c r="L675" s="43"/>
      <c r="M675" s="43"/>
      <c r="N675" s="43"/>
      <c r="O675" s="43"/>
    </row>
    <row r="676">
      <c r="G676" s="43"/>
      <c r="H676" s="64"/>
      <c r="I676" s="64"/>
      <c r="J676" s="64"/>
      <c r="K676" s="43"/>
      <c r="L676" s="43"/>
      <c r="M676" s="43"/>
      <c r="N676" s="43"/>
      <c r="O676" s="43"/>
    </row>
    <row r="677">
      <c r="G677" s="43"/>
      <c r="H677" s="64"/>
      <c r="I677" s="64"/>
      <c r="J677" s="64"/>
      <c r="K677" s="43"/>
      <c r="L677" s="43"/>
      <c r="M677" s="43"/>
      <c r="N677" s="43"/>
      <c r="O677" s="43"/>
    </row>
    <row r="678">
      <c r="G678" s="43"/>
      <c r="H678" s="64"/>
      <c r="I678" s="64"/>
      <c r="J678" s="64"/>
      <c r="K678" s="43"/>
      <c r="L678" s="43"/>
      <c r="M678" s="43"/>
      <c r="N678" s="43"/>
      <c r="O678" s="43"/>
    </row>
    <row r="679">
      <c r="G679" s="43"/>
      <c r="H679" s="64"/>
      <c r="I679" s="64"/>
      <c r="J679" s="64"/>
      <c r="K679" s="43"/>
      <c r="L679" s="43"/>
      <c r="M679" s="43"/>
      <c r="N679" s="43"/>
      <c r="O679" s="43"/>
    </row>
    <row r="680">
      <c r="G680" s="43"/>
      <c r="H680" s="64"/>
      <c r="I680" s="64"/>
      <c r="J680" s="64"/>
      <c r="K680" s="43"/>
      <c r="L680" s="43"/>
      <c r="M680" s="43"/>
      <c r="N680" s="43"/>
      <c r="O680" s="43"/>
    </row>
    <row r="681">
      <c r="G681" s="43"/>
      <c r="H681" s="64"/>
      <c r="I681" s="64"/>
      <c r="J681" s="64"/>
      <c r="K681" s="43"/>
      <c r="L681" s="43"/>
      <c r="M681" s="43"/>
      <c r="N681" s="43"/>
      <c r="O681" s="43"/>
    </row>
    <row r="682">
      <c r="G682" s="43"/>
      <c r="H682" s="64"/>
      <c r="I682" s="64"/>
      <c r="J682" s="64"/>
      <c r="K682" s="43"/>
      <c r="L682" s="43"/>
      <c r="M682" s="43"/>
      <c r="N682" s="43"/>
      <c r="O682" s="43"/>
    </row>
    <row r="683">
      <c r="G683" s="43"/>
      <c r="H683" s="64"/>
      <c r="I683" s="64"/>
      <c r="J683" s="64"/>
      <c r="K683" s="43"/>
      <c r="L683" s="43"/>
      <c r="M683" s="43"/>
      <c r="N683" s="43"/>
      <c r="O683" s="43"/>
    </row>
    <row r="684">
      <c r="G684" s="43"/>
      <c r="H684" s="64"/>
      <c r="I684" s="64"/>
      <c r="J684" s="64"/>
      <c r="K684" s="43"/>
      <c r="L684" s="43"/>
      <c r="M684" s="43"/>
      <c r="N684" s="43"/>
      <c r="O684" s="43"/>
    </row>
    <row r="685">
      <c r="G685" s="43"/>
      <c r="H685" s="64"/>
      <c r="I685" s="64"/>
      <c r="J685" s="64"/>
      <c r="K685" s="43"/>
      <c r="L685" s="43"/>
      <c r="M685" s="43"/>
      <c r="N685" s="43"/>
      <c r="O685" s="43"/>
    </row>
    <row r="686">
      <c r="G686" s="43"/>
      <c r="H686" s="64"/>
      <c r="I686" s="64"/>
      <c r="J686" s="64"/>
      <c r="K686" s="43"/>
      <c r="L686" s="43"/>
      <c r="M686" s="43"/>
      <c r="N686" s="43"/>
      <c r="O686" s="43"/>
    </row>
    <row r="687">
      <c r="G687" s="43"/>
      <c r="H687" s="64"/>
      <c r="I687" s="64"/>
      <c r="J687" s="64"/>
      <c r="K687" s="43"/>
      <c r="L687" s="43"/>
      <c r="M687" s="43"/>
      <c r="N687" s="43"/>
      <c r="O687" s="43"/>
    </row>
    <row r="688">
      <c r="G688" s="43"/>
      <c r="H688" s="64"/>
      <c r="I688" s="64"/>
      <c r="J688" s="64"/>
      <c r="K688" s="43"/>
      <c r="L688" s="43"/>
      <c r="M688" s="43"/>
      <c r="N688" s="43"/>
      <c r="O688" s="43"/>
    </row>
    <row r="689">
      <c r="G689" s="43"/>
      <c r="H689" s="64"/>
      <c r="I689" s="64"/>
      <c r="J689" s="64"/>
      <c r="K689" s="43"/>
      <c r="L689" s="43"/>
      <c r="M689" s="43"/>
      <c r="N689" s="43"/>
      <c r="O689" s="43"/>
    </row>
    <row r="690">
      <c r="G690" s="43"/>
      <c r="H690" s="64"/>
      <c r="I690" s="64"/>
      <c r="J690" s="64"/>
      <c r="K690" s="43"/>
      <c r="L690" s="43"/>
      <c r="M690" s="43"/>
      <c r="N690" s="43"/>
      <c r="O690" s="43"/>
    </row>
    <row r="691">
      <c r="G691" s="43"/>
      <c r="H691" s="64"/>
      <c r="I691" s="64"/>
      <c r="J691" s="64"/>
      <c r="K691" s="43"/>
      <c r="L691" s="43"/>
      <c r="M691" s="43"/>
      <c r="N691" s="43"/>
      <c r="O691" s="43"/>
    </row>
    <row r="692">
      <c r="G692" s="43"/>
      <c r="H692" s="64"/>
      <c r="I692" s="64"/>
      <c r="J692" s="64"/>
      <c r="K692" s="43"/>
      <c r="L692" s="43"/>
      <c r="M692" s="43"/>
      <c r="N692" s="43"/>
      <c r="O692" s="43"/>
    </row>
    <row r="693">
      <c r="G693" s="43"/>
      <c r="H693" s="64"/>
      <c r="I693" s="64"/>
      <c r="J693" s="64"/>
      <c r="K693" s="43"/>
      <c r="L693" s="43"/>
      <c r="M693" s="43"/>
      <c r="N693" s="43"/>
      <c r="O693" s="43"/>
    </row>
    <row r="694">
      <c r="G694" s="43"/>
      <c r="H694" s="64"/>
      <c r="I694" s="64"/>
      <c r="J694" s="64"/>
      <c r="K694" s="43"/>
      <c r="L694" s="43"/>
      <c r="M694" s="43"/>
      <c r="N694" s="43"/>
      <c r="O694" s="43"/>
    </row>
    <row r="695">
      <c r="G695" s="43"/>
      <c r="H695" s="64"/>
      <c r="I695" s="64"/>
      <c r="J695" s="64"/>
      <c r="K695" s="43"/>
      <c r="L695" s="43"/>
      <c r="M695" s="43"/>
      <c r="N695" s="43"/>
      <c r="O695" s="43"/>
    </row>
    <row r="696">
      <c r="G696" s="43"/>
      <c r="H696" s="64"/>
      <c r="I696" s="64"/>
      <c r="J696" s="64"/>
      <c r="K696" s="43"/>
      <c r="L696" s="43"/>
      <c r="M696" s="43"/>
      <c r="N696" s="43"/>
      <c r="O696" s="43"/>
    </row>
    <row r="697">
      <c r="G697" s="43"/>
      <c r="H697" s="64"/>
      <c r="I697" s="64"/>
      <c r="J697" s="64"/>
      <c r="K697" s="43"/>
      <c r="L697" s="43"/>
      <c r="M697" s="43"/>
      <c r="N697" s="43"/>
      <c r="O697" s="43"/>
    </row>
    <row r="698">
      <c r="G698" s="43"/>
      <c r="H698" s="64"/>
      <c r="I698" s="64"/>
      <c r="J698" s="64"/>
      <c r="K698" s="43"/>
      <c r="L698" s="43"/>
      <c r="M698" s="43"/>
      <c r="N698" s="43"/>
      <c r="O698" s="43"/>
    </row>
    <row r="699">
      <c r="G699" s="43"/>
      <c r="H699" s="64"/>
      <c r="I699" s="64"/>
      <c r="J699" s="64"/>
      <c r="K699" s="43"/>
      <c r="L699" s="43"/>
      <c r="M699" s="43"/>
      <c r="N699" s="43"/>
      <c r="O699" s="43"/>
    </row>
    <row r="700">
      <c r="G700" s="43"/>
      <c r="H700" s="64"/>
      <c r="I700" s="64"/>
      <c r="J700" s="64"/>
      <c r="K700" s="43"/>
      <c r="L700" s="43"/>
      <c r="M700" s="43"/>
      <c r="N700" s="43"/>
      <c r="O700" s="43"/>
    </row>
    <row r="701">
      <c r="G701" s="43"/>
      <c r="H701" s="64"/>
      <c r="I701" s="64"/>
      <c r="J701" s="64"/>
      <c r="K701" s="43"/>
      <c r="L701" s="43"/>
      <c r="M701" s="43"/>
      <c r="N701" s="43"/>
      <c r="O701" s="43"/>
    </row>
    <row r="702">
      <c r="G702" s="43"/>
      <c r="H702" s="64"/>
      <c r="I702" s="64"/>
      <c r="J702" s="64"/>
      <c r="K702" s="43"/>
      <c r="L702" s="43"/>
      <c r="M702" s="43"/>
      <c r="N702" s="43"/>
      <c r="O702" s="43"/>
    </row>
    <row r="703">
      <c r="G703" s="43"/>
      <c r="H703" s="64"/>
      <c r="I703" s="64"/>
      <c r="J703" s="64"/>
      <c r="K703" s="43"/>
      <c r="L703" s="43"/>
      <c r="M703" s="43"/>
      <c r="N703" s="43"/>
      <c r="O703" s="43"/>
    </row>
    <row r="704">
      <c r="G704" s="43"/>
      <c r="H704" s="64"/>
      <c r="I704" s="64"/>
      <c r="J704" s="64"/>
      <c r="K704" s="43"/>
      <c r="L704" s="43"/>
      <c r="M704" s="43"/>
      <c r="N704" s="43"/>
      <c r="O704" s="43"/>
    </row>
    <row r="705">
      <c r="G705" s="43"/>
      <c r="H705" s="64"/>
      <c r="I705" s="64"/>
      <c r="J705" s="64"/>
      <c r="K705" s="43"/>
      <c r="L705" s="43"/>
      <c r="M705" s="43"/>
      <c r="N705" s="43"/>
      <c r="O705" s="43"/>
    </row>
    <row r="706">
      <c r="G706" s="43"/>
      <c r="H706" s="64"/>
      <c r="I706" s="64"/>
      <c r="J706" s="64"/>
      <c r="K706" s="43"/>
      <c r="L706" s="43"/>
      <c r="M706" s="43"/>
      <c r="N706" s="43"/>
      <c r="O706" s="43"/>
    </row>
    <row r="707">
      <c r="G707" s="43"/>
      <c r="H707" s="64"/>
      <c r="I707" s="64"/>
      <c r="J707" s="64"/>
      <c r="K707" s="43"/>
      <c r="L707" s="43"/>
      <c r="M707" s="43"/>
      <c r="N707" s="43"/>
      <c r="O707" s="43"/>
    </row>
    <row r="708">
      <c r="G708" s="43"/>
      <c r="H708" s="64"/>
      <c r="I708" s="64"/>
      <c r="J708" s="64"/>
      <c r="K708" s="43"/>
      <c r="L708" s="43"/>
      <c r="M708" s="43"/>
      <c r="N708" s="43"/>
      <c r="O708" s="43"/>
    </row>
    <row r="709">
      <c r="G709" s="43"/>
      <c r="H709" s="64"/>
      <c r="I709" s="64"/>
      <c r="J709" s="64"/>
      <c r="K709" s="43"/>
      <c r="L709" s="43"/>
      <c r="M709" s="43"/>
      <c r="N709" s="43"/>
      <c r="O709" s="43"/>
    </row>
    <row r="710">
      <c r="G710" s="43"/>
      <c r="H710" s="64"/>
      <c r="I710" s="64"/>
      <c r="J710" s="64"/>
      <c r="K710" s="43"/>
      <c r="L710" s="43"/>
      <c r="M710" s="43"/>
      <c r="N710" s="43"/>
      <c r="O710" s="43"/>
    </row>
    <row r="711">
      <c r="G711" s="43"/>
      <c r="H711" s="64"/>
      <c r="I711" s="64"/>
      <c r="J711" s="64"/>
      <c r="K711" s="43"/>
      <c r="L711" s="43"/>
      <c r="M711" s="43"/>
      <c r="N711" s="43"/>
      <c r="O711" s="43"/>
    </row>
    <row r="712">
      <c r="G712" s="43"/>
      <c r="H712" s="64"/>
      <c r="I712" s="64"/>
      <c r="J712" s="64"/>
      <c r="K712" s="43"/>
      <c r="L712" s="43"/>
      <c r="M712" s="43"/>
      <c r="N712" s="43"/>
      <c r="O712" s="43"/>
    </row>
    <row r="713">
      <c r="G713" s="43"/>
      <c r="H713" s="64"/>
      <c r="I713" s="64"/>
      <c r="J713" s="64"/>
      <c r="K713" s="43"/>
      <c r="L713" s="43"/>
      <c r="M713" s="43"/>
      <c r="N713" s="43"/>
      <c r="O713" s="43"/>
    </row>
    <row r="714">
      <c r="G714" s="43"/>
      <c r="H714" s="64"/>
      <c r="I714" s="64"/>
      <c r="J714" s="64"/>
      <c r="K714" s="43"/>
      <c r="L714" s="43"/>
      <c r="M714" s="43"/>
      <c r="N714" s="43"/>
      <c r="O714" s="43"/>
    </row>
    <row r="715">
      <c r="G715" s="43"/>
      <c r="H715" s="64"/>
      <c r="I715" s="64"/>
      <c r="J715" s="64"/>
      <c r="K715" s="43"/>
      <c r="L715" s="43"/>
      <c r="M715" s="43"/>
      <c r="N715" s="43"/>
      <c r="O715" s="43"/>
    </row>
    <row r="716">
      <c r="G716" s="43"/>
      <c r="H716" s="64"/>
      <c r="I716" s="64"/>
      <c r="J716" s="64"/>
      <c r="K716" s="43"/>
      <c r="L716" s="43"/>
      <c r="M716" s="43"/>
      <c r="N716" s="43"/>
      <c r="O716" s="43"/>
    </row>
    <row r="717">
      <c r="G717" s="43"/>
      <c r="H717" s="64"/>
      <c r="I717" s="64"/>
      <c r="J717" s="64"/>
      <c r="K717" s="43"/>
      <c r="L717" s="43"/>
      <c r="M717" s="43"/>
      <c r="N717" s="43"/>
      <c r="O717" s="43"/>
    </row>
    <row r="718">
      <c r="G718" s="43"/>
      <c r="H718" s="64"/>
      <c r="I718" s="64"/>
      <c r="J718" s="64"/>
      <c r="K718" s="43"/>
      <c r="L718" s="43"/>
      <c r="M718" s="43"/>
      <c r="N718" s="43"/>
      <c r="O718" s="43"/>
    </row>
    <row r="719">
      <c r="G719" s="43"/>
      <c r="H719" s="64"/>
      <c r="I719" s="64"/>
      <c r="J719" s="64"/>
      <c r="K719" s="43"/>
      <c r="L719" s="43"/>
      <c r="M719" s="43"/>
      <c r="N719" s="43"/>
      <c r="O719" s="43"/>
    </row>
    <row r="720">
      <c r="G720" s="43"/>
      <c r="H720" s="64"/>
      <c r="I720" s="64"/>
      <c r="J720" s="64"/>
      <c r="K720" s="43"/>
      <c r="L720" s="43"/>
      <c r="M720" s="43"/>
      <c r="N720" s="43"/>
      <c r="O720" s="43"/>
    </row>
    <row r="721">
      <c r="G721" s="43"/>
      <c r="H721" s="64"/>
      <c r="I721" s="64"/>
      <c r="J721" s="64"/>
      <c r="K721" s="43"/>
      <c r="L721" s="43"/>
      <c r="M721" s="43"/>
      <c r="N721" s="43"/>
      <c r="O721" s="43"/>
    </row>
    <row r="722">
      <c r="G722" s="43"/>
      <c r="H722" s="64"/>
      <c r="I722" s="64"/>
      <c r="J722" s="64"/>
      <c r="K722" s="43"/>
      <c r="L722" s="43"/>
      <c r="M722" s="43"/>
      <c r="N722" s="43"/>
      <c r="O722" s="43"/>
    </row>
    <row r="723">
      <c r="G723" s="43"/>
      <c r="H723" s="64"/>
      <c r="I723" s="64"/>
      <c r="J723" s="64"/>
      <c r="K723" s="43"/>
      <c r="L723" s="43"/>
      <c r="M723" s="43"/>
      <c r="N723" s="43"/>
      <c r="O723" s="43"/>
    </row>
    <row r="724">
      <c r="G724" s="43"/>
      <c r="H724" s="64"/>
      <c r="I724" s="64"/>
      <c r="J724" s="64"/>
      <c r="K724" s="43"/>
      <c r="L724" s="43"/>
      <c r="M724" s="43"/>
      <c r="N724" s="43"/>
      <c r="O724" s="43"/>
    </row>
    <row r="725">
      <c r="G725" s="43"/>
      <c r="H725" s="64"/>
      <c r="I725" s="64"/>
      <c r="J725" s="64"/>
      <c r="K725" s="43"/>
      <c r="L725" s="43"/>
      <c r="M725" s="43"/>
      <c r="N725" s="43"/>
      <c r="O725" s="43"/>
    </row>
    <row r="726">
      <c r="G726" s="43"/>
      <c r="H726" s="64"/>
      <c r="I726" s="64"/>
      <c r="J726" s="64"/>
      <c r="K726" s="43"/>
      <c r="L726" s="43"/>
      <c r="M726" s="43"/>
      <c r="N726" s="43"/>
      <c r="O726" s="43"/>
    </row>
    <row r="727">
      <c r="G727" s="43"/>
      <c r="H727" s="64"/>
      <c r="I727" s="64"/>
      <c r="J727" s="64"/>
      <c r="K727" s="43"/>
      <c r="L727" s="43"/>
      <c r="M727" s="43"/>
      <c r="N727" s="43"/>
      <c r="O727" s="43"/>
    </row>
    <row r="728">
      <c r="G728" s="43"/>
      <c r="H728" s="64"/>
      <c r="I728" s="64"/>
      <c r="J728" s="64"/>
      <c r="K728" s="43"/>
      <c r="L728" s="43"/>
      <c r="M728" s="43"/>
      <c r="N728" s="43"/>
      <c r="O728" s="43"/>
    </row>
    <row r="729">
      <c r="G729" s="43"/>
      <c r="H729" s="64"/>
      <c r="I729" s="64"/>
      <c r="J729" s="64"/>
      <c r="K729" s="43"/>
      <c r="L729" s="43"/>
      <c r="M729" s="43"/>
      <c r="N729" s="43"/>
      <c r="O729" s="43"/>
    </row>
    <row r="730">
      <c r="G730" s="43"/>
      <c r="H730" s="64"/>
      <c r="I730" s="64"/>
      <c r="J730" s="64"/>
      <c r="K730" s="43"/>
      <c r="L730" s="43"/>
      <c r="M730" s="43"/>
      <c r="N730" s="43"/>
      <c r="O730" s="43"/>
    </row>
    <row r="731">
      <c r="G731" s="43"/>
      <c r="H731" s="64"/>
      <c r="I731" s="64"/>
      <c r="J731" s="64"/>
      <c r="K731" s="43"/>
      <c r="L731" s="43"/>
      <c r="M731" s="43"/>
      <c r="N731" s="43"/>
      <c r="O731" s="43"/>
    </row>
    <row r="732">
      <c r="G732" s="43"/>
      <c r="H732" s="64"/>
      <c r="I732" s="64"/>
      <c r="J732" s="64"/>
      <c r="K732" s="43"/>
      <c r="L732" s="43"/>
      <c r="M732" s="43"/>
      <c r="N732" s="43"/>
      <c r="O732" s="43"/>
    </row>
    <row r="733">
      <c r="G733" s="43"/>
      <c r="H733" s="64"/>
      <c r="I733" s="64"/>
      <c r="J733" s="64"/>
      <c r="K733" s="43"/>
      <c r="L733" s="43"/>
      <c r="M733" s="43"/>
      <c r="N733" s="43"/>
      <c r="O733" s="43"/>
    </row>
    <row r="734">
      <c r="G734" s="43"/>
      <c r="H734" s="64"/>
      <c r="I734" s="64"/>
      <c r="J734" s="64"/>
      <c r="K734" s="43"/>
      <c r="L734" s="43"/>
      <c r="M734" s="43"/>
      <c r="N734" s="43"/>
      <c r="O734" s="43"/>
    </row>
    <row r="735">
      <c r="G735" s="43"/>
      <c r="H735" s="64"/>
      <c r="I735" s="64"/>
      <c r="J735" s="64"/>
      <c r="K735" s="43"/>
      <c r="L735" s="43"/>
      <c r="M735" s="43"/>
      <c r="N735" s="43"/>
      <c r="O735" s="43"/>
    </row>
    <row r="736">
      <c r="G736" s="43"/>
      <c r="H736" s="64"/>
      <c r="I736" s="64"/>
      <c r="J736" s="64"/>
      <c r="K736" s="43"/>
      <c r="L736" s="43"/>
      <c r="M736" s="43"/>
      <c r="N736" s="43"/>
      <c r="O736" s="43"/>
    </row>
    <row r="737">
      <c r="G737" s="43"/>
      <c r="H737" s="64"/>
      <c r="I737" s="64"/>
      <c r="J737" s="64"/>
      <c r="K737" s="43"/>
      <c r="L737" s="43"/>
      <c r="M737" s="43"/>
      <c r="N737" s="43"/>
      <c r="O737" s="43"/>
    </row>
    <row r="738">
      <c r="G738" s="43"/>
      <c r="H738" s="64"/>
      <c r="I738" s="64"/>
      <c r="J738" s="64"/>
      <c r="K738" s="43"/>
      <c r="L738" s="43"/>
      <c r="M738" s="43"/>
      <c r="N738" s="43"/>
      <c r="O738" s="43"/>
    </row>
    <row r="739">
      <c r="G739" s="43"/>
      <c r="H739" s="64"/>
      <c r="I739" s="64"/>
      <c r="J739" s="64"/>
      <c r="K739" s="43"/>
      <c r="L739" s="43"/>
      <c r="M739" s="43"/>
      <c r="N739" s="43"/>
      <c r="O739" s="43"/>
    </row>
    <row r="740">
      <c r="G740" s="43"/>
      <c r="H740" s="64"/>
      <c r="I740" s="64"/>
      <c r="J740" s="64"/>
      <c r="K740" s="43"/>
      <c r="L740" s="43"/>
      <c r="M740" s="43"/>
      <c r="N740" s="43"/>
      <c r="O740" s="43"/>
    </row>
    <row r="741">
      <c r="G741" s="43"/>
      <c r="H741" s="64"/>
      <c r="I741" s="64"/>
      <c r="J741" s="64"/>
      <c r="K741" s="43"/>
      <c r="L741" s="43"/>
      <c r="M741" s="43"/>
      <c r="N741" s="43"/>
      <c r="O741" s="43"/>
    </row>
    <row r="742">
      <c r="G742" s="43"/>
      <c r="H742" s="64"/>
      <c r="I742" s="64"/>
      <c r="J742" s="64"/>
      <c r="K742" s="43"/>
      <c r="L742" s="43"/>
      <c r="M742" s="43"/>
      <c r="N742" s="43"/>
      <c r="O742" s="43"/>
    </row>
    <row r="743">
      <c r="G743" s="43"/>
      <c r="H743" s="64"/>
      <c r="I743" s="64"/>
      <c r="J743" s="64"/>
      <c r="K743" s="43"/>
      <c r="L743" s="43"/>
      <c r="M743" s="43"/>
      <c r="N743" s="43"/>
      <c r="O743" s="43"/>
    </row>
    <row r="744">
      <c r="G744" s="43"/>
      <c r="H744" s="64"/>
      <c r="I744" s="64"/>
      <c r="J744" s="64"/>
      <c r="K744" s="43"/>
      <c r="L744" s="43"/>
      <c r="M744" s="43"/>
      <c r="N744" s="43"/>
      <c r="O744" s="43"/>
    </row>
    <row r="745">
      <c r="G745" s="43"/>
      <c r="H745" s="64"/>
      <c r="I745" s="64"/>
      <c r="J745" s="64"/>
      <c r="K745" s="43"/>
      <c r="L745" s="43"/>
      <c r="M745" s="43"/>
      <c r="N745" s="43"/>
      <c r="O745" s="43"/>
    </row>
    <row r="746">
      <c r="G746" s="43"/>
      <c r="H746" s="64"/>
      <c r="I746" s="64"/>
      <c r="J746" s="64"/>
      <c r="K746" s="43"/>
      <c r="L746" s="43"/>
      <c r="M746" s="43"/>
      <c r="N746" s="43"/>
      <c r="O746" s="43"/>
    </row>
    <row r="747">
      <c r="G747" s="43"/>
      <c r="H747" s="64"/>
      <c r="I747" s="64"/>
      <c r="J747" s="64"/>
      <c r="K747" s="43"/>
      <c r="L747" s="43"/>
      <c r="M747" s="43"/>
      <c r="N747" s="43"/>
      <c r="O747" s="43"/>
    </row>
    <row r="748">
      <c r="G748" s="43"/>
      <c r="H748" s="64"/>
      <c r="I748" s="64"/>
      <c r="J748" s="64"/>
      <c r="K748" s="43"/>
      <c r="L748" s="43"/>
      <c r="M748" s="43"/>
      <c r="N748" s="43"/>
      <c r="O748" s="43"/>
    </row>
    <row r="749">
      <c r="G749" s="43"/>
      <c r="H749" s="64"/>
      <c r="I749" s="64"/>
      <c r="J749" s="64"/>
      <c r="K749" s="43"/>
      <c r="L749" s="43"/>
      <c r="M749" s="43"/>
      <c r="N749" s="43"/>
      <c r="O749" s="43"/>
    </row>
    <row r="750">
      <c r="G750" s="43"/>
      <c r="H750" s="64"/>
      <c r="I750" s="64"/>
      <c r="J750" s="64"/>
      <c r="K750" s="43"/>
      <c r="L750" s="43"/>
      <c r="M750" s="43"/>
      <c r="N750" s="43"/>
      <c r="O750" s="43"/>
    </row>
    <row r="751">
      <c r="G751" s="43"/>
      <c r="H751" s="64"/>
      <c r="I751" s="64"/>
      <c r="J751" s="64"/>
      <c r="K751" s="43"/>
      <c r="L751" s="43"/>
      <c r="M751" s="43"/>
      <c r="N751" s="43"/>
      <c r="O751" s="43"/>
    </row>
    <row r="752">
      <c r="G752" s="43"/>
      <c r="H752" s="64"/>
      <c r="I752" s="64"/>
      <c r="J752" s="64"/>
      <c r="K752" s="43"/>
      <c r="L752" s="43"/>
      <c r="M752" s="43"/>
      <c r="N752" s="43"/>
      <c r="O752" s="43"/>
    </row>
    <row r="753">
      <c r="G753" s="43"/>
      <c r="H753" s="64"/>
      <c r="I753" s="64"/>
      <c r="J753" s="64"/>
      <c r="K753" s="43"/>
      <c r="L753" s="43"/>
      <c r="M753" s="43"/>
      <c r="N753" s="43"/>
      <c r="O753" s="43"/>
    </row>
    <row r="754">
      <c r="G754" s="43"/>
      <c r="H754" s="64"/>
      <c r="I754" s="64"/>
      <c r="J754" s="64"/>
      <c r="K754" s="43"/>
      <c r="L754" s="43"/>
      <c r="M754" s="43"/>
      <c r="N754" s="43"/>
      <c r="O754" s="43"/>
    </row>
    <row r="755">
      <c r="G755" s="43"/>
      <c r="H755" s="64"/>
      <c r="I755" s="64"/>
      <c r="J755" s="64"/>
      <c r="K755" s="43"/>
      <c r="L755" s="43"/>
      <c r="M755" s="43"/>
      <c r="N755" s="43"/>
      <c r="O755" s="43"/>
    </row>
    <row r="756">
      <c r="G756" s="43"/>
      <c r="H756" s="64"/>
      <c r="I756" s="64"/>
      <c r="J756" s="64"/>
      <c r="K756" s="43"/>
      <c r="L756" s="43"/>
      <c r="M756" s="43"/>
      <c r="N756" s="43"/>
      <c r="O756" s="43"/>
    </row>
    <row r="757">
      <c r="G757" s="43"/>
      <c r="H757" s="64"/>
      <c r="I757" s="64"/>
      <c r="J757" s="64"/>
      <c r="K757" s="43"/>
      <c r="L757" s="43"/>
      <c r="M757" s="43"/>
      <c r="N757" s="43"/>
      <c r="O757" s="43"/>
    </row>
    <row r="758">
      <c r="G758" s="43"/>
      <c r="H758" s="64"/>
      <c r="I758" s="64"/>
      <c r="J758" s="64"/>
      <c r="K758" s="43"/>
      <c r="L758" s="43"/>
      <c r="M758" s="43"/>
      <c r="N758" s="43"/>
      <c r="O758" s="43"/>
    </row>
    <row r="759">
      <c r="G759" s="43"/>
      <c r="H759" s="64"/>
      <c r="I759" s="64"/>
      <c r="J759" s="64"/>
      <c r="K759" s="43"/>
      <c r="L759" s="43"/>
      <c r="M759" s="43"/>
      <c r="N759" s="43"/>
      <c r="O759" s="43"/>
    </row>
    <row r="760">
      <c r="G760" s="43"/>
      <c r="H760" s="64"/>
      <c r="I760" s="64"/>
      <c r="J760" s="64"/>
      <c r="K760" s="43"/>
      <c r="L760" s="43"/>
      <c r="M760" s="43"/>
      <c r="N760" s="43"/>
      <c r="O760" s="43"/>
    </row>
    <row r="761">
      <c r="G761" s="43"/>
      <c r="H761" s="64"/>
      <c r="I761" s="64"/>
      <c r="J761" s="64"/>
      <c r="K761" s="43"/>
      <c r="L761" s="43"/>
      <c r="M761" s="43"/>
      <c r="N761" s="43"/>
      <c r="O761" s="43"/>
    </row>
    <row r="762">
      <c r="G762" s="43"/>
      <c r="H762" s="64"/>
      <c r="I762" s="64"/>
      <c r="J762" s="64"/>
      <c r="K762" s="43"/>
      <c r="L762" s="43"/>
      <c r="M762" s="43"/>
      <c r="N762" s="43"/>
      <c r="O762" s="43"/>
    </row>
    <row r="763">
      <c r="G763" s="43"/>
      <c r="H763" s="64"/>
      <c r="I763" s="64"/>
      <c r="J763" s="64"/>
      <c r="K763" s="43"/>
      <c r="L763" s="43"/>
      <c r="M763" s="43"/>
      <c r="N763" s="43"/>
      <c r="O763" s="43"/>
    </row>
    <row r="764">
      <c r="G764" s="43"/>
      <c r="H764" s="64"/>
      <c r="I764" s="64"/>
      <c r="J764" s="64"/>
      <c r="K764" s="43"/>
      <c r="L764" s="43"/>
      <c r="M764" s="43"/>
      <c r="N764" s="43"/>
      <c r="O764" s="43"/>
    </row>
    <row r="765">
      <c r="G765" s="43"/>
      <c r="H765" s="64"/>
      <c r="I765" s="64"/>
      <c r="J765" s="64"/>
      <c r="K765" s="43"/>
      <c r="L765" s="43"/>
      <c r="M765" s="43"/>
      <c r="N765" s="43"/>
      <c r="O765" s="43"/>
    </row>
    <row r="766">
      <c r="G766" s="43"/>
      <c r="H766" s="64"/>
      <c r="I766" s="64"/>
      <c r="J766" s="64"/>
      <c r="K766" s="43"/>
      <c r="L766" s="43"/>
      <c r="M766" s="43"/>
      <c r="N766" s="43"/>
      <c r="O766" s="43"/>
    </row>
    <row r="767">
      <c r="G767" s="43"/>
      <c r="H767" s="64"/>
      <c r="I767" s="64"/>
      <c r="J767" s="64"/>
      <c r="K767" s="43"/>
      <c r="L767" s="43"/>
      <c r="M767" s="43"/>
      <c r="N767" s="43"/>
      <c r="O767" s="43"/>
    </row>
    <row r="768">
      <c r="G768" s="43"/>
      <c r="H768" s="64"/>
      <c r="I768" s="64"/>
      <c r="J768" s="64"/>
      <c r="K768" s="43"/>
      <c r="L768" s="43"/>
      <c r="M768" s="43"/>
      <c r="N768" s="43"/>
      <c r="O768" s="43"/>
    </row>
    <row r="769">
      <c r="G769" s="43"/>
      <c r="H769" s="64"/>
      <c r="I769" s="64"/>
      <c r="J769" s="64"/>
      <c r="K769" s="43"/>
      <c r="L769" s="43"/>
      <c r="M769" s="43"/>
      <c r="N769" s="43"/>
      <c r="O769" s="43"/>
    </row>
    <row r="770">
      <c r="G770" s="43"/>
      <c r="H770" s="64"/>
      <c r="I770" s="64"/>
      <c r="J770" s="64"/>
      <c r="K770" s="43"/>
      <c r="L770" s="43"/>
      <c r="M770" s="43"/>
      <c r="N770" s="43"/>
      <c r="O770" s="43"/>
    </row>
    <row r="771">
      <c r="G771" s="43"/>
      <c r="H771" s="64"/>
      <c r="I771" s="64"/>
      <c r="J771" s="64"/>
      <c r="K771" s="43"/>
      <c r="L771" s="43"/>
      <c r="M771" s="43"/>
      <c r="N771" s="43"/>
      <c r="O771" s="43"/>
    </row>
    <row r="772">
      <c r="G772" s="43"/>
      <c r="H772" s="64"/>
      <c r="I772" s="64"/>
      <c r="J772" s="64"/>
      <c r="K772" s="43"/>
      <c r="L772" s="43"/>
      <c r="M772" s="43"/>
      <c r="N772" s="43"/>
      <c r="O772" s="43"/>
    </row>
    <row r="773">
      <c r="G773" s="43"/>
      <c r="H773" s="64"/>
      <c r="I773" s="64"/>
      <c r="J773" s="64"/>
      <c r="K773" s="43"/>
      <c r="L773" s="43"/>
      <c r="M773" s="43"/>
      <c r="N773" s="43"/>
      <c r="O773" s="43"/>
    </row>
    <row r="774">
      <c r="G774" s="43"/>
      <c r="H774" s="64"/>
      <c r="I774" s="64"/>
      <c r="J774" s="64"/>
      <c r="K774" s="43"/>
      <c r="L774" s="43"/>
      <c r="M774" s="43"/>
      <c r="N774" s="43"/>
      <c r="O774" s="43"/>
    </row>
    <row r="775">
      <c r="G775" s="43"/>
      <c r="H775" s="64"/>
      <c r="I775" s="64"/>
      <c r="J775" s="64"/>
      <c r="K775" s="43"/>
      <c r="L775" s="43"/>
      <c r="M775" s="43"/>
      <c r="N775" s="43"/>
      <c r="O775" s="43"/>
    </row>
    <row r="776">
      <c r="G776" s="43"/>
      <c r="H776" s="64"/>
      <c r="I776" s="64"/>
      <c r="J776" s="64"/>
      <c r="K776" s="43"/>
      <c r="L776" s="43"/>
      <c r="M776" s="43"/>
      <c r="N776" s="43"/>
      <c r="O776" s="43"/>
    </row>
    <row r="777">
      <c r="G777" s="43"/>
      <c r="H777" s="64"/>
      <c r="I777" s="64"/>
      <c r="J777" s="64"/>
      <c r="K777" s="43"/>
      <c r="L777" s="43"/>
      <c r="M777" s="43"/>
      <c r="N777" s="43"/>
      <c r="O777" s="43"/>
    </row>
    <row r="778">
      <c r="G778" s="43"/>
      <c r="H778" s="64"/>
      <c r="I778" s="64"/>
      <c r="J778" s="64"/>
      <c r="K778" s="43"/>
      <c r="L778" s="43"/>
      <c r="M778" s="43"/>
      <c r="N778" s="43"/>
      <c r="O778" s="43"/>
    </row>
    <row r="779">
      <c r="G779" s="43"/>
      <c r="H779" s="64"/>
      <c r="I779" s="64"/>
      <c r="J779" s="64"/>
      <c r="K779" s="43"/>
      <c r="L779" s="43"/>
      <c r="M779" s="43"/>
      <c r="N779" s="43"/>
      <c r="O779" s="43"/>
    </row>
    <row r="780">
      <c r="G780" s="43"/>
      <c r="H780" s="64"/>
      <c r="I780" s="64"/>
      <c r="J780" s="64"/>
      <c r="K780" s="43"/>
      <c r="L780" s="43"/>
      <c r="M780" s="43"/>
      <c r="N780" s="43"/>
      <c r="O780" s="43"/>
    </row>
    <row r="781">
      <c r="G781" s="43"/>
      <c r="H781" s="64"/>
      <c r="I781" s="64"/>
      <c r="J781" s="64"/>
      <c r="K781" s="43"/>
      <c r="L781" s="43"/>
      <c r="M781" s="43"/>
      <c r="N781" s="43"/>
      <c r="O781" s="43"/>
    </row>
    <row r="782">
      <c r="G782" s="43"/>
      <c r="H782" s="64"/>
      <c r="I782" s="64"/>
      <c r="J782" s="64"/>
      <c r="K782" s="43"/>
      <c r="L782" s="43"/>
      <c r="M782" s="43"/>
      <c r="N782" s="43"/>
      <c r="O782" s="43"/>
    </row>
    <row r="783">
      <c r="G783" s="43"/>
      <c r="H783" s="64"/>
      <c r="I783" s="64"/>
      <c r="J783" s="64"/>
      <c r="K783" s="43"/>
      <c r="L783" s="43"/>
      <c r="M783" s="43"/>
      <c r="N783" s="43"/>
      <c r="O783" s="43"/>
    </row>
    <row r="784">
      <c r="G784" s="43"/>
      <c r="H784" s="64"/>
      <c r="I784" s="64"/>
      <c r="J784" s="64"/>
      <c r="K784" s="43"/>
      <c r="L784" s="43"/>
      <c r="M784" s="43"/>
      <c r="N784" s="43"/>
      <c r="O784" s="43"/>
    </row>
    <row r="785">
      <c r="G785" s="43"/>
      <c r="H785" s="64"/>
      <c r="I785" s="64"/>
      <c r="J785" s="64"/>
      <c r="K785" s="43"/>
      <c r="L785" s="43"/>
      <c r="M785" s="43"/>
      <c r="N785" s="43"/>
      <c r="O785" s="43"/>
    </row>
    <row r="786">
      <c r="G786" s="43"/>
      <c r="H786" s="64"/>
      <c r="I786" s="64"/>
      <c r="J786" s="64"/>
      <c r="K786" s="43"/>
      <c r="L786" s="43"/>
      <c r="M786" s="43"/>
      <c r="N786" s="43"/>
      <c r="O786" s="43"/>
    </row>
    <row r="787">
      <c r="G787" s="43"/>
      <c r="H787" s="64"/>
      <c r="I787" s="64"/>
      <c r="J787" s="64"/>
      <c r="K787" s="43"/>
      <c r="L787" s="43"/>
      <c r="M787" s="43"/>
      <c r="N787" s="43"/>
      <c r="O787" s="43"/>
    </row>
    <row r="788">
      <c r="G788" s="43"/>
      <c r="H788" s="64"/>
      <c r="I788" s="64"/>
      <c r="J788" s="64"/>
      <c r="K788" s="43"/>
      <c r="L788" s="43"/>
      <c r="M788" s="43"/>
      <c r="N788" s="43"/>
      <c r="O788" s="43"/>
    </row>
    <row r="789">
      <c r="G789" s="43"/>
      <c r="H789" s="64"/>
      <c r="I789" s="64"/>
      <c r="J789" s="64"/>
      <c r="K789" s="43"/>
      <c r="L789" s="43"/>
      <c r="M789" s="43"/>
      <c r="N789" s="43"/>
      <c r="O789" s="43"/>
    </row>
    <row r="790">
      <c r="G790" s="43"/>
      <c r="H790" s="64"/>
      <c r="I790" s="64"/>
      <c r="J790" s="64"/>
      <c r="K790" s="43"/>
      <c r="L790" s="43"/>
      <c r="M790" s="43"/>
      <c r="N790" s="43"/>
      <c r="O790" s="43"/>
    </row>
    <row r="791">
      <c r="G791" s="43"/>
      <c r="H791" s="64"/>
      <c r="I791" s="64"/>
      <c r="J791" s="64"/>
      <c r="K791" s="43"/>
      <c r="L791" s="43"/>
      <c r="M791" s="43"/>
      <c r="N791" s="43"/>
      <c r="O791" s="43"/>
    </row>
    <row r="792">
      <c r="G792" s="43"/>
      <c r="H792" s="64"/>
      <c r="I792" s="64"/>
      <c r="J792" s="64"/>
      <c r="K792" s="43"/>
      <c r="L792" s="43"/>
      <c r="M792" s="43"/>
      <c r="N792" s="43"/>
      <c r="O792" s="43"/>
    </row>
    <row r="793">
      <c r="G793" s="43"/>
      <c r="H793" s="64"/>
      <c r="I793" s="64"/>
      <c r="J793" s="64"/>
      <c r="K793" s="43"/>
      <c r="L793" s="43"/>
      <c r="M793" s="43"/>
      <c r="N793" s="43"/>
      <c r="O793" s="43"/>
    </row>
    <row r="794">
      <c r="G794" s="43"/>
      <c r="H794" s="64"/>
      <c r="I794" s="64"/>
      <c r="J794" s="64"/>
      <c r="K794" s="43"/>
      <c r="L794" s="43"/>
      <c r="M794" s="43"/>
      <c r="N794" s="43"/>
      <c r="O794" s="43"/>
    </row>
    <row r="795">
      <c r="G795" s="43"/>
      <c r="H795" s="64"/>
      <c r="I795" s="64"/>
      <c r="J795" s="64"/>
      <c r="K795" s="43"/>
      <c r="L795" s="43"/>
      <c r="M795" s="43"/>
      <c r="N795" s="43"/>
      <c r="O795" s="43"/>
    </row>
    <row r="796">
      <c r="G796" s="43"/>
      <c r="H796" s="64"/>
      <c r="I796" s="64"/>
      <c r="J796" s="64"/>
      <c r="K796" s="43"/>
      <c r="L796" s="43"/>
      <c r="M796" s="43"/>
      <c r="N796" s="43"/>
      <c r="O796" s="43"/>
    </row>
    <row r="797">
      <c r="G797" s="43"/>
      <c r="H797" s="64"/>
      <c r="I797" s="64"/>
      <c r="J797" s="64"/>
      <c r="K797" s="43"/>
      <c r="L797" s="43"/>
      <c r="M797" s="43"/>
      <c r="N797" s="43"/>
      <c r="O797" s="43"/>
    </row>
    <row r="798">
      <c r="G798" s="43"/>
      <c r="H798" s="64"/>
      <c r="I798" s="64"/>
      <c r="J798" s="64"/>
      <c r="K798" s="43"/>
      <c r="L798" s="43"/>
      <c r="M798" s="43"/>
      <c r="N798" s="43"/>
      <c r="O798" s="43"/>
    </row>
    <row r="799">
      <c r="G799" s="43"/>
      <c r="H799" s="64"/>
      <c r="I799" s="64"/>
      <c r="J799" s="64"/>
      <c r="K799" s="43"/>
      <c r="L799" s="43"/>
      <c r="M799" s="43"/>
      <c r="N799" s="43"/>
      <c r="O799" s="43"/>
    </row>
    <row r="800">
      <c r="G800" s="43"/>
      <c r="H800" s="64"/>
      <c r="I800" s="64"/>
      <c r="J800" s="64"/>
      <c r="K800" s="43"/>
      <c r="L800" s="43"/>
      <c r="M800" s="43"/>
      <c r="N800" s="43"/>
      <c r="O800" s="43"/>
    </row>
    <row r="801">
      <c r="G801" s="43"/>
      <c r="H801" s="64"/>
      <c r="I801" s="64"/>
      <c r="J801" s="64"/>
      <c r="K801" s="43"/>
      <c r="L801" s="43"/>
      <c r="M801" s="43"/>
      <c r="N801" s="43"/>
      <c r="O801" s="43"/>
    </row>
    <row r="802">
      <c r="G802" s="43"/>
      <c r="H802" s="64"/>
      <c r="I802" s="64"/>
      <c r="J802" s="64"/>
      <c r="K802" s="43"/>
      <c r="L802" s="43"/>
      <c r="M802" s="43"/>
      <c r="N802" s="43"/>
      <c r="O802" s="43"/>
    </row>
    <row r="803">
      <c r="G803" s="43"/>
      <c r="H803" s="64"/>
      <c r="I803" s="64"/>
      <c r="J803" s="64"/>
      <c r="K803" s="43"/>
      <c r="L803" s="43"/>
      <c r="M803" s="43"/>
      <c r="N803" s="43"/>
      <c r="O803" s="43"/>
    </row>
    <row r="804">
      <c r="G804" s="43"/>
      <c r="H804" s="64"/>
      <c r="I804" s="64"/>
      <c r="J804" s="64"/>
      <c r="K804" s="43"/>
      <c r="L804" s="43"/>
      <c r="M804" s="43"/>
      <c r="N804" s="43"/>
      <c r="O804" s="43"/>
    </row>
    <row r="805">
      <c r="G805" s="43"/>
      <c r="H805" s="64"/>
      <c r="I805" s="64"/>
      <c r="J805" s="64"/>
      <c r="K805" s="43"/>
      <c r="L805" s="43"/>
      <c r="M805" s="43"/>
      <c r="N805" s="43"/>
      <c r="O805" s="43"/>
    </row>
    <row r="806">
      <c r="G806" s="43"/>
      <c r="H806" s="64"/>
      <c r="I806" s="64"/>
      <c r="J806" s="64"/>
      <c r="K806" s="43"/>
      <c r="L806" s="43"/>
      <c r="M806" s="43"/>
      <c r="N806" s="43"/>
      <c r="O806" s="43"/>
    </row>
    <row r="807">
      <c r="G807" s="43"/>
      <c r="H807" s="64"/>
      <c r="I807" s="64"/>
      <c r="J807" s="64"/>
      <c r="K807" s="43"/>
      <c r="L807" s="43"/>
      <c r="M807" s="43"/>
      <c r="N807" s="43"/>
      <c r="O807" s="43"/>
    </row>
    <row r="808">
      <c r="G808" s="43"/>
      <c r="H808" s="64"/>
      <c r="I808" s="64"/>
      <c r="J808" s="64"/>
      <c r="K808" s="43"/>
      <c r="L808" s="43"/>
      <c r="M808" s="43"/>
      <c r="N808" s="43"/>
      <c r="O808" s="43"/>
    </row>
    <row r="809">
      <c r="G809" s="43"/>
      <c r="H809" s="64"/>
      <c r="I809" s="64"/>
      <c r="J809" s="64"/>
      <c r="K809" s="43"/>
      <c r="L809" s="43"/>
      <c r="M809" s="43"/>
      <c r="N809" s="43"/>
      <c r="O809" s="43"/>
    </row>
    <row r="810">
      <c r="G810" s="43"/>
      <c r="H810" s="64"/>
      <c r="I810" s="64"/>
      <c r="J810" s="64"/>
      <c r="K810" s="43"/>
      <c r="L810" s="43"/>
      <c r="M810" s="43"/>
      <c r="N810" s="43"/>
      <c r="O810" s="43"/>
    </row>
    <row r="811">
      <c r="G811" s="43"/>
      <c r="H811" s="64"/>
      <c r="I811" s="64"/>
      <c r="J811" s="64"/>
      <c r="K811" s="43"/>
      <c r="L811" s="43"/>
      <c r="M811" s="43"/>
      <c r="N811" s="43"/>
      <c r="O811" s="43"/>
    </row>
    <row r="812">
      <c r="G812" s="43"/>
      <c r="H812" s="64"/>
      <c r="I812" s="64"/>
      <c r="J812" s="64"/>
      <c r="K812" s="43"/>
      <c r="L812" s="43"/>
      <c r="M812" s="43"/>
      <c r="N812" s="43"/>
      <c r="O812" s="43"/>
    </row>
    <row r="813">
      <c r="G813" s="43"/>
      <c r="H813" s="64"/>
      <c r="I813" s="64"/>
      <c r="J813" s="64"/>
      <c r="K813" s="43"/>
      <c r="L813" s="43"/>
      <c r="M813" s="43"/>
      <c r="N813" s="43"/>
      <c r="O813" s="43"/>
    </row>
    <row r="814">
      <c r="G814" s="43"/>
      <c r="H814" s="64"/>
      <c r="I814" s="64"/>
      <c r="J814" s="64"/>
      <c r="K814" s="43"/>
      <c r="L814" s="43"/>
      <c r="M814" s="43"/>
      <c r="N814" s="43"/>
      <c r="O814" s="43"/>
    </row>
    <row r="815">
      <c r="G815" s="43"/>
      <c r="H815" s="64"/>
      <c r="I815" s="64"/>
      <c r="J815" s="64"/>
      <c r="K815" s="43"/>
      <c r="L815" s="43"/>
      <c r="M815" s="43"/>
      <c r="N815" s="43"/>
      <c r="O815" s="43"/>
    </row>
    <row r="816">
      <c r="G816" s="43"/>
      <c r="H816" s="64"/>
      <c r="I816" s="64"/>
      <c r="J816" s="64"/>
      <c r="K816" s="43"/>
      <c r="L816" s="43"/>
      <c r="M816" s="43"/>
      <c r="N816" s="43"/>
      <c r="O816" s="43"/>
    </row>
    <row r="817">
      <c r="G817" s="43"/>
      <c r="H817" s="64"/>
      <c r="I817" s="64"/>
      <c r="J817" s="64"/>
      <c r="K817" s="43"/>
      <c r="L817" s="43"/>
      <c r="M817" s="43"/>
      <c r="N817" s="43"/>
      <c r="O817" s="43"/>
    </row>
    <row r="818">
      <c r="G818" s="43"/>
      <c r="H818" s="64"/>
      <c r="I818" s="64"/>
      <c r="J818" s="64"/>
      <c r="K818" s="43"/>
      <c r="L818" s="43"/>
      <c r="M818" s="43"/>
      <c r="N818" s="43"/>
      <c r="O818" s="43"/>
    </row>
    <row r="819">
      <c r="G819" s="43"/>
      <c r="H819" s="64"/>
      <c r="I819" s="64"/>
      <c r="J819" s="64"/>
      <c r="K819" s="43"/>
      <c r="L819" s="43"/>
      <c r="M819" s="43"/>
      <c r="N819" s="43"/>
      <c r="O819" s="43"/>
    </row>
    <row r="820">
      <c r="G820" s="43"/>
      <c r="H820" s="64"/>
      <c r="I820" s="64"/>
      <c r="J820" s="64"/>
      <c r="K820" s="43"/>
      <c r="L820" s="43"/>
      <c r="M820" s="43"/>
      <c r="N820" s="43"/>
      <c r="O820" s="43"/>
    </row>
    <row r="821">
      <c r="G821" s="43"/>
      <c r="H821" s="64"/>
      <c r="I821" s="64"/>
      <c r="J821" s="64"/>
      <c r="K821" s="43"/>
      <c r="L821" s="43"/>
      <c r="M821" s="43"/>
      <c r="N821" s="43"/>
      <c r="O821" s="43"/>
    </row>
    <row r="822">
      <c r="G822" s="43"/>
      <c r="H822" s="64"/>
      <c r="I822" s="64"/>
      <c r="J822" s="64"/>
      <c r="K822" s="43"/>
      <c r="L822" s="43"/>
      <c r="M822" s="43"/>
      <c r="N822" s="43"/>
      <c r="O822" s="43"/>
    </row>
    <row r="823">
      <c r="G823" s="43"/>
      <c r="H823" s="64"/>
      <c r="I823" s="64"/>
      <c r="J823" s="64"/>
      <c r="K823" s="43"/>
      <c r="L823" s="43"/>
      <c r="M823" s="43"/>
      <c r="N823" s="43"/>
      <c r="O823" s="43"/>
    </row>
    <row r="824">
      <c r="G824" s="43"/>
      <c r="H824" s="64"/>
      <c r="I824" s="64"/>
      <c r="J824" s="64"/>
      <c r="K824" s="43"/>
      <c r="L824" s="43"/>
      <c r="M824" s="43"/>
      <c r="N824" s="43"/>
      <c r="O824" s="43"/>
    </row>
    <row r="825">
      <c r="G825" s="43"/>
      <c r="H825" s="64"/>
      <c r="I825" s="64"/>
      <c r="J825" s="64"/>
      <c r="K825" s="43"/>
      <c r="L825" s="43"/>
      <c r="M825" s="43"/>
      <c r="N825" s="43"/>
      <c r="O825" s="43"/>
    </row>
    <row r="826">
      <c r="G826" s="43"/>
      <c r="H826" s="64"/>
      <c r="I826" s="64"/>
      <c r="J826" s="64"/>
      <c r="K826" s="43"/>
      <c r="L826" s="43"/>
      <c r="M826" s="43"/>
      <c r="N826" s="43"/>
      <c r="O826" s="43"/>
    </row>
    <row r="827">
      <c r="G827" s="43"/>
      <c r="H827" s="64"/>
      <c r="I827" s="64"/>
      <c r="J827" s="64"/>
      <c r="K827" s="43"/>
      <c r="L827" s="43"/>
      <c r="M827" s="43"/>
      <c r="N827" s="43"/>
      <c r="O827" s="43"/>
    </row>
    <row r="828">
      <c r="G828" s="43"/>
      <c r="H828" s="64"/>
      <c r="I828" s="64"/>
      <c r="J828" s="64"/>
      <c r="K828" s="43"/>
      <c r="L828" s="43"/>
      <c r="M828" s="43"/>
      <c r="N828" s="43"/>
      <c r="O828" s="43"/>
    </row>
    <row r="829">
      <c r="G829" s="43"/>
      <c r="H829" s="64"/>
      <c r="I829" s="64"/>
      <c r="J829" s="64"/>
      <c r="K829" s="43"/>
      <c r="L829" s="43"/>
      <c r="M829" s="43"/>
      <c r="N829" s="43"/>
      <c r="O829" s="43"/>
    </row>
    <row r="830">
      <c r="G830" s="43"/>
      <c r="H830" s="64"/>
      <c r="I830" s="64"/>
      <c r="J830" s="64"/>
      <c r="K830" s="43"/>
      <c r="L830" s="43"/>
      <c r="M830" s="43"/>
      <c r="N830" s="43"/>
      <c r="O830" s="43"/>
    </row>
    <row r="831">
      <c r="G831" s="43"/>
      <c r="H831" s="64"/>
      <c r="I831" s="64"/>
      <c r="J831" s="64"/>
      <c r="K831" s="43"/>
      <c r="L831" s="43"/>
      <c r="M831" s="43"/>
      <c r="N831" s="43"/>
      <c r="O831" s="43"/>
    </row>
    <row r="832">
      <c r="G832" s="43"/>
      <c r="H832" s="64"/>
      <c r="I832" s="64"/>
      <c r="J832" s="64"/>
      <c r="K832" s="43"/>
      <c r="L832" s="43"/>
      <c r="M832" s="43"/>
      <c r="N832" s="43"/>
      <c r="O832" s="43"/>
    </row>
    <row r="833">
      <c r="G833" s="43"/>
      <c r="H833" s="64"/>
      <c r="I833" s="64"/>
      <c r="J833" s="64"/>
      <c r="K833" s="43"/>
      <c r="L833" s="43"/>
      <c r="M833" s="43"/>
      <c r="N833" s="43"/>
      <c r="O833" s="43"/>
    </row>
    <row r="834">
      <c r="G834" s="43"/>
      <c r="H834" s="64"/>
      <c r="I834" s="64"/>
      <c r="J834" s="64"/>
      <c r="K834" s="43"/>
      <c r="L834" s="43"/>
      <c r="M834" s="43"/>
      <c r="N834" s="43"/>
      <c r="O834" s="43"/>
    </row>
    <row r="835">
      <c r="G835" s="43"/>
      <c r="H835" s="64"/>
      <c r="I835" s="64"/>
      <c r="J835" s="64"/>
      <c r="K835" s="43"/>
      <c r="L835" s="43"/>
      <c r="M835" s="43"/>
      <c r="N835" s="43"/>
      <c r="O835" s="43"/>
    </row>
    <row r="836">
      <c r="G836" s="43"/>
      <c r="H836" s="64"/>
      <c r="I836" s="64"/>
      <c r="J836" s="64"/>
      <c r="K836" s="43"/>
      <c r="L836" s="43"/>
      <c r="M836" s="43"/>
      <c r="N836" s="43"/>
      <c r="O836" s="43"/>
    </row>
    <row r="837">
      <c r="G837" s="43"/>
      <c r="H837" s="64"/>
      <c r="I837" s="64"/>
      <c r="J837" s="64"/>
      <c r="K837" s="43"/>
      <c r="L837" s="43"/>
      <c r="M837" s="43"/>
      <c r="N837" s="43"/>
      <c r="O837" s="43"/>
    </row>
    <row r="838">
      <c r="G838" s="43"/>
      <c r="H838" s="64"/>
      <c r="I838" s="64"/>
      <c r="J838" s="64"/>
      <c r="K838" s="43"/>
      <c r="L838" s="43"/>
      <c r="M838" s="43"/>
      <c r="N838" s="43"/>
      <c r="O838" s="43"/>
    </row>
    <row r="839">
      <c r="G839" s="43"/>
      <c r="H839" s="64"/>
      <c r="I839" s="64"/>
      <c r="J839" s="64"/>
      <c r="K839" s="43"/>
      <c r="L839" s="43"/>
      <c r="M839" s="43"/>
      <c r="N839" s="43"/>
      <c r="O839" s="43"/>
    </row>
    <row r="840">
      <c r="G840" s="43"/>
      <c r="H840" s="64"/>
      <c r="I840" s="64"/>
      <c r="J840" s="64"/>
      <c r="K840" s="43"/>
      <c r="L840" s="43"/>
      <c r="M840" s="43"/>
      <c r="N840" s="43"/>
      <c r="O840" s="43"/>
    </row>
    <row r="841">
      <c r="G841" s="43"/>
      <c r="H841" s="64"/>
      <c r="I841" s="64"/>
      <c r="J841" s="64"/>
      <c r="K841" s="43"/>
      <c r="L841" s="43"/>
      <c r="M841" s="43"/>
      <c r="N841" s="43"/>
      <c r="O841" s="43"/>
    </row>
    <row r="842">
      <c r="G842" s="43"/>
      <c r="H842" s="64"/>
      <c r="I842" s="64"/>
      <c r="J842" s="64"/>
      <c r="K842" s="43"/>
      <c r="L842" s="43"/>
      <c r="M842" s="43"/>
      <c r="N842" s="43"/>
      <c r="O842" s="43"/>
    </row>
    <row r="843">
      <c r="G843" s="43"/>
      <c r="H843" s="64"/>
      <c r="I843" s="64"/>
      <c r="J843" s="64"/>
      <c r="K843" s="43"/>
      <c r="L843" s="43"/>
      <c r="M843" s="43"/>
      <c r="N843" s="43"/>
      <c r="O843" s="43"/>
    </row>
    <row r="844">
      <c r="G844" s="43"/>
      <c r="H844" s="64"/>
      <c r="I844" s="64"/>
      <c r="J844" s="64"/>
      <c r="K844" s="43"/>
      <c r="L844" s="43"/>
      <c r="M844" s="43"/>
      <c r="N844" s="43"/>
      <c r="O844" s="43"/>
    </row>
    <row r="845">
      <c r="G845" s="43"/>
      <c r="H845" s="64"/>
      <c r="I845" s="64"/>
      <c r="J845" s="64"/>
      <c r="K845" s="43"/>
      <c r="L845" s="43"/>
      <c r="M845" s="43"/>
      <c r="N845" s="43"/>
      <c r="O845" s="43"/>
    </row>
    <row r="846">
      <c r="G846" s="43"/>
      <c r="H846" s="64"/>
      <c r="I846" s="64"/>
      <c r="J846" s="64"/>
      <c r="K846" s="43"/>
      <c r="L846" s="43"/>
      <c r="M846" s="43"/>
      <c r="N846" s="43"/>
      <c r="O846" s="43"/>
    </row>
    <row r="847">
      <c r="G847" s="43"/>
      <c r="H847" s="64"/>
      <c r="I847" s="64"/>
      <c r="J847" s="64"/>
      <c r="K847" s="43"/>
      <c r="L847" s="43"/>
      <c r="M847" s="43"/>
      <c r="N847" s="43"/>
      <c r="O847" s="43"/>
    </row>
    <row r="848">
      <c r="G848" s="43"/>
      <c r="H848" s="64"/>
      <c r="I848" s="64"/>
      <c r="J848" s="64"/>
      <c r="K848" s="43"/>
      <c r="L848" s="43"/>
      <c r="M848" s="43"/>
      <c r="N848" s="43"/>
      <c r="O848" s="43"/>
    </row>
    <row r="849">
      <c r="G849" s="43"/>
      <c r="H849" s="64"/>
      <c r="I849" s="64"/>
      <c r="J849" s="64"/>
      <c r="K849" s="43"/>
      <c r="L849" s="43"/>
      <c r="M849" s="43"/>
      <c r="N849" s="43"/>
      <c r="O849" s="43"/>
    </row>
    <row r="850">
      <c r="G850" s="43"/>
      <c r="H850" s="64"/>
      <c r="I850" s="64"/>
      <c r="J850" s="64"/>
      <c r="K850" s="43"/>
      <c r="L850" s="43"/>
      <c r="M850" s="43"/>
      <c r="N850" s="43"/>
      <c r="O850" s="43"/>
    </row>
    <row r="851">
      <c r="G851" s="43"/>
      <c r="H851" s="64"/>
      <c r="I851" s="64"/>
      <c r="J851" s="64"/>
      <c r="K851" s="43"/>
      <c r="L851" s="43"/>
      <c r="M851" s="43"/>
      <c r="N851" s="43"/>
      <c r="O851" s="43"/>
    </row>
    <row r="852">
      <c r="G852" s="43"/>
      <c r="H852" s="64"/>
      <c r="I852" s="64"/>
      <c r="J852" s="64"/>
      <c r="K852" s="43"/>
      <c r="L852" s="43"/>
      <c r="M852" s="43"/>
      <c r="N852" s="43"/>
      <c r="O852" s="43"/>
    </row>
    <row r="853">
      <c r="G853" s="43"/>
      <c r="H853" s="64"/>
      <c r="I853" s="64"/>
      <c r="J853" s="64"/>
      <c r="K853" s="43"/>
      <c r="L853" s="43"/>
      <c r="M853" s="43"/>
      <c r="N853" s="43"/>
      <c r="O853" s="43"/>
    </row>
    <row r="854">
      <c r="G854" s="43"/>
      <c r="H854" s="64"/>
      <c r="I854" s="64"/>
      <c r="J854" s="64"/>
      <c r="K854" s="43"/>
      <c r="L854" s="43"/>
      <c r="M854" s="43"/>
      <c r="N854" s="43"/>
      <c r="O854" s="43"/>
    </row>
    <row r="855">
      <c r="G855" s="43"/>
      <c r="H855" s="64"/>
      <c r="I855" s="64"/>
      <c r="J855" s="64"/>
      <c r="K855" s="43"/>
      <c r="L855" s="43"/>
      <c r="M855" s="43"/>
      <c r="N855" s="43"/>
      <c r="O855" s="43"/>
    </row>
    <row r="856">
      <c r="G856" s="43"/>
      <c r="H856" s="64"/>
      <c r="I856" s="64"/>
      <c r="J856" s="64"/>
      <c r="K856" s="43"/>
      <c r="L856" s="43"/>
      <c r="M856" s="43"/>
      <c r="N856" s="43"/>
      <c r="O856" s="43"/>
    </row>
    <row r="857">
      <c r="G857" s="43"/>
      <c r="H857" s="64"/>
      <c r="I857" s="64"/>
      <c r="J857" s="64"/>
      <c r="K857" s="43"/>
      <c r="L857" s="43"/>
      <c r="M857" s="43"/>
      <c r="N857" s="43"/>
      <c r="O857" s="43"/>
    </row>
    <row r="858">
      <c r="G858" s="43"/>
      <c r="H858" s="64"/>
      <c r="I858" s="64"/>
      <c r="J858" s="64"/>
      <c r="K858" s="43"/>
      <c r="L858" s="43"/>
      <c r="M858" s="43"/>
      <c r="N858" s="43"/>
      <c r="O858" s="43"/>
    </row>
    <row r="859">
      <c r="G859" s="43"/>
      <c r="H859" s="64"/>
      <c r="I859" s="64"/>
      <c r="J859" s="64"/>
      <c r="K859" s="43"/>
      <c r="L859" s="43"/>
      <c r="M859" s="43"/>
      <c r="N859" s="43"/>
      <c r="O859" s="43"/>
    </row>
    <row r="860">
      <c r="G860" s="43"/>
      <c r="H860" s="64"/>
      <c r="I860" s="64"/>
      <c r="J860" s="64"/>
      <c r="K860" s="43"/>
      <c r="L860" s="43"/>
      <c r="M860" s="43"/>
      <c r="N860" s="43"/>
      <c r="O860" s="43"/>
    </row>
    <row r="861">
      <c r="G861" s="43"/>
      <c r="H861" s="64"/>
      <c r="I861" s="64"/>
      <c r="J861" s="64"/>
      <c r="K861" s="43"/>
      <c r="L861" s="43"/>
      <c r="M861" s="43"/>
      <c r="N861" s="43"/>
      <c r="O861" s="43"/>
    </row>
    <row r="862">
      <c r="G862" s="43"/>
      <c r="H862" s="64"/>
      <c r="I862" s="64"/>
      <c r="J862" s="64"/>
      <c r="K862" s="43"/>
      <c r="L862" s="43"/>
      <c r="M862" s="43"/>
      <c r="N862" s="43"/>
      <c r="O862" s="43"/>
    </row>
    <row r="863">
      <c r="G863" s="43"/>
      <c r="H863" s="64"/>
      <c r="I863" s="64"/>
      <c r="J863" s="64"/>
      <c r="K863" s="43"/>
      <c r="L863" s="43"/>
      <c r="M863" s="43"/>
      <c r="N863" s="43"/>
      <c r="O863" s="43"/>
    </row>
    <row r="864">
      <c r="G864" s="43"/>
      <c r="H864" s="64"/>
      <c r="I864" s="64"/>
      <c r="J864" s="64"/>
      <c r="K864" s="43"/>
      <c r="L864" s="43"/>
      <c r="M864" s="43"/>
      <c r="N864" s="43"/>
      <c r="O864" s="43"/>
    </row>
    <row r="865">
      <c r="G865" s="43"/>
      <c r="H865" s="64"/>
      <c r="I865" s="64"/>
      <c r="J865" s="64"/>
      <c r="K865" s="43"/>
      <c r="L865" s="43"/>
      <c r="M865" s="43"/>
      <c r="N865" s="43"/>
      <c r="O865" s="43"/>
    </row>
    <row r="866">
      <c r="G866" s="43"/>
      <c r="H866" s="64"/>
      <c r="I866" s="64"/>
      <c r="J866" s="64"/>
      <c r="K866" s="43"/>
      <c r="L866" s="43"/>
      <c r="M866" s="43"/>
      <c r="N866" s="43"/>
      <c r="O866" s="43"/>
    </row>
    <row r="867">
      <c r="G867" s="43"/>
      <c r="H867" s="64"/>
      <c r="I867" s="64"/>
      <c r="J867" s="64"/>
      <c r="K867" s="43"/>
      <c r="L867" s="43"/>
      <c r="M867" s="43"/>
      <c r="N867" s="43"/>
      <c r="O867" s="43"/>
    </row>
    <row r="868">
      <c r="G868" s="43"/>
      <c r="H868" s="64"/>
      <c r="I868" s="64"/>
      <c r="J868" s="64"/>
      <c r="K868" s="43"/>
      <c r="L868" s="43"/>
      <c r="M868" s="43"/>
      <c r="N868" s="43"/>
      <c r="O868" s="43"/>
    </row>
    <row r="869">
      <c r="G869" s="43"/>
      <c r="H869" s="64"/>
      <c r="I869" s="64"/>
      <c r="J869" s="64"/>
      <c r="K869" s="43"/>
      <c r="L869" s="43"/>
      <c r="M869" s="43"/>
      <c r="N869" s="43"/>
      <c r="O869" s="43"/>
    </row>
    <row r="870">
      <c r="G870" s="43"/>
      <c r="H870" s="64"/>
      <c r="I870" s="64"/>
      <c r="J870" s="64"/>
      <c r="K870" s="43"/>
      <c r="L870" s="43"/>
      <c r="M870" s="43"/>
      <c r="N870" s="43"/>
      <c r="O870" s="43"/>
    </row>
    <row r="871">
      <c r="G871" s="43"/>
      <c r="H871" s="64"/>
      <c r="I871" s="64"/>
      <c r="J871" s="64"/>
      <c r="K871" s="43"/>
      <c r="L871" s="43"/>
      <c r="M871" s="43"/>
      <c r="N871" s="43"/>
      <c r="O871" s="43"/>
    </row>
    <row r="872">
      <c r="G872" s="43"/>
      <c r="H872" s="64"/>
      <c r="I872" s="64"/>
      <c r="J872" s="64"/>
      <c r="K872" s="43"/>
      <c r="L872" s="43"/>
      <c r="M872" s="43"/>
      <c r="N872" s="43"/>
      <c r="O872" s="43"/>
    </row>
    <row r="873">
      <c r="G873" s="43"/>
      <c r="H873" s="64"/>
      <c r="I873" s="64"/>
      <c r="J873" s="64"/>
      <c r="K873" s="43"/>
      <c r="L873" s="43"/>
      <c r="M873" s="43"/>
      <c r="N873" s="43"/>
      <c r="O873" s="43"/>
    </row>
    <row r="874">
      <c r="G874" s="43"/>
      <c r="H874" s="64"/>
      <c r="I874" s="64"/>
      <c r="J874" s="64"/>
      <c r="K874" s="43"/>
      <c r="L874" s="43"/>
      <c r="M874" s="43"/>
      <c r="N874" s="43"/>
      <c r="O874" s="43"/>
    </row>
    <row r="875">
      <c r="G875" s="43"/>
      <c r="H875" s="64"/>
      <c r="I875" s="64"/>
      <c r="J875" s="64"/>
      <c r="K875" s="43"/>
      <c r="L875" s="43"/>
      <c r="M875" s="43"/>
      <c r="N875" s="43"/>
      <c r="O875" s="43"/>
    </row>
    <row r="876">
      <c r="G876" s="43"/>
      <c r="H876" s="64"/>
      <c r="I876" s="64"/>
      <c r="J876" s="64"/>
      <c r="K876" s="43"/>
      <c r="L876" s="43"/>
      <c r="M876" s="43"/>
      <c r="N876" s="43"/>
      <c r="O876" s="43"/>
    </row>
    <row r="877">
      <c r="G877" s="43"/>
      <c r="H877" s="64"/>
      <c r="I877" s="64"/>
      <c r="J877" s="64"/>
      <c r="K877" s="43"/>
      <c r="L877" s="43"/>
      <c r="M877" s="43"/>
      <c r="N877" s="43"/>
      <c r="O877" s="43"/>
    </row>
    <row r="878">
      <c r="G878" s="43"/>
      <c r="H878" s="64"/>
      <c r="I878" s="64"/>
      <c r="J878" s="64"/>
      <c r="K878" s="43"/>
      <c r="L878" s="43"/>
      <c r="M878" s="43"/>
      <c r="N878" s="43"/>
      <c r="O878" s="43"/>
    </row>
    <row r="879">
      <c r="G879" s="43"/>
      <c r="H879" s="64"/>
      <c r="I879" s="64"/>
      <c r="J879" s="64"/>
      <c r="K879" s="43"/>
      <c r="L879" s="43"/>
      <c r="M879" s="43"/>
      <c r="N879" s="43"/>
      <c r="O879" s="43"/>
    </row>
    <row r="880">
      <c r="G880" s="43"/>
      <c r="H880" s="64"/>
      <c r="I880" s="64"/>
      <c r="J880" s="64"/>
      <c r="K880" s="43"/>
      <c r="L880" s="43"/>
      <c r="M880" s="43"/>
      <c r="N880" s="43"/>
      <c r="O880" s="43"/>
    </row>
    <row r="881">
      <c r="G881" s="43"/>
      <c r="H881" s="64"/>
      <c r="I881" s="64"/>
      <c r="J881" s="64"/>
      <c r="K881" s="43"/>
      <c r="L881" s="43"/>
      <c r="M881" s="43"/>
      <c r="N881" s="43"/>
      <c r="O881" s="43"/>
    </row>
    <row r="882">
      <c r="G882" s="43"/>
      <c r="H882" s="64"/>
      <c r="I882" s="64"/>
      <c r="J882" s="64"/>
      <c r="K882" s="43"/>
      <c r="L882" s="43"/>
      <c r="M882" s="43"/>
      <c r="N882" s="43"/>
      <c r="O882" s="43"/>
    </row>
    <row r="883">
      <c r="G883" s="43"/>
      <c r="H883" s="64"/>
      <c r="I883" s="64"/>
      <c r="J883" s="64"/>
      <c r="K883" s="43"/>
      <c r="L883" s="43"/>
      <c r="M883" s="43"/>
      <c r="N883" s="43"/>
      <c r="O883" s="43"/>
    </row>
    <row r="884">
      <c r="G884" s="43"/>
      <c r="H884" s="64"/>
      <c r="I884" s="64"/>
      <c r="J884" s="64"/>
      <c r="K884" s="43"/>
      <c r="L884" s="43"/>
      <c r="M884" s="43"/>
      <c r="N884" s="43"/>
      <c r="O884" s="43"/>
    </row>
    <row r="885">
      <c r="G885" s="43"/>
      <c r="H885" s="64"/>
      <c r="I885" s="64"/>
      <c r="J885" s="64"/>
      <c r="K885" s="43"/>
      <c r="L885" s="43"/>
      <c r="M885" s="43"/>
      <c r="N885" s="43"/>
      <c r="O885" s="43"/>
    </row>
    <row r="886">
      <c r="G886" s="43"/>
      <c r="H886" s="64"/>
      <c r="I886" s="64"/>
      <c r="J886" s="64"/>
      <c r="K886" s="43"/>
      <c r="L886" s="43"/>
      <c r="M886" s="43"/>
      <c r="N886" s="43"/>
      <c r="O886" s="43"/>
    </row>
    <row r="887">
      <c r="G887" s="43"/>
      <c r="H887" s="64"/>
      <c r="I887" s="64"/>
      <c r="J887" s="64"/>
      <c r="K887" s="43"/>
      <c r="L887" s="43"/>
      <c r="M887" s="43"/>
      <c r="N887" s="43"/>
      <c r="O887" s="43"/>
    </row>
    <row r="888">
      <c r="G888" s="43"/>
      <c r="H888" s="64"/>
      <c r="I888" s="64"/>
      <c r="J888" s="64"/>
      <c r="K888" s="43"/>
      <c r="L888" s="43"/>
      <c r="M888" s="43"/>
      <c r="N888" s="43"/>
      <c r="O888" s="43"/>
    </row>
    <row r="889">
      <c r="G889" s="43"/>
      <c r="H889" s="64"/>
      <c r="I889" s="64"/>
      <c r="J889" s="64"/>
      <c r="K889" s="43"/>
      <c r="L889" s="43"/>
      <c r="M889" s="43"/>
      <c r="N889" s="43"/>
      <c r="O889" s="43"/>
    </row>
    <row r="890">
      <c r="G890" s="43"/>
      <c r="H890" s="64"/>
      <c r="I890" s="64"/>
      <c r="J890" s="64"/>
      <c r="K890" s="43"/>
      <c r="L890" s="43"/>
      <c r="M890" s="43"/>
      <c r="N890" s="43"/>
      <c r="O890" s="43"/>
    </row>
    <row r="891">
      <c r="G891" s="43"/>
      <c r="H891" s="64"/>
      <c r="I891" s="64"/>
      <c r="J891" s="64"/>
      <c r="K891" s="43"/>
      <c r="L891" s="43"/>
      <c r="M891" s="43"/>
      <c r="N891" s="43"/>
      <c r="O891" s="43"/>
    </row>
    <row r="892">
      <c r="G892" s="43"/>
      <c r="H892" s="64"/>
      <c r="I892" s="64"/>
      <c r="J892" s="64"/>
      <c r="K892" s="43"/>
      <c r="L892" s="43"/>
      <c r="M892" s="43"/>
      <c r="N892" s="43"/>
      <c r="O892" s="43"/>
    </row>
    <row r="893">
      <c r="G893" s="43"/>
      <c r="H893" s="64"/>
      <c r="I893" s="64"/>
      <c r="J893" s="64"/>
      <c r="K893" s="43"/>
      <c r="L893" s="43"/>
      <c r="M893" s="43"/>
      <c r="N893" s="43"/>
      <c r="O893" s="43"/>
    </row>
    <row r="894">
      <c r="G894" s="43"/>
      <c r="H894" s="64"/>
      <c r="I894" s="64"/>
      <c r="J894" s="64"/>
      <c r="K894" s="43"/>
      <c r="L894" s="43"/>
      <c r="M894" s="43"/>
      <c r="N894" s="43"/>
      <c r="O894" s="43"/>
    </row>
    <row r="895">
      <c r="G895" s="43"/>
      <c r="H895" s="64"/>
      <c r="I895" s="64"/>
      <c r="J895" s="64"/>
      <c r="K895" s="43"/>
      <c r="L895" s="43"/>
      <c r="M895" s="43"/>
      <c r="N895" s="43"/>
      <c r="O895" s="43"/>
    </row>
    <row r="896">
      <c r="G896" s="43"/>
      <c r="H896" s="64"/>
      <c r="I896" s="64"/>
      <c r="J896" s="64"/>
      <c r="K896" s="43"/>
      <c r="L896" s="43"/>
      <c r="M896" s="43"/>
      <c r="N896" s="43"/>
      <c r="O896" s="43"/>
    </row>
    <row r="897">
      <c r="G897" s="43"/>
      <c r="H897" s="64"/>
      <c r="I897" s="64"/>
      <c r="J897" s="64"/>
      <c r="K897" s="43"/>
      <c r="L897" s="43"/>
      <c r="M897" s="43"/>
      <c r="N897" s="43"/>
      <c r="O897" s="43"/>
    </row>
    <row r="898">
      <c r="G898" s="43"/>
      <c r="H898" s="64"/>
      <c r="I898" s="64"/>
      <c r="J898" s="64"/>
      <c r="K898" s="43"/>
      <c r="L898" s="43"/>
      <c r="M898" s="43"/>
      <c r="N898" s="43"/>
      <c r="O898" s="43"/>
    </row>
    <row r="899">
      <c r="G899" s="43"/>
      <c r="H899" s="64"/>
      <c r="I899" s="64"/>
      <c r="J899" s="64"/>
      <c r="K899" s="43"/>
      <c r="L899" s="43"/>
      <c r="M899" s="43"/>
      <c r="N899" s="43"/>
      <c r="O899" s="43"/>
    </row>
    <row r="900">
      <c r="G900" s="43"/>
      <c r="H900" s="64"/>
      <c r="I900" s="64"/>
      <c r="J900" s="64"/>
      <c r="K900" s="43"/>
      <c r="L900" s="43"/>
      <c r="M900" s="43"/>
      <c r="N900" s="43"/>
      <c r="O900" s="43"/>
    </row>
    <row r="901">
      <c r="G901" s="43"/>
      <c r="H901" s="64"/>
      <c r="I901" s="64"/>
      <c r="J901" s="64"/>
      <c r="K901" s="43"/>
      <c r="L901" s="43"/>
      <c r="M901" s="43"/>
      <c r="N901" s="43"/>
      <c r="O901" s="43"/>
    </row>
    <row r="902">
      <c r="G902" s="43"/>
      <c r="H902" s="64"/>
      <c r="I902" s="64"/>
      <c r="J902" s="64"/>
      <c r="K902" s="43"/>
      <c r="L902" s="43"/>
      <c r="M902" s="43"/>
      <c r="N902" s="43"/>
      <c r="O902" s="43"/>
    </row>
    <row r="903">
      <c r="G903" s="43"/>
      <c r="H903" s="64"/>
      <c r="I903" s="64"/>
      <c r="J903" s="64"/>
      <c r="K903" s="43"/>
      <c r="L903" s="43"/>
      <c r="M903" s="43"/>
      <c r="N903" s="43"/>
      <c r="O903" s="43"/>
    </row>
    <row r="904">
      <c r="G904" s="43"/>
      <c r="H904" s="64"/>
      <c r="I904" s="64"/>
      <c r="J904" s="64"/>
      <c r="K904" s="43"/>
      <c r="L904" s="43"/>
      <c r="M904" s="43"/>
      <c r="N904" s="43"/>
      <c r="O904" s="43"/>
    </row>
    <row r="905">
      <c r="G905" s="43"/>
      <c r="H905" s="64"/>
      <c r="I905" s="64"/>
      <c r="J905" s="64"/>
      <c r="K905" s="43"/>
      <c r="L905" s="43"/>
      <c r="M905" s="43"/>
      <c r="N905" s="43"/>
      <c r="O905" s="43"/>
    </row>
    <row r="906">
      <c r="G906" s="43"/>
      <c r="H906" s="64"/>
      <c r="I906" s="64"/>
      <c r="J906" s="64"/>
      <c r="K906" s="43"/>
      <c r="L906" s="43"/>
      <c r="M906" s="43"/>
      <c r="N906" s="43"/>
      <c r="O906" s="43"/>
    </row>
    <row r="907">
      <c r="G907" s="43"/>
      <c r="H907" s="64"/>
      <c r="I907" s="64"/>
      <c r="J907" s="64"/>
      <c r="K907" s="43"/>
      <c r="L907" s="43"/>
      <c r="M907" s="43"/>
      <c r="N907" s="43"/>
      <c r="O907" s="43"/>
    </row>
    <row r="908">
      <c r="G908" s="43"/>
      <c r="H908" s="64"/>
      <c r="I908" s="64"/>
      <c r="J908" s="64"/>
      <c r="K908" s="43"/>
      <c r="L908" s="43"/>
      <c r="M908" s="43"/>
      <c r="N908" s="43"/>
      <c r="O908" s="43"/>
    </row>
    <row r="909">
      <c r="G909" s="43"/>
      <c r="H909" s="64"/>
      <c r="I909" s="64"/>
      <c r="J909" s="64"/>
      <c r="K909" s="43"/>
      <c r="L909" s="43"/>
      <c r="M909" s="43"/>
      <c r="N909" s="43"/>
      <c r="O909" s="43"/>
    </row>
    <row r="910">
      <c r="G910" s="43"/>
      <c r="H910" s="64"/>
      <c r="I910" s="64"/>
      <c r="J910" s="64"/>
      <c r="K910" s="43"/>
      <c r="L910" s="43"/>
      <c r="M910" s="43"/>
      <c r="N910" s="43"/>
      <c r="O910" s="43"/>
    </row>
    <row r="911">
      <c r="G911" s="43"/>
      <c r="H911" s="64"/>
      <c r="I911" s="64"/>
      <c r="J911" s="64"/>
      <c r="K911" s="43"/>
      <c r="L911" s="43"/>
      <c r="M911" s="43"/>
      <c r="N911" s="43"/>
      <c r="O911" s="43"/>
    </row>
    <row r="912">
      <c r="G912" s="43"/>
      <c r="H912" s="64"/>
      <c r="I912" s="64"/>
      <c r="J912" s="64"/>
      <c r="K912" s="43"/>
      <c r="L912" s="43"/>
      <c r="M912" s="43"/>
      <c r="N912" s="43"/>
      <c r="O912" s="43"/>
    </row>
    <row r="913">
      <c r="G913" s="43"/>
      <c r="H913" s="64"/>
      <c r="I913" s="64"/>
      <c r="J913" s="64"/>
      <c r="K913" s="43"/>
      <c r="L913" s="43"/>
      <c r="M913" s="43"/>
      <c r="N913" s="43"/>
      <c r="O913" s="43"/>
    </row>
    <row r="914">
      <c r="G914" s="43"/>
      <c r="H914" s="64"/>
      <c r="I914" s="64"/>
      <c r="J914" s="64"/>
      <c r="K914" s="43"/>
      <c r="L914" s="43"/>
      <c r="M914" s="43"/>
      <c r="N914" s="43"/>
      <c r="O914" s="43"/>
    </row>
    <row r="915">
      <c r="G915" s="43"/>
      <c r="H915" s="64"/>
      <c r="I915" s="64"/>
      <c r="J915" s="64"/>
      <c r="K915" s="43"/>
      <c r="L915" s="43"/>
      <c r="M915" s="43"/>
      <c r="N915" s="43"/>
      <c r="O915" s="43"/>
    </row>
    <row r="916">
      <c r="G916" s="43"/>
      <c r="H916" s="64"/>
      <c r="I916" s="64"/>
      <c r="J916" s="64"/>
      <c r="K916" s="43"/>
      <c r="L916" s="43"/>
      <c r="M916" s="43"/>
      <c r="N916" s="43"/>
      <c r="O916" s="43"/>
    </row>
    <row r="917">
      <c r="G917" s="43"/>
      <c r="H917" s="64"/>
      <c r="I917" s="64"/>
      <c r="J917" s="64"/>
      <c r="K917" s="43"/>
      <c r="L917" s="43"/>
      <c r="M917" s="43"/>
      <c r="N917" s="43"/>
      <c r="O917" s="43"/>
    </row>
    <row r="918">
      <c r="G918" s="43"/>
      <c r="H918" s="64"/>
      <c r="I918" s="64"/>
      <c r="J918" s="64"/>
      <c r="K918" s="43"/>
      <c r="L918" s="43"/>
      <c r="M918" s="43"/>
      <c r="N918" s="43"/>
      <c r="O918" s="43"/>
    </row>
    <row r="919">
      <c r="G919" s="43"/>
      <c r="H919" s="64"/>
      <c r="I919" s="64"/>
      <c r="J919" s="64"/>
      <c r="K919" s="43"/>
      <c r="L919" s="43"/>
      <c r="M919" s="43"/>
      <c r="N919" s="43"/>
      <c r="O919" s="43"/>
    </row>
    <row r="920">
      <c r="G920" s="43"/>
      <c r="H920" s="64"/>
      <c r="I920" s="64"/>
      <c r="J920" s="64"/>
      <c r="K920" s="43"/>
      <c r="L920" s="43"/>
      <c r="M920" s="43"/>
      <c r="N920" s="43"/>
      <c r="O920" s="43"/>
    </row>
    <row r="921">
      <c r="G921" s="43"/>
      <c r="H921" s="64"/>
      <c r="I921" s="64"/>
      <c r="J921" s="64"/>
      <c r="K921" s="43"/>
      <c r="L921" s="43"/>
      <c r="M921" s="43"/>
      <c r="N921" s="43"/>
      <c r="O921" s="43"/>
    </row>
    <row r="922">
      <c r="G922" s="43"/>
      <c r="H922" s="64"/>
      <c r="I922" s="64"/>
      <c r="J922" s="64"/>
      <c r="K922" s="43"/>
      <c r="L922" s="43"/>
      <c r="M922" s="43"/>
      <c r="N922" s="43"/>
      <c r="O922" s="43"/>
    </row>
    <row r="923">
      <c r="G923" s="43"/>
      <c r="H923" s="64"/>
      <c r="I923" s="64"/>
      <c r="J923" s="64"/>
      <c r="K923" s="43"/>
      <c r="L923" s="43"/>
      <c r="M923" s="43"/>
      <c r="N923" s="43"/>
      <c r="O923" s="43"/>
    </row>
    <row r="924">
      <c r="G924" s="43"/>
      <c r="H924" s="64"/>
      <c r="I924" s="64"/>
      <c r="J924" s="64"/>
      <c r="K924" s="43"/>
      <c r="L924" s="43"/>
      <c r="M924" s="43"/>
      <c r="N924" s="43"/>
      <c r="O924" s="43"/>
    </row>
    <row r="925">
      <c r="G925" s="43"/>
      <c r="H925" s="64"/>
      <c r="I925" s="64"/>
      <c r="J925" s="64"/>
      <c r="K925" s="43"/>
      <c r="L925" s="43"/>
      <c r="M925" s="43"/>
      <c r="N925" s="43"/>
      <c r="O925" s="43"/>
    </row>
    <row r="926">
      <c r="G926" s="43"/>
      <c r="H926" s="64"/>
      <c r="I926" s="64"/>
      <c r="J926" s="64"/>
      <c r="K926" s="43"/>
      <c r="L926" s="43"/>
      <c r="M926" s="43"/>
      <c r="N926" s="43"/>
      <c r="O926" s="43"/>
    </row>
    <row r="927">
      <c r="G927" s="43"/>
      <c r="H927" s="64"/>
      <c r="I927" s="64"/>
      <c r="J927" s="64"/>
      <c r="K927" s="43"/>
      <c r="L927" s="43"/>
      <c r="M927" s="43"/>
      <c r="N927" s="43"/>
      <c r="O927" s="43"/>
    </row>
    <row r="928">
      <c r="G928" s="43"/>
      <c r="H928" s="64"/>
      <c r="I928" s="64"/>
      <c r="J928" s="64"/>
      <c r="K928" s="43"/>
      <c r="L928" s="43"/>
      <c r="M928" s="43"/>
      <c r="N928" s="43"/>
      <c r="O928" s="43"/>
    </row>
    <row r="929">
      <c r="G929" s="43"/>
      <c r="H929" s="64"/>
      <c r="I929" s="64"/>
      <c r="J929" s="64"/>
      <c r="K929" s="43"/>
      <c r="L929" s="43"/>
      <c r="M929" s="43"/>
      <c r="N929" s="43"/>
      <c r="O929" s="43"/>
    </row>
    <row r="930">
      <c r="G930" s="43"/>
      <c r="H930" s="64"/>
      <c r="I930" s="64"/>
      <c r="J930" s="64"/>
      <c r="K930" s="43"/>
      <c r="L930" s="43"/>
      <c r="M930" s="43"/>
      <c r="N930" s="43"/>
      <c r="O930" s="43"/>
    </row>
    <row r="931">
      <c r="G931" s="43"/>
      <c r="H931" s="64"/>
      <c r="I931" s="64"/>
      <c r="J931" s="64"/>
      <c r="K931" s="43"/>
      <c r="L931" s="43"/>
      <c r="M931" s="43"/>
      <c r="N931" s="43"/>
      <c r="O931" s="43"/>
    </row>
    <row r="932">
      <c r="G932" s="43"/>
      <c r="H932" s="64"/>
      <c r="I932" s="64"/>
      <c r="J932" s="64"/>
      <c r="K932" s="43"/>
      <c r="L932" s="43"/>
      <c r="M932" s="43"/>
      <c r="N932" s="43"/>
      <c r="O932" s="43"/>
    </row>
    <row r="933">
      <c r="G933" s="43"/>
      <c r="H933" s="64"/>
      <c r="I933" s="64"/>
      <c r="J933" s="64"/>
      <c r="K933" s="43"/>
      <c r="L933" s="43"/>
      <c r="M933" s="43"/>
      <c r="N933" s="43"/>
      <c r="O933" s="43"/>
    </row>
    <row r="934">
      <c r="G934" s="43"/>
      <c r="H934" s="64"/>
      <c r="I934" s="64"/>
      <c r="J934" s="64"/>
      <c r="K934" s="43"/>
      <c r="L934" s="43"/>
      <c r="M934" s="43"/>
      <c r="N934" s="43"/>
      <c r="O934" s="43"/>
    </row>
    <row r="935">
      <c r="G935" s="43"/>
      <c r="H935" s="64"/>
      <c r="I935" s="64"/>
      <c r="J935" s="64"/>
      <c r="K935" s="43"/>
      <c r="L935" s="43"/>
      <c r="M935" s="43"/>
      <c r="N935" s="43"/>
      <c r="O935" s="43"/>
    </row>
    <row r="936">
      <c r="G936" s="43"/>
      <c r="H936" s="64"/>
      <c r="I936" s="64"/>
      <c r="J936" s="64"/>
      <c r="K936" s="43"/>
      <c r="L936" s="43"/>
      <c r="M936" s="43"/>
      <c r="N936" s="43"/>
      <c r="O936" s="43"/>
    </row>
    <row r="937">
      <c r="G937" s="43"/>
      <c r="H937" s="64"/>
      <c r="I937" s="64"/>
      <c r="J937" s="64"/>
      <c r="K937" s="43"/>
      <c r="L937" s="43"/>
      <c r="M937" s="43"/>
      <c r="N937" s="43"/>
      <c r="O937" s="43"/>
    </row>
    <row r="938">
      <c r="G938" s="43"/>
      <c r="H938" s="64"/>
      <c r="I938" s="64"/>
      <c r="J938" s="64"/>
      <c r="K938" s="43"/>
      <c r="L938" s="43"/>
      <c r="M938" s="43"/>
      <c r="N938" s="43"/>
      <c r="O938" s="43"/>
    </row>
    <row r="939">
      <c r="G939" s="43"/>
      <c r="H939" s="64"/>
      <c r="I939" s="64"/>
      <c r="J939" s="64"/>
      <c r="K939" s="43"/>
      <c r="L939" s="43"/>
      <c r="M939" s="43"/>
      <c r="N939" s="43"/>
      <c r="O939" s="43"/>
    </row>
    <row r="940">
      <c r="G940" s="43"/>
      <c r="H940" s="64"/>
      <c r="I940" s="64"/>
      <c r="J940" s="64"/>
      <c r="K940" s="43"/>
      <c r="L940" s="43"/>
      <c r="M940" s="43"/>
      <c r="N940" s="43"/>
      <c r="O940" s="43"/>
    </row>
    <row r="941">
      <c r="G941" s="43"/>
      <c r="H941" s="64"/>
      <c r="I941" s="64"/>
      <c r="J941" s="64"/>
      <c r="K941" s="43"/>
      <c r="L941" s="43"/>
      <c r="M941" s="43"/>
      <c r="N941" s="43"/>
      <c r="O941" s="43"/>
    </row>
    <row r="942">
      <c r="G942" s="43"/>
      <c r="H942" s="64"/>
      <c r="I942" s="64"/>
      <c r="J942" s="64"/>
      <c r="K942" s="43"/>
      <c r="L942" s="43"/>
      <c r="M942" s="43"/>
      <c r="N942" s="43"/>
      <c r="O942" s="43"/>
    </row>
    <row r="943">
      <c r="G943" s="43"/>
      <c r="H943" s="64"/>
      <c r="I943" s="64"/>
      <c r="J943" s="64"/>
      <c r="K943" s="43"/>
      <c r="L943" s="43"/>
      <c r="M943" s="43"/>
      <c r="N943" s="43"/>
      <c r="O943" s="43"/>
    </row>
    <row r="944">
      <c r="G944" s="43"/>
      <c r="H944" s="64"/>
      <c r="I944" s="64"/>
      <c r="J944" s="64"/>
      <c r="K944" s="43"/>
      <c r="L944" s="43"/>
      <c r="M944" s="43"/>
      <c r="N944" s="43"/>
      <c r="O944" s="43"/>
    </row>
    <row r="945">
      <c r="G945" s="43"/>
      <c r="H945" s="64"/>
      <c r="I945" s="64"/>
      <c r="J945" s="64"/>
      <c r="K945" s="43"/>
      <c r="L945" s="43"/>
      <c r="M945" s="43"/>
      <c r="N945" s="43"/>
      <c r="O945" s="43"/>
    </row>
    <row r="946">
      <c r="G946" s="43"/>
      <c r="H946" s="64"/>
      <c r="I946" s="64"/>
      <c r="J946" s="64"/>
      <c r="K946" s="43"/>
      <c r="L946" s="43"/>
      <c r="M946" s="43"/>
      <c r="N946" s="43"/>
      <c r="O946" s="43"/>
    </row>
    <row r="947">
      <c r="G947" s="43"/>
      <c r="H947" s="64"/>
      <c r="I947" s="64"/>
      <c r="J947" s="64"/>
      <c r="K947" s="43"/>
      <c r="L947" s="43"/>
      <c r="M947" s="43"/>
      <c r="N947" s="43"/>
      <c r="O947" s="43"/>
    </row>
    <row r="948">
      <c r="G948" s="43"/>
      <c r="H948" s="64"/>
      <c r="I948" s="64"/>
      <c r="J948" s="64"/>
      <c r="K948" s="43"/>
      <c r="L948" s="43"/>
      <c r="M948" s="43"/>
      <c r="N948" s="43"/>
      <c r="O948" s="43"/>
    </row>
    <row r="949">
      <c r="G949" s="43"/>
      <c r="H949" s="64"/>
      <c r="I949" s="64"/>
      <c r="J949" s="64"/>
      <c r="K949" s="43"/>
      <c r="L949" s="43"/>
      <c r="M949" s="43"/>
      <c r="N949" s="43"/>
      <c r="O949" s="43"/>
    </row>
    <row r="950">
      <c r="G950" s="43"/>
      <c r="H950" s="64"/>
      <c r="I950" s="64"/>
      <c r="J950" s="64"/>
      <c r="K950" s="43"/>
      <c r="L950" s="43"/>
      <c r="M950" s="43"/>
      <c r="N950" s="43"/>
      <c r="O950" s="43"/>
    </row>
    <row r="951">
      <c r="G951" s="43"/>
      <c r="H951" s="64"/>
      <c r="I951" s="64"/>
      <c r="J951" s="64"/>
      <c r="K951" s="43"/>
      <c r="L951" s="43"/>
      <c r="M951" s="43"/>
      <c r="N951" s="43"/>
      <c r="O951" s="43"/>
    </row>
    <row r="952">
      <c r="G952" s="43"/>
      <c r="H952" s="64"/>
      <c r="I952" s="64"/>
      <c r="J952" s="64"/>
      <c r="K952" s="43"/>
      <c r="L952" s="43"/>
      <c r="M952" s="43"/>
      <c r="N952" s="43"/>
      <c r="O952" s="43"/>
    </row>
    <row r="953">
      <c r="G953" s="43"/>
      <c r="H953" s="64"/>
      <c r="I953" s="64"/>
      <c r="J953" s="64"/>
      <c r="K953" s="43"/>
      <c r="L953" s="43"/>
      <c r="M953" s="43"/>
      <c r="N953" s="43"/>
      <c r="O953" s="43"/>
    </row>
    <row r="954">
      <c r="G954" s="43"/>
      <c r="H954" s="64"/>
      <c r="I954" s="64"/>
      <c r="J954" s="64"/>
      <c r="K954" s="43"/>
      <c r="L954" s="43"/>
      <c r="M954" s="43"/>
      <c r="N954" s="43"/>
      <c r="O954" s="43"/>
    </row>
    <row r="955">
      <c r="G955" s="43"/>
      <c r="H955" s="64"/>
      <c r="I955" s="64"/>
      <c r="J955" s="64"/>
      <c r="K955" s="43"/>
      <c r="L955" s="43"/>
      <c r="M955" s="43"/>
      <c r="N955" s="43"/>
      <c r="O955" s="43"/>
    </row>
    <row r="956">
      <c r="G956" s="43"/>
      <c r="H956" s="64"/>
      <c r="I956" s="64"/>
      <c r="J956" s="64"/>
      <c r="K956" s="43"/>
      <c r="L956" s="43"/>
      <c r="M956" s="43"/>
      <c r="N956" s="43"/>
      <c r="O956" s="43"/>
    </row>
    <row r="957">
      <c r="G957" s="43"/>
      <c r="H957" s="64"/>
      <c r="I957" s="64"/>
      <c r="J957" s="64"/>
      <c r="K957" s="43"/>
      <c r="L957" s="43"/>
      <c r="M957" s="43"/>
      <c r="N957" s="43"/>
      <c r="O957" s="43"/>
    </row>
    <row r="958">
      <c r="G958" s="43"/>
      <c r="H958" s="64"/>
      <c r="I958" s="64"/>
      <c r="J958" s="64"/>
      <c r="K958" s="43"/>
      <c r="L958" s="43"/>
      <c r="M958" s="43"/>
      <c r="N958" s="43"/>
      <c r="O958" s="43"/>
    </row>
    <row r="959">
      <c r="G959" s="43"/>
      <c r="H959" s="64"/>
      <c r="I959" s="64"/>
      <c r="J959" s="64"/>
      <c r="K959" s="43"/>
      <c r="L959" s="43"/>
      <c r="M959" s="43"/>
      <c r="N959" s="43"/>
      <c r="O959" s="43"/>
    </row>
    <row r="960">
      <c r="G960" s="43"/>
      <c r="H960" s="64"/>
      <c r="I960" s="64"/>
      <c r="J960" s="64"/>
      <c r="K960" s="43"/>
      <c r="L960" s="43"/>
      <c r="M960" s="43"/>
      <c r="N960" s="43"/>
      <c r="O960" s="43"/>
    </row>
    <row r="961">
      <c r="G961" s="43"/>
      <c r="H961" s="64"/>
      <c r="I961" s="64"/>
      <c r="J961" s="64"/>
      <c r="K961" s="43"/>
      <c r="L961" s="43"/>
      <c r="M961" s="43"/>
      <c r="N961" s="43"/>
      <c r="O961" s="43"/>
    </row>
    <row r="962">
      <c r="G962" s="43"/>
      <c r="H962" s="64"/>
      <c r="I962" s="64"/>
      <c r="J962" s="64"/>
      <c r="K962" s="43"/>
      <c r="L962" s="43"/>
      <c r="M962" s="43"/>
      <c r="N962" s="43"/>
      <c r="O962" s="43"/>
    </row>
    <row r="963">
      <c r="G963" s="43"/>
      <c r="H963" s="64"/>
      <c r="I963" s="64"/>
      <c r="J963" s="64"/>
      <c r="K963" s="43"/>
      <c r="L963" s="43"/>
      <c r="M963" s="43"/>
      <c r="N963" s="43"/>
      <c r="O963" s="43"/>
    </row>
    <row r="964">
      <c r="G964" s="43"/>
      <c r="H964" s="64"/>
      <c r="I964" s="64"/>
      <c r="J964" s="64"/>
      <c r="K964" s="43"/>
      <c r="L964" s="43"/>
      <c r="M964" s="43"/>
      <c r="N964" s="43"/>
      <c r="O964" s="43"/>
    </row>
    <row r="965">
      <c r="G965" s="43"/>
      <c r="H965" s="64"/>
      <c r="I965" s="64"/>
      <c r="J965" s="64"/>
      <c r="K965" s="43"/>
      <c r="L965" s="43"/>
      <c r="M965" s="43"/>
      <c r="N965" s="43"/>
      <c r="O965" s="43"/>
    </row>
    <row r="966">
      <c r="G966" s="43"/>
      <c r="H966" s="64"/>
      <c r="I966" s="64"/>
      <c r="J966" s="64"/>
      <c r="K966" s="43"/>
      <c r="L966" s="43"/>
      <c r="M966" s="43"/>
      <c r="N966" s="43"/>
      <c r="O966" s="43"/>
    </row>
    <row r="967">
      <c r="G967" s="43"/>
      <c r="H967" s="64"/>
      <c r="I967" s="64"/>
      <c r="J967" s="64"/>
      <c r="K967" s="43"/>
      <c r="L967" s="43"/>
      <c r="M967" s="43"/>
      <c r="N967" s="43"/>
      <c r="O967" s="43"/>
    </row>
    <row r="968">
      <c r="G968" s="43"/>
      <c r="H968" s="64"/>
      <c r="I968" s="64"/>
      <c r="J968" s="64"/>
      <c r="K968" s="43"/>
      <c r="L968" s="43"/>
      <c r="M968" s="43"/>
      <c r="N968" s="43"/>
      <c r="O968" s="43"/>
    </row>
    <row r="969">
      <c r="G969" s="43"/>
      <c r="H969" s="64"/>
      <c r="I969" s="64"/>
      <c r="J969" s="64"/>
      <c r="K969" s="43"/>
      <c r="L969" s="43"/>
      <c r="M969" s="43"/>
      <c r="N969" s="43"/>
      <c r="O969" s="43"/>
    </row>
    <row r="970">
      <c r="G970" s="43"/>
      <c r="H970" s="64"/>
      <c r="I970" s="64"/>
      <c r="J970" s="64"/>
      <c r="K970" s="43"/>
      <c r="L970" s="43"/>
      <c r="M970" s="43"/>
      <c r="N970" s="43"/>
      <c r="O970" s="43"/>
    </row>
    <row r="971">
      <c r="G971" s="43"/>
      <c r="H971" s="64"/>
      <c r="I971" s="64"/>
      <c r="J971" s="64"/>
      <c r="K971" s="43"/>
      <c r="L971" s="43"/>
      <c r="M971" s="43"/>
      <c r="N971" s="43"/>
      <c r="O971" s="43"/>
    </row>
    <row r="972">
      <c r="G972" s="43"/>
      <c r="H972" s="64"/>
      <c r="I972" s="64"/>
      <c r="J972" s="64"/>
      <c r="K972" s="43"/>
      <c r="L972" s="43"/>
      <c r="M972" s="43"/>
      <c r="N972" s="43"/>
      <c r="O972" s="43"/>
    </row>
    <row r="973">
      <c r="G973" s="43"/>
      <c r="H973" s="64"/>
      <c r="I973" s="64"/>
      <c r="J973" s="64"/>
      <c r="K973" s="43"/>
      <c r="L973" s="43"/>
      <c r="M973" s="43"/>
      <c r="N973" s="43"/>
      <c r="O973" s="43"/>
    </row>
    <row r="974">
      <c r="G974" s="43"/>
      <c r="H974" s="64"/>
      <c r="I974" s="64"/>
      <c r="J974" s="64"/>
      <c r="K974" s="43"/>
      <c r="L974" s="43"/>
      <c r="M974" s="43"/>
      <c r="N974" s="43"/>
      <c r="O974" s="43"/>
    </row>
    <row r="975">
      <c r="G975" s="43"/>
      <c r="H975" s="64"/>
      <c r="I975" s="64"/>
      <c r="J975" s="64"/>
      <c r="K975" s="43"/>
      <c r="L975" s="43"/>
      <c r="M975" s="43"/>
      <c r="N975" s="43"/>
      <c r="O975" s="43"/>
    </row>
    <row r="976">
      <c r="G976" s="43"/>
      <c r="H976" s="64"/>
      <c r="I976" s="64"/>
      <c r="J976" s="64"/>
      <c r="K976" s="43"/>
      <c r="L976" s="43"/>
      <c r="M976" s="43"/>
      <c r="N976" s="43"/>
      <c r="O976" s="43"/>
    </row>
    <row r="977">
      <c r="G977" s="43"/>
      <c r="H977" s="64"/>
      <c r="I977" s="64"/>
      <c r="J977" s="64"/>
      <c r="K977" s="43"/>
      <c r="L977" s="43"/>
      <c r="M977" s="43"/>
      <c r="N977" s="43"/>
      <c r="O977" s="43"/>
    </row>
    <row r="978">
      <c r="G978" s="43"/>
      <c r="H978" s="64"/>
      <c r="I978" s="64"/>
      <c r="J978" s="64"/>
      <c r="K978" s="43"/>
      <c r="L978" s="43"/>
      <c r="M978" s="43"/>
      <c r="N978" s="43"/>
      <c r="O978" s="43"/>
    </row>
    <row r="979">
      <c r="G979" s="43"/>
      <c r="H979" s="64"/>
      <c r="I979" s="64"/>
      <c r="J979" s="64"/>
      <c r="K979" s="43"/>
      <c r="L979" s="43"/>
      <c r="M979" s="43"/>
      <c r="N979" s="43"/>
      <c r="O979" s="43"/>
    </row>
    <row r="980">
      <c r="G980" s="43"/>
      <c r="H980" s="64"/>
      <c r="I980" s="64"/>
      <c r="J980" s="64"/>
      <c r="K980" s="43"/>
      <c r="L980" s="43"/>
      <c r="M980" s="43"/>
      <c r="N980" s="43"/>
      <c r="O980" s="43"/>
    </row>
    <row r="981">
      <c r="G981" s="43"/>
      <c r="H981" s="64"/>
      <c r="I981" s="64"/>
      <c r="J981" s="64"/>
      <c r="K981" s="43"/>
      <c r="L981" s="43"/>
      <c r="M981" s="43"/>
      <c r="N981" s="43"/>
      <c r="O981" s="43"/>
    </row>
    <row r="982">
      <c r="G982" s="43"/>
      <c r="H982" s="64"/>
      <c r="I982" s="64"/>
      <c r="J982" s="64"/>
      <c r="K982" s="43"/>
      <c r="L982" s="43"/>
      <c r="M982" s="43"/>
      <c r="N982" s="43"/>
      <c r="O982" s="43"/>
    </row>
    <row r="983">
      <c r="G983" s="43"/>
      <c r="H983" s="64"/>
      <c r="I983" s="64"/>
      <c r="J983" s="64"/>
      <c r="K983" s="43"/>
      <c r="L983" s="43"/>
      <c r="M983" s="43"/>
      <c r="N983" s="43"/>
      <c r="O983" s="43"/>
    </row>
    <row r="984">
      <c r="G984" s="43"/>
      <c r="H984" s="64"/>
      <c r="I984" s="64"/>
      <c r="J984" s="64"/>
      <c r="K984" s="43"/>
      <c r="L984" s="43"/>
      <c r="M984" s="43"/>
      <c r="N984" s="43"/>
      <c r="O984" s="43"/>
    </row>
    <row r="985">
      <c r="G985" s="43"/>
      <c r="H985" s="64"/>
      <c r="I985" s="64"/>
      <c r="J985" s="64"/>
      <c r="K985" s="43"/>
      <c r="L985" s="43"/>
      <c r="M985" s="43"/>
      <c r="N985" s="43"/>
      <c r="O985" s="43"/>
    </row>
    <row r="986">
      <c r="G986" s="43"/>
      <c r="H986" s="64"/>
      <c r="I986" s="64"/>
      <c r="J986" s="64"/>
      <c r="K986" s="43"/>
      <c r="L986" s="43"/>
      <c r="M986" s="43"/>
      <c r="N986" s="43"/>
      <c r="O986" s="43"/>
    </row>
    <row r="987">
      <c r="G987" s="43"/>
      <c r="H987" s="64"/>
      <c r="I987" s="64"/>
      <c r="J987" s="64"/>
      <c r="K987" s="43"/>
      <c r="L987" s="43"/>
      <c r="M987" s="43"/>
      <c r="N987" s="43"/>
      <c r="O987" s="43"/>
    </row>
    <row r="988">
      <c r="G988" s="43"/>
      <c r="H988" s="64"/>
      <c r="I988" s="64"/>
      <c r="J988" s="64"/>
      <c r="K988" s="43"/>
      <c r="L988" s="43"/>
      <c r="M988" s="43"/>
      <c r="N988" s="43"/>
      <c r="O988" s="43"/>
    </row>
    <row r="989">
      <c r="G989" s="43"/>
      <c r="H989" s="64"/>
      <c r="I989" s="64"/>
      <c r="J989" s="64"/>
      <c r="K989" s="43"/>
      <c r="L989" s="43"/>
      <c r="M989" s="43"/>
      <c r="N989" s="43"/>
      <c r="O989" s="43"/>
    </row>
    <row r="990">
      <c r="G990" s="43"/>
      <c r="H990" s="64"/>
      <c r="I990" s="64"/>
      <c r="J990" s="64"/>
      <c r="K990" s="43"/>
      <c r="L990" s="43"/>
      <c r="M990" s="43"/>
      <c r="N990" s="43"/>
      <c r="O990" s="43"/>
    </row>
    <row r="991">
      <c r="G991" s="43"/>
      <c r="H991" s="64"/>
      <c r="I991" s="64"/>
      <c r="J991" s="64"/>
      <c r="K991" s="43"/>
      <c r="L991" s="43"/>
      <c r="M991" s="43"/>
      <c r="N991" s="43"/>
      <c r="O991" s="43"/>
    </row>
    <row r="992">
      <c r="G992" s="43"/>
      <c r="H992" s="64"/>
      <c r="I992" s="64"/>
      <c r="J992" s="64"/>
      <c r="K992" s="43"/>
      <c r="L992" s="43"/>
      <c r="M992" s="43"/>
      <c r="N992" s="43"/>
      <c r="O992" s="43"/>
    </row>
    <row r="993">
      <c r="G993" s="43"/>
      <c r="H993" s="64"/>
      <c r="I993" s="64"/>
      <c r="J993" s="64"/>
      <c r="K993" s="43"/>
      <c r="L993" s="43"/>
      <c r="M993" s="43"/>
      <c r="N993" s="43"/>
      <c r="O993" s="43"/>
    </row>
    <row r="994">
      <c r="G994" s="43"/>
      <c r="H994" s="64"/>
      <c r="I994" s="64"/>
      <c r="J994" s="64"/>
      <c r="K994" s="43"/>
      <c r="L994" s="43"/>
      <c r="M994" s="43"/>
      <c r="N994" s="43"/>
      <c r="O994" s="43"/>
    </row>
    <row r="995">
      <c r="G995" s="43"/>
      <c r="H995" s="64"/>
      <c r="I995" s="64"/>
      <c r="J995" s="64"/>
      <c r="K995" s="43"/>
      <c r="L995" s="43"/>
      <c r="M995" s="43"/>
      <c r="N995" s="43"/>
      <c r="O995" s="43"/>
    </row>
    <row r="996">
      <c r="G996" s="43"/>
      <c r="H996" s="64"/>
      <c r="I996" s="64"/>
      <c r="J996" s="64"/>
      <c r="K996" s="43"/>
      <c r="L996" s="43"/>
      <c r="M996" s="43"/>
      <c r="N996" s="43"/>
      <c r="O996" s="43"/>
    </row>
    <row r="997">
      <c r="G997" s="43"/>
      <c r="H997" s="64"/>
      <c r="I997" s="64"/>
      <c r="J997" s="64"/>
      <c r="K997" s="43"/>
      <c r="L997" s="43"/>
      <c r="M997" s="43"/>
      <c r="N997" s="43"/>
      <c r="O997" s="43"/>
    </row>
    <row r="998">
      <c r="G998" s="43"/>
      <c r="H998" s="64"/>
      <c r="I998" s="64"/>
      <c r="J998" s="64"/>
      <c r="K998" s="43"/>
      <c r="L998" s="43"/>
      <c r="M998" s="43"/>
      <c r="N998" s="43"/>
      <c r="O998" s="43"/>
    </row>
    <row r="999">
      <c r="G999" s="43"/>
      <c r="H999" s="64"/>
      <c r="I999" s="64"/>
      <c r="J999" s="64"/>
      <c r="K999" s="43"/>
      <c r="L999" s="43"/>
      <c r="M999" s="43"/>
      <c r="N999" s="43"/>
      <c r="O999" s="43"/>
    </row>
    <row r="1000">
      <c r="G1000" s="43"/>
      <c r="H1000" s="64"/>
      <c r="I1000" s="64"/>
      <c r="J1000" s="64"/>
      <c r="K1000" s="43"/>
      <c r="L1000" s="43"/>
      <c r="M1000" s="43"/>
      <c r="N1000" s="43"/>
      <c r="O1000" s="43"/>
    </row>
    <row r="1001">
      <c r="G1001" s="43"/>
      <c r="H1001" s="64"/>
      <c r="I1001" s="64"/>
      <c r="J1001" s="64"/>
      <c r="K1001" s="43"/>
      <c r="L1001" s="43"/>
      <c r="M1001" s="43"/>
      <c r="N1001" s="43"/>
      <c r="O1001" s="43"/>
    </row>
    <row r="1002">
      <c r="G1002" s="43"/>
      <c r="H1002" s="64"/>
      <c r="I1002" s="64"/>
      <c r="J1002" s="64"/>
      <c r="K1002" s="43"/>
      <c r="L1002" s="43"/>
      <c r="M1002" s="43"/>
      <c r="N1002" s="43"/>
      <c r="O1002" s="43"/>
    </row>
    <row r="1003">
      <c r="G1003" s="43"/>
      <c r="H1003" s="64"/>
      <c r="I1003" s="64"/>
      <c r="J1003" s="64"/>
      <c r="K1003" s="43"/>
      <c r="L1003" s="43"/>
      <c r="M1003" s="43"/>
      <c r="N1003" s="43"/>
      <c r="O1003" s="43"/>
    </row>
    <row r="1004">
      <c r="G1004" s="43"/>
      <c r="H1004" s="64"/>
      <c r="I1004" s="64"/>
      <c r="J1004" s="64"/>
      <c r="K1004" s="43"/>
      <c r="L1004" s="43"/>
      <c r="M1004" s="43"/>
      <c r="N1004" s="43"/>
      <c r="O1004" s="43"/>
    </row>
    <row r="1005">
      <c r="G1005" s="43"/>
      <c r="H1005" s="64"/>
      <c r="I1005" s="64"/>
      <c r="J1005" s="64"/>
      <c r="K1005" s="43"/>
      <c r="L1005" s="43"/>
      <c r="M1005" s="43"/>
      <c r="N1005" s="43"/>
      <c r="O1005" s="43"/>
    </row>
    <row r="1006">
      <c r="G1006" s="43"/>
      <c r="H1006" s="64"/>
      <c r="I1006" s="64"/>
      <c r="J1006" s="64"/>
      <c r="K1006" s="43"/>
      <c r="L1006" s="43"/>
      <c r="M1006" s="43"/>
      <c r="N1006" s="43"/>
      <c r="O1006" s="43"/>
    </row>
    <row r="1007">
      <c r="G1007" s="43"/>
      <c r="H1007" s="64"/>
      <c r="I1007" s="64"/>
      <c r="J1007" s="64"/>
      <c r="K1007" s="43"/>
      <c r="L1007" s="43"/>
      <c r="M1007" s="43"/>
      <c r="N1007" s="43"/>
      <c r="O1007" s="43"/>
    </row>
    <row r="1008">
      <c r="G1008" s="43"/>
      <c r="H1008" s="64"/>
      <c r="I1008" s="64"/>
      <c r="J1008" s="64"/>
      <c r="K1008" s="43"/>
      <c r="L1008" s="43"/>
      <c r="M1008" s="43"/>
      <c r="N1008" s="43"/>
      <c r="O1008" s="43"/>
    </row>
    <row r="1009">
      <c r="G1009" s="43"/>
      <c r="H1009" s="64"/>
      <c r="I1009" s="64"/>
      <c r="J1009" s="64"/>
      <c r="K1009" s="43"/>
      <c r="L1009" s="43"/>
      <c r="M1009" s="43"/>
      <c r="N1009" s="43"/>
      <c r="O1009" s="43"/>
    </row>
    <row r="1010">
      <c r="G1010" s="43"/>
      <c r="H1010" s="64"/>
      <c r="I1010" s="64"/>
      <c r="J1010" s="64"/>
      <c r="K1010" s="43"/>
      <c r="L1010" s="43"/>
      <c r="M1010" s="43"/>
      <c r="N1010" s="43"/>
      <c r="O1010" s="43"/>
    </row>
    <row r="1011">
      <c r="G1011" s="43"/>
      <c r="H1011" s="64"/>
      <c r="I1011" s="64"/>
      <c r="J1011" s="64"/>
      <c r="K1011" s="43"/>
      <c r="L1011" s="43"/>
      <c r="M1011" s="43"/>
      <c r="N1011" s="43"/>
      <c r="O1011" s="43"/>
    </row>
    <row r="1012">
      <c r="G1012" s="43"/>
      <c r="H1012" s="64"/>
      <c r="I1012" s="64"/>
      <c r="J1012" s="64"/>
      <c r="K1012" s="43"/>
      <c r="L1012" s="43"/>
      <c r="M1012" s="43"/>
      <c r="N1012" s="43"/>
      <c r="O1012" s="43"/>
    </row>
    <row r="1013">
      <c r="G1013" s="43"/>
      <c r="H1013" s="64"/>
      <c r="I1013" s="64"/>
      <c r="J1013" s="64"/>
      <c r="K1013" s="43"/>
      <c r="L1013" s="43"/>
      <c r="M1013" s="43"/>
      <c r="N1013" s="43"/>
      <c r="O1013" s="43"/>
    </row>
    <row r="1014">
      <c r="G1014" s="43"/>
      <c r="H1014" s="64"/>
      <c r="I1014" s="64"/>
      <c r="J1014" s="64"/>
      <c r="K1014" s="43"/>
      <c r="L1014" s="43"/>
      <c r="M1014" s="43"/>
      <c r="N1014" s="43"/>
      <c r="O1014" s="43"/>
    </row>
    <row r="1015">
      <c r="G1015" s="43"/>
      <c r="H1015" s="64"/>
      <c r="I1015" s="64"/>
      <c r="J1015" s="64"/>
      <c r="K1015" s="43"/>
      <c r="L1015" s="43"/>
      <c r="M1015" s="43"/>
      <c r="N1015" s="43"/>
      <c r="O1015" s="43"/>
    </row>
    <row r="1016">
      <c r="G1016" s="43"/>
      <c r="H1016" s="64"/>
      <c r="I1016" s="64"/>
      <c r="J1016" s="64"/>
      <c r="K1016" s="43"/>
      <c r="L1016" s="43"/>
      <c r="M1016" s="43"/>
      <c r="N1016" s="43"/>
      <c r="O1016" s="43"/>
    </row>
    <row r="1017">
      <c r="G1017" s="43"/>
      <c r="H1017" s="64"/>
      <c r="I1017" s="64"/>
      <c r="J1017" s="64"/>
      <c r="K1017" s="43"/>
      <c r="L1017" s="43"/>
      <c r="M1017" s="43"/>
      <c r="N1017" s="43"/>
      <c r="O1017" s="43"/>
    </row>
    <row r="1018">
      <c r="G1018" s="43"/>
      <c r="H1018" s="64"/>
      <c r="I1018" s="64"/>
      <c r="J1018" s="64"/>
      <c r="K1018" s="43"/>
      <c r="L1018" s="43"/>
      <c r="M1018" s="43"/>
      <c r="N1018" s="43"/>
      <c r="O1018" s="43"/>
    </row>
    <row r="1019">
      <c r="G1019" s="43"/>
      <c r="H1019" s="64"/>
      <c r="I1019" s="64"/>
      <c r="J1019" s="64"/>
      <c r="K1019" s="43"/>
      <c r="L1019" s="43"/>
      <c r="M1019" s="43"/>
      <c r="N1019" s="43"/>
      <c r="O1019" s="43"/>
    </row>
    <row r="1020">
      <c r="G1020" s="43"/>
      <c r="H1020" s="64"/>
      <c r="I1020" s="64"/>
      <c r="J1020" s="64"/>
      <c r="K1020" s="43"/>
      <c r="L1020" s="43"/>
      <c r="M1020" s="43"/>
      <c r="N1020" s="43"/>
      <c r="O1020" s="43"/>
    </row>
    <row r="1021">
      <c r="G1021" s="43"/>
      <c r="H1021" s="64"/>
      <c r="I1021" s="64"/>
      <c r="J1021" s="64"/>
      <c r="K1021" s="43"/>
      <c r="L1021" s="43"/>
      <c r="M1021" s="43"/>
      <c r="N1021" s="43"/>
      <c r="O1021" s="43"/>
    </row>
    <row r="1022">
      <c r="G1022" s="43"/>
      <c r="H1022" s="64"/>
      <c r="I1022" s="64"/>
      <c r="J1022" s="64"/>
      <c r="K1022" s="43"/>
      <c r="L1022" s="43"/>
      <c r="M1022" s="43"/>
      <c r="N1022" s="43"/>
      <c r="O1022" s="43"/>
    </row>
    <row r="1023">
      <c r="G1023" s="43"/>
      <c r="H1023" s="64"/>
      <c r="I1023" s="64"/>
      <c r="J1023" s="64"/>
      <c r="K1023" s="43"/>
      <c r="L1023" s="43"/>
      <c r="M1023" s="43"/>
      <c r="N1023" s="43"/>
      <c r="O1023" s="43"/>
    </row>
    <row r="1024">
      <c r="G1024" s="43"/>
      <c r="H1024" s="64"/>
      <c r="I1024" s="64"/>
      <c r="J1024" s="64"/>
      <c r="K1024" s="43"/>
      <c r="L1024" s="43"/>
      <c r="M1024" s="43"/>
      <c r="N1024" s="43"/>
      <c r="O1024" s="43"/>
    </row>
    <row r="1025">
      <c r="G1025" s="43"/>
      <c r="H1025" s="64"/>
      <c r="I1025" s="64"/>
      <c r="J1025" s="64"/>
      <c r="K1025" s="43"/>
      <c r="L1025" s="43"/>
      <c r="M1025" s="43"/>
      <c r="N1025" s="43"/>
      <c r="O1025" s="43"/>
    </row>
    <row r="1026">
      <c r="G1026" s="43"/>
      <c r="H1026" s="64"/>
      <c r="I1026" s="64"/>
      <c r="J1026" s="64"/>
      <c r="K1026" s="43"/>
      <c r="L1026" s="43"/>
      <c r="M1026" s="43"/>
      <c r="N1026" s="43"/>
      <c r="O1026" s="43"/>
    </row>
    <row r="1027">
      <c r="G1027" s="43"/>
      <c r="H1027" s="64"/>
      <c r="I1027" s="64"/>
      <c r="J1027" s="64"/>
      <c r="K1027" s="43"/>
      <c r="L1027" s="43"/>
      <c r="M1027" s="43"/>
      <c r="N1027" s="43"/>
      <c r="O1027" s="43"/>
    </row>
    <row r="1028">
      <c r="G1028" s="43"/>
      <c r="H1028" s="64"/>
      <c r="I1028" s="64"/>
      <c r="J1028" s="64"/>
      <c r="K1028" s="43"/>
      <c r="L1028" s="43"/>
      <c r="M1028" s="43"/>
      <c r="N1028" s="43"/>
      <c r="O1028" s="43"/>
    </row>
    <row r="1029">
      <c r="G1029" s="43"/>
      <c r="H1029" s="64"/>
      <c r="I1029" s="64"/>
      <c r="J1029" s="64"/>
      <c r="K1029" s="43"/>
      <c r="L1029" s="43"/>
      <c r="M1029" s="43"/>
      <c r="N1029" s="43"/>
      <c r="O1029" s="43"/>
    </row>
    <row r="1030">
      <c r="G1030" s="43"/>
      <c r="H1030" s="64"/>
      <c r="I1030" s="64"/>
      <c r="J1030" s="64"/>
      <c r="K1030" s="43"/>
      <c r="L1030" s="43"/>
      <c r="M1030" s="43"/>
      <c r="N1030" s="43"/>
      <c r="O1030" s="43"/>
    </row>
    <row r="1031">
      <c r="G1031" s="43"/>
      <c r="H1031" s="64"/>
      <c r="I1031" s="64"/>
      <c r="J1031" s="64"/>
      <c r="K1031" s="43"/>
      <c r="L1031" s="43"/>
      <c r="M1031" s="43"/>
      <c r="N1031" s="43"/>
      <c r="O1031" s="43"/>
    </row>
    <row r="1032">
      <c r="G1032" s="43"/>
      <c r="H1032" s="64"/>
      <c r="I1032" s="64"/>
      <c r="J1032" s="64"/>
      <c r="K1032" s="43"/>
      <c r="L1032" s="43"/>
      <c r="M1032" s="43"/>
      <c r="N1032" s="43"/>
      <c r="O1032" s="43"/>
    </row>
    <row r="1033">
      <c r="G1033" s="43"/>
      <c r="H1033" s="64"/>
      <c r="I1033" s="64"/>
      <c r="J1033" s="64"/>
      <c r="K1033" s="43"/>
      <c r="L1033" s="43"/>
      <c r="M1033" s="43"/>
      <c r="N1033" s="43"/>
      <c r="O1033" s="43"/>
    </row>
    <row r="1034">
      <c r="G1034" s="43"/>
      <c r="H1034" s="64"/>
      <c r="I1034" s="64"/>
      <c r="J1034" s="64"/>
      <c r="K1034" s="43"/>
      <c r="L1034" s="43"/>
      <c r="M1034" s="43"/>
      <c r="N1034" s="43"/>
      <c r="O1034" s="43"/>
    </row>
    <row r="1035">
      <c r="G1035" s="43"/>
      <c r="H1035" s="64"/>
      <c r="I1035" s="64"/>
      <c r="J1035" s="64"/>
      <c r="K1035" s="43"/>
      <c r="L1035" s="43"/>
      <c r="M1035" s="43"/>
      <c r="N1035" s="43"/>
      <c r="O1035" s="43"/>
    </row>
    <row r="1036">
      <c r="G1036" s="43"/>
      <c r="H1036" s="64"/>
      <c r="I1036" s="64"/>
      <c r="J1036" s="64"/>
      <c r="K1036" s="43"/>
      <c r="L1036" s="43"/>
      <c r="M1036" s="43"/>
      <c r="N1036" s="43"/>
      <c r="O1036" s="43"/>
    </row>
    <row r="1037">
      <c r="G1037" s="43"/>
      <c r="H1037" s="64"/>
      <c r="I1037" s="64"/>
      <c r="J1037" s="64"/>
      <c r="K1037" s="43"/>
      <c r="L1037" s="43"/>
      <c r="M1037" s="43"/>
      <c r="N1037" s="43"/>
      <c r="O1037" s="43"/>
    </row>
    <row r="1038">
      <c r="G1038" s="43"/>
      <c r="H1038" s="64"/>
      <c r="I1038" s="64"/>
      <c r="J1038" s="64"/>
      <c r="K1038" s="43"/>
      <c r="L1038" s="43"/>
      <c r="M1038" s="43"/>
      <c r="N1038" s="43"/>
      <c r="O1038" s="43"/>
    </row>
    <row r="1039">
      <c r="G1039" s="43"/>
      <c r="H1039" s="64"/>
      <c r="I1039" s="64"/>
      <c r="J1039" s="64"/>
      <c r="K1039" s="43"/>
      <c r="L1039" s="43"/>
      <c r="M1039" s="43"/>
      <c r="N1039" s="43"/>
      <c r="O1039" s="43"/>
    </row>
    <row r="1040">
      <c r="G1040" s="43"/>
      <c r="H1040" s="64"/>
      <c r="I1040" s="64"/>
      <c r="J1040" s="64"/>
      <c r="K1040" s="43"/>
      <c r="L1040" s="43"/>
      <c r="M1040" s="43"/>
      <c r="N1040" s="43"/>
      <c r="O1040" s="43"/>
    </row>
    <row r="1041">
      <c r="G1041" s="43"/>
      <c r="H1041" s="64"/>
      <c r="I1041" s="64"/>
      <c r="J1041" s="64"/>
      <c r="K1041" s="43"/>
      <c r="L1041" s="43"/>
      <c r="M1041" s="43"/>
      <c r="N1041" s="43"/>
      <c r="O1041" s="43"/>
    </row>
    <row r="1042">
      <c r="G1042" s="43"/>
      <c r="H1042" s="64"/>
      <c r="I1042" s="64"/>
      <c r="J1042" s="64"/>
      <c r="K1042" s="43"/>
      <c r="L1042" s="43"/>
      <c r="M1042" s="43"/>
      <c r="N1042" s="43"/>
      <c r="O1042" s="43"/>
    </row>
    <row r="1043">
      <c r="G1043" s="43"/>
      <c r="H1043" s="64"/>
      <c r="I1043" s="64"/>
      <c r="J1043" s="64"/>
      <c r="K1043" s="43"/>
      <c r="L1043" s="43"/>
      <c r="M1043" s="43"/>
      <c r="N1043" s="43"/>
      <c r="O1043" s="43"/>
    </row>
    <row r="1044">
      <c r="G1044" s="43"/>
      <c r="H1044" s="64"/>
      <c r="I1044" s="64"/>
      <c r="J1044" s="64"/>
      <c r="K1044" s="43"/>
      <c r="L1044" s="43"/>
      <c r="M1044" s="43"/>
      <c r="N1044" s="43"/>
      <c r="O1044" s="43"/>
    </row>
    <row r="1045">
      <c r="G1045" s="43"/>
      <c r="H1045" s="64"/>
      <c r="I1045" s="64"/>
      <c r="J1045" s="64"/>
      <c r="K1045" s="43"/>
      <c r="L1045" s="43"/>
      <c r="M1045" s="43"/>
      <c r="N1045" s="43"/>
      <c r="O1045" s="43"/>
    </row>
    <row r="1046">
      <c r="G1046" s="43"/>
      <c r="H1046" s="64"/>
      <c r="I1046" s="64"/>
      <c r="J1046" s="64"/>
      <c r="K1046" s="43"/>
      <c r="L1046" s="43"/>
      <c r="M1046" s="43"/>
      <c r="N1046" s="43"/>
      <c r="O1046" s="43"/>
    </row>
    <row r="1047">
      <c r="G1047" s="43"/>
      <c r="H1047" s="64"/>
      <c r="I1047" s="64"/>
      <c r="J1047" s="64"/>
      <c r="K1047" s="43"/>
      <c r="L1047" s="43"/>
      <c r="M1047" s="43"/>
      <c r="N1047" s="43"/>
      <c r="O1047" s="43"/>
    </row>
    <row r="1048">
      <c r="G1048" s="43"/>
      <c r="H1048" s="64"/>
      <c r="I1048" s="64"/>
      <c r="J1048" s="64"/>
      <c r="K1048" s="43"/>
      <c r="L1048" s="43"/>
      <c r="M1048" s="43"/>
      <c r="N1048" s="43"/>
      <c r="O1048" s="43"/>
    </row>
    <row r="1049">
      <c r="G1049" s="43"/>
      <c r="H1049" s="64"/>
      <c r="I1049" s="64"/>
      <c r="J1049" s="64"/>
      <c r="K1049" s="43"/>
      <c r="L1049" s="43"/>
      <c r="M1049" s="43"/>
      <c r="N1049" s="43"/>
      <c r="O1049" s="43"/>
    </row>
    <row r="1050">
      <c r="G1050" s="43"/>
      <c r="H1050" s="64"/>
      <c r="I1050" s="64"/>
      <c r="J1050" s="64"/>
      <c r="K1050" s="43"/>
      <c r="L1050" s="43"/>
      <c r="M1050" s="43"/>
      <c r="N1050" s="43"/>
      <c r="O1050" s="43"/>
    </row>
    <row r="1051">
      <c r="G1051" s="43"/>
      <c r="H1051" s="64"/>
      <c r="I1051" s="64"/>
      <c r="J1051" s="64"/>
      <c r="K1051" s="43"/>
      <c r="L1051" s="43"/>
      <c r="M1051" s="43"/>
      <c r="N1051" s="43"/>
      <c r="O1051" s="43"/>
    </row>
    <row r="1052">
      <c r="G1052" s="43"/>
      <c r="H1052" s="64"/>
      <c r="I1052" s="64"/>
      <c r="J1052" s="64"/>
      <c r="K1052" s="43"/>
      <c r="L1052" s="43"/>
      <c r="M1052" s="43"/>
      <c r="N1052" s="43"/>
      <c r="O1052" s="43"/>
    </row>
    <row r="1053">
      <c r="G1053" s="43"/>
      <c r="H1053" s="64"/>
      <c r="I1053" s="64"/>
      <c r="J1053" s="64"/>
      <c r="K1053" s="43"/>
      <c r="L1053" s="43"/>
      <c r="M1053" s="43"/>
      <c r="N1053" s="43"/>
      <c r="O1053" s="43"/>
    </row>
    <row r="1054">
      <c r="G1054" s="43"/>
      <c r="H1054" s="64"/>
      <c r="I1054" s="64"/>
      <c r="J1054" s="64"/>
      <c r="K1054" s="43"/>
      <c r="L1054" s="43"/>
      <c r="M1054" s="43"/>
      <c r="N1054" s="43"/>
      <c r="O1054" s="43"/>
    </row>
    <row r="1055">
      <c r="G1055" s="43"/>
      <c r="H1055" s="64"/>
      <c r="I1055" s="64"/>
      <c r="J1055" s="64"/>
      <c r="K1055" s="43"/>
      <c r="L1055" s="43"/>
      <c r="M1055" s="43"/>
      <c r="N1055" s="43"/>
      <c r="O1055" s="43"/>
    </row>
    <row r="1056">
      <c r="G1056" s="43"/>
      <c r="H1056" s="64"/>
      <c r="I1056" s="64"/>
      <c r="J1056" s="64"/>
      <c r="K1056" s="43"/>
      <c r="L1056" s="43"/>
      <c r="M1056" s="43"/>
      <c r="N1056" s="43"/>
      <c r="O1056" s="43"/>
    </row>
    <row r="1057">
      <c r="G1057" s="43"/>
      <c r="H1057" s="64"/>
      <c r="I1057" s="64"/>
      <c r="J1057" s="64"/>
      <c r="K1057" s="43"/>
      <c r="L1057" s="43"/>
      <c r="M1057" s="43"/>
      <c r="N1057" s="43"/>
      <c r="O1057" s="43"/>
    </row>
    <row r="1058">
      <c r="G1058" s="43"/>
      <c r="H1058" s="64"/>
      <c r="I1058" s="64"/>
      <c r="J1058" s="64"/>
      <c r="K1058" s="43"/>
      <c r="L1058" s="43"/>
      <c r="M1058" s="43"/>
      <c r="N1058" s="43"/>
      <c r="O1058" s="43"/>
    </row>
    <row r="1059">
      <c r="G1059" s="43"/>
      <c r="H1059" s="64"/>
      <c r="I1059" s="64"/>
      <c r="J1059" s="64"/>
      <c r="K1059" s="43"/>
      <c r="L1059" s="43"/>
      <c r="M1059" s="43"/>
      <c r="N1059" s="43"/>
      <c r="O1059" s="43"/>
    </row>
    <row r="1060">
      <c r="G1060" s="43"/>
      <c r="H1060" s="64"/>
      <c r="I1060" s="64"/>
      <c r="J1060" s="64"/>
      <c r="K1060" s="43"/>
      <c r="L1060" s="43"/>
      <c r="M1060" s="43"/>
      <c r="N1060" s="43"/>
      <c r="O1060" s="43"/>
    </row>
    <row r="1061">
      <c r="G1061" s="43"/>
      <c r="H1061" s="64"/>
      <c r="I1061" s="64"/>
      <c r="J1061" s="64"/>
      <c r="K1061" s="43"/>
      <c r="L1061" s="43"/>
      <c r="M1061" s="43"/>
      <c r="N1061" s="43"/>
      <c r="O1061" s="43"/>
    </row>
    <row r="1062">
      <c r="G1062" s="43"/>
      <c r="H1062" s="64"/>
      <c r="I1062" s="64"/>
      <c r="J1062" s="64"/>
      <c r="K1062" s="43"/>
      <c r="L1062" s="43"/>
      <c r="M1062" s="43"/>
      <c r="N1062" s="43"/>
      <c r="O1062" s="43"/>
    </row>
    <row r="1063">
      <c r="G1063" s="43"/>
      <c r="H1063" s="64"/>
      <c r="I1063" s="64"/>
      <c r="J1063" s="64"/>
      <c r="K1063" s="43"/>
      <c r="L1063" s="43"/>
      <c r="M1063" s="43"/>
      <c r="N1063" s="43"/>
      <c r="O1063" s="43"/>
    </row>
    <row r="1064">
      <c r="G1064" s="43"/>
      <c r="H1064" s="64"/>
      <c r="I1064" s="64"/>
      <c r="J1064" s="64"/>
      <c r="K1064" s="43"/>
      <c r="L1064" s="43"/>
      <c r="M1064" s="43"/>
      <c r="N1064" s="43"/>
      <c r="O1064" s="43"/>
    </row>
    <row r="1065">
      <c r="G1065" s="43"/>
      <c r="H1065" s="64"/>
      <c r="I1065" s="64"/>
      <c r="J1065" s="64"/>
      <c r="K1065" s="43"/>
      <c r="L1065" s="43"/>
      <c r="M1065" s="43"/>
      <c r="N1065" s="43"/>
      <c r="O1065" s="43"/>
    </row>
    <row r="1066">
      <c r="G1066" s="43"/>
      <c r="H1066" s="64"/>
      <c r="I1066" s="64"/>
      <c r="J1066" s="64"/>
      <c r="K1066" s="43"/>
      <c r="L1066" s="43"/>
      <c r="M1066" s="43"/>
      <c r="N1066" s="43"/>
      <c r="O1066" s="43"/>
    </row>
    <row r="1067">
      <c r="G1067" s="43"/>
      <c r="H1067" s="64"/>
      <c r="I1067" s="64"/>
      <c r="J1067" s="64"/>
      <c r="K1067" s="43"/>
      <c r="L1067" s="43"/>
      <c r="M1067" s="43"/>
      <c r="N1067" s="43"/>
      <c r="O1067" s="43"/>
    </row>
  </sheetData>
  <mergeCells count="18">
    <mergeCell ref="H1:H2"/>
    <mergeCell ref="I1:I2"/>
    <mergeCell ref="J1:J2"/>
    <mergeCell ref="K1:K2"/>
    <mergeCell ref="L1:L2"/>
    <mergeCell ref="M1:M2"/>
    <mergeCell ref="N1:N2"/>
    <mergeCell ref="O1:O2"/>
    <mergeCell ref="A3:B3"/>
    <mergeCell ref="A30:B30"/>
    <mergeCell ref="A58:B58"/>
    <mergeCell ref="A1:A2"/>
    <mergeCell ref="B1:B2"/>
    <mergeCell ref="C1:C2"/>
    <mergeCell ref="D1:D2"/>
    <mergeCell ref="E1:E2"/>
    <mergeCell ref="F1:F2"/>
    <mergeCell ref="G1:G2"/>
  </mergeCells>
  <conditionalFormatting sqref="M46">
    <cfRule type="expression" dxfId="0" priority="1">
      <formula>H46&lt;&gt;M46</formula>
    </cfRule>
  </conditionalFormatting>
  <conditionalFormatting sqref="E4:F66 G4:I4">
    <cfRule type="expression" dxfId="0" priority="2">
      <formula>D4&lt;&gt;E4</formula>
    </cfRule>
  </conditionalFormatting>
  <conditionalFormatting sqref="F4:H66 I4:I45 I47:I66">
    <cfRule type="expression" dxfId="0" priority="3">
      <formula>E4&lt;&gt;F4</formula>
    </cfRule>
  </conditionalFormatting>
  <hyperlinks>
    <hyperlink r:id="rId1" ref="C20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8.25"/>
    <col customWidth="1" min="3" max="3" width="40.75"/>
    <col customWidth="1" min="4" max="13" width="30.0"/>
  </cols>
  <sheetData>
    <row r="1">
      <c r="A1" s="83" t="s">
        <v>0</v>
      </c>
      <c r="B1" s="84" t="s">
        <v>1</v>
      </c>
      <c r="C1" s="85" t="s">
        <v>2</v>
      </c>
      <c r="D1" s="86" t="s">
        <v>788</v>
      </c>
      <c r="E1" s="87" t="s">
        <v>789</v>
      </c>
      <c r="F1" s="87" t="s">
        <v>790</v>
      </c>
      <c r="G1" s="88" t="s">
        <v>791</v>
      </c>
      <c r="H1" s="89" t="s">
        <v>792</v>
      </c>
      <c r="I1" s="89" t="s">
        <v>793</v>
      </c>
      <c r="J1" s="89" t="s">
        <v>794</v>
      </c>
      <c r="K1" s="89" t="s">
        <v>795</v>
      </c>
      <c r="L1" s="89" t="s">
        <v>796</v>
      </c>
      <c r="M1" s="89" t="s">
        <v>797</v>
      </c>
    </row>
    <row r="2">
      <c r="A2" s="90" t="s">
        <v>6</v>
      </c>
      <c r="B2" s="91"/>
      <c r="C2" s="71"/>
      <c r="D2" s="92"/>
      <c r="E2" s="92"/>
      <c r="F2" s="72"/>
      <c r="G2" s="93"/>
      <c r="H2" s="94"/>
      <c r="I2" s="94"/>
      <c r="J2" s="94"/>
      <c r="K2" s="94"/>
      <c r="L2" s="94"/>
      <c r="M2" s="94"/>
    </row>
    <row r="3">
      <c r="A3" s="18" t="s">
        <v>7</v>
      </c>
      <c r="B3" s="18" t="s">
        <v>7</v>
      </c>
      <c r="C3" s="12" t="s">
        <v>8</v>
      </c>
      <c r="D3" s="95" t="s">
        <v>798</v>
      </c>
      <c r="E3" s="96" t="s">
        <v>798</v>
      </c>
      <c r="F3" s="51" t="s">
        <v>798</v>
      </c>
      <c r="G3" s="97" t="s">
        <v>799</v>
      </c>
      <c r="H3" s="98" t="s">
        <v>799</v>
      </c>
      <c r="I3" s="98" t="s">
        <v>799</v>
      </c>
      <c r="J3" s="98" t="s">
        <v>800</v>
      </c>
      <c r="K3" s="98" t="s">
        <v>800</v>
      </c>
      <c r="L3" s="98" t="s">
        <v>800</v>
      </c>
      <c r="M3" s="98" t="s">
        <v>800</v>
      </c>
    </row>
    <row r="4">
      <c r="A4" s="18" t="s">
        <v>12</v>
      </c>
      <c r="B4" s="99" t="s">
        <v>13</v>
      </c>
      <c r="C4" s="12" t="s">
        <v>14</v>
      </c>
      <c r="D4" s="95" t="s">
        <v>801</v>
      </c>
      <c r="E4" s="96" t="s">
        <v>801</v>
      </c>
      <c r="F4" s="51" t="s">
        <v>801</v>
      </c>
      <c r="G4" s="97" t="s">
        <v>639</v>
      </c>
      <c r="H4" s="98" t="s">
        <v>639</v>
      </c>
      <c r="I4" s="98" t="s">
        <v>639</v>
      </c>
      <c r="J4" s="98" t="s">
        <v>802</v>
      </c>
      <c r="K4" s="98" t="s">
        <v>802</v>
      </c>
      <c r="L4" s="98" t="s">
        <v>802</v>
      </c>
      <c r="M4" s="98" t="s">
        <v>802</v>
      </c>
    </row>
    <row r="5">
      <c r="A5" s="18" t="s">
        <v>17</v>
      </c>
      <c r="B5" s="18" t="s">
        <v>18</v>
      </c>
      <c r="C5" s="100" t="str">
        <f>HYPERLINK("https://android-cret.corp.google.com/#fusion:id=com.google.android.gms","com.google.android.gms")</f>
        <v>com.google.android.gms</v>
      </c>
      <c r="D5" s="95" t="s">
        <v>803</v>
      </c>
      <c r="E5" s="96" t="s">
        <v>804</v>
      </c>
      <c r="F5" s="51" t="s">
        <v>805</v>
      </c>
      <c r="G5" s="97" t="s">
        <v>806</v>
      </c>
      <c r="H5" s="101" t="s">
        <v>807</v>
      </c>
      <c r="I5" s="102" t="s">
        <v>808</v>
      </c>
      <c r="J5" s="102" t="s">
        <v>809</v>
      </c>
      <c r="K5" s="102" t="s">
        <v>809</v>
      </c>
      <c r="L5" s="102" t="s">
        <v>809</v>
      </c>
      <c r="M5" s="102" t="s">
        <v>809</v>
      </c>
    </row>
    <row r="6">
      <c r="A6" s="18" t="s">
        <v>21</v>
      </c>
      <c r="B6" s="18" t="s">
        <v>22</v>
      </c>
      <c r="C6" s="12" t="s">
        <v>23</v>
      </c>
      <c r="D6" s="95" t="s">
        <v>798</v>
      </c>
      <c r="E6" s="96" t="s">
        <v>798</v>
      </c>
      <c r="F6" s="51" t="s">
        <v>798</v>
      </c>
      <c r="G6" s="97" t="s">
        <v>799</v>
      </c>
      <c r="H6" s="98" t="s">
        <v>799</v>
      </c>
      <c r="I6" s="98" t="s">
        <v>799</v>
      </c>
      <c r="J6" s="98" t="s">
        <v>799</v>
      </c>
      <c r="K6" s="98" t="s">
        <v>799</v>
      </c>
      <c r="L6" s="98" t="s">
        <v>799</v>
      </c>
      <c r="M6" s="98" t="s">
        <v>799</v>
      </c>
    </row>
    <row r="7">
      <c r="A7" s="18" t="s">
        <v>261</v>
      </c>
      <c r="B7" s="18" t="s">
        <v>262</v>
      </c>
      <c r="C7" s="12" t="s">
        <v>263</v>
      </c>
      <c r="D7" s="95" t="s">
        <v>798</v>
      </c>
      <c r="E7" s="96" t="s">
        <v>798</v>
      </c>
      <c r="F7" s="51" t="s">
        <v>798</v>
      </c>
      <c r="G7" s="97" t="s">
        <v>798</v>
      </c>
      <c r="H7" s="98" t="s">
        <v>798</v>
      </c>
      <c r="I7" s="98" t="s">
        <v>798</v>
      </c>
      <c r="J7" s="98" t="s">
        <v>798</v>
      </c>
      <c r="K7" s="98" t="s">
        <v>798</v>
      </c>
      <c r="L7" s="98" t="s">
        <v>798</v>
      </c>
      <c r="M7" s="98" t="s">
        <v>798</v>
      </c>
    </row>
    <row r="8">
      <c r="A8" s="18" t="s">
        <v>26</v>
      </c>
      <c r="B8" s="18" t="s">
        <v>27</v>
      </c>
      <c r="C8" s="12" t="s">
        <v>28</v>
      </c>
      <c r="D8" s="95" t="s">
        <v>648</v>
      </c>
      <c r="E8" s="96" t="s">
        <v>648</v>
      </c>
      <c r="F8" s="51" t="s">
        <v>648</v>
      </c>
      <c r="G8" s="97" t="s">
        <v>648</v>
      </c>
      <c r="H8" s="98" t="s">
        <v>648</v>
      </c>
      <c r="I8" s="98" t="s">
        <v>648</v>
      </c>
      <c r="J8" s="98" t="s">
        <v>648</v>
      </c>
      <c r="K8" s="98" t="s">
        <v>648</v>
      </c>
      <c r="L8" s="98" t="s">
        <v>648</v>
      </c>
      <c r="M8" s="102" t="s">
        <v>648</v>
      </c>
    </row>
    <row r="9">
      <c r="A9" s="18" t="s">
        <v>31</v>
      </c>
      <c r="B9" s="18" t="s">
        <v>32</v>
      </c>
      <c r="C9" s="12" t="s">
        <v>33</v>
      </c>
      <c r="D9" s="95" t="s">
        <v>810</v>
      </c>
      <c r="E9" s="96" t="s">
        <v>811</v>
      </c>
      <c r="F9" s="51" t="s">
        <v>812</v>
      </c>
      <c r="G9" s="97" t="s">
        <v>813</v>
      </c>
      <c r="H9" s="101" t="s">
        <v>814</v>
      </c>
      <c r="I9" s="102" t="s">
        <v>652</v>
      </c>
      <c r="J9" s="102" t="s">
        <v>815</v>
      </c>
      <c r="K9" s="102" t="s">
        <v>815</v>
      </c>
      <c r="L9" s="102" t="s">
        <v>815</v>
      </c>
      <c r="M9" s="102" t="s">
        <v>815</v>
      </c>
    </row>
    <row r="10">
      <c r="A10" s="18" t="s">
        <v>36</v>
      </c>
      <c r="B10" s="18" t="s">
        <v>37</v>
      </c>
      <c r="C10" s="12" t="s">
        <v>38</v>
      </c>
      <c r="D10" s="95" t="s">
        <v>798</v>
      </c>
      <c r="E10" s="96" t="s">
        <v>798</v>
      </c>
      <c r="F10" s="51" t="s">
        <v>798</v>
      </c>
      <c r="G10" s="97" t="s">
        <v>798</v>
      </c>
      <c r="H10" s="98" t="s">
        <v>798</v>
      </c>
      <c r="I10" s="98" t="s">
        <v>798</v>
      </c>
      <c r="J10" s="98" t="s">
        <v>798</v>
      </c>
      <c r="K10" s="98" t="s">
        <v>798</v>
      </c>
      <c r="L10" s="98" t="s">
        <v>798</v>
      </c>
      <c r="M10" s="102" t="s">
        <v>798</v>
      </c>
    </row>
    <row r="11">
      <c r="A11" s="18" t="s">
        <v>39</v>
      </c>
      <c r="B11" s="18" t="s">
        <v>40</v>
      </c>
      <c r="C11" s="12" t="s">
        <v>41</v>
      </c>
      <c r="D11" s="95" t="s">
        <v>816</v>
      </c>
      <c r="E11" s="96" t="s">
        <v>816</v>
      </c>
      <c r="F11" s="51" t="s">
        <v>816</v>
      </c>
      <c r="G11" s="97" t="s">
        <v>42</v>
      </c>
      <c r="H11" s="98" t="s">
        <v>42</v>
      </c>
      <c r="I11" s="98" t="s">
        <v>42</v>
      </c>
      <c r="J11" s="98" t="s">
        <v>42</v>
      </c>
      <c r="K11" s="98" t="s">
        <v>42</v>
      </c>
      <c r="L11" s="98" t="s">
        <v>42</v>
      </c>
      <c r="M11" s="102" t="s">
        <v>42</v>
      </c>
    </row>
    <row r="12">
      <c r="A12" s="18" t="s">
        <v>43</v>
      </c>
      <c r="B12" s="18" t="s">
        <v>44</v>
      </c>
      <c r="C12" s="12" t="s">
        <v>45</v>
      </c>
      <c r="D12" s="95" t="s">
        <v>658</v>
      </c>
      <c r="E12" s="96" t="s">
        <v>658</v>
      </c>
      <c r="F12" s="51" t="s">
        <v>658</v>
      </c>
      <c r="G12" s="97" t="s">
        <v>658</v>
      </c>
      <c r="H12" s="98" t="s">
        <v>658</v>
      </c>
      <c r="I12" s="98" t="s">
        <v>658</v>
      </c>
      <c r="J12" s="98" t="s">
        <v>505</v>
      </c>
      <c r="K12" s="98" t="s">
        <v>505</v>
      </c>
      <c r="L12" s="98" t="s">
        <v>505</v>
      </c>
      <c r="M12" s="102" t="s">
        <v>505</v>
      </c>
    </row>
    <row r="13">
      <c r="A13" s="18" t="s">
        <v>48</v>
      </c>
      <c r="B13" s="18" t="s">
        <v>49</v>
      </c>
      <c r="C13" s="12" t="s">
        <v>50</v>
      </c>
      <c r="D13" s="95" t="s">
        <v>817</v>
      </c>
      <c r="E13" s="96" t="s">
        <v>818</v>
      </c>
      <c r="F13" s="51" t="s">
        <v>819</v>
      </c>
      <c r="G13" s="97" t="s">
        <v>820</v>
      </c>
      <c r="H13" s="17" t="s">
        <v>821</v>
      </c>
      <c r="I13" s="102" t="s">
        <v>822</v>
      </c>
      <c r="J13" s="102" t="s">
        <v>823</v>
      </c>
      <c r="K13" s="102" t="s">
        <v>824</v>
      </c>
      <c r="L13" s="102" t="s">
        <v>509</v>
      </c>
      <c r="M13" s="102" t="s">
        <v>509</v>
      </c>
    </row>
    <row r="14">
      <c r="A14" s="18" t="s">
        <v>53</v>
      </c>
      <c r="B14" s="18" t="s">
        <v>54</v>
      </c>
      <c r="C14" s="12" t="s">
        <v>55</v>
      </c>
      <c r="D14" s="95" t="s">
        <v>825</v>
      </c>
      <c r="E14" s="96" t="s">
        <v>825</v>
      </c>
      <c r="F14" s="51" t="s">
        <v>826</v>
      </c>
      <c r="G14" s="97" t="s">
        <v>827</v>
      </c>
      <c r="H14" s="17" t="s">
        <v>828</v>
      </c>
      <c r="I14" s="102" t="s">
        <v>665</v>
      </c>
      <c r="J14" s="102" t="s">
        <v>667</v>
      </c>
      <c r="K14" s="102" t="s">
        <v>513</v>
      </c>
      <c r="L14" s="102" t="s">
        <v>513</v>
      </c>
      <c r="M14" s="102" t="s">
        <v>513</v>
      </c>
    </row>
    <row r="15">
      <c r="A15" s="18" t="s">
        <v>58</v>
      </c>
      <c r="B15" s="18" t="s">
        <v>59</v>
      </c>
      <c r="C15" s="12" t="s">
        <v>60</v>
      </c>
      <c r="D15" s="95" t="s">
        <v>829</v>
      </c>
      <c r="E15" s="96" t="s">
        <v>829</v>
      </c>
      <c r="F15" s="51" t="s">
        <v>829</v>
      </c>
      <c r="G15" s="97" t="s">
        <v>829</v>
      </c>
      <c r="H15" s="98" t="s">
        <v>670</v>
      </c>
      <c r="I15" s="98" t="s">
        <v>670</v>
      </c>
      <c r="J15" s="98" t="s">
        <v>671</v>
      </c>
      <c r="K15" s="98" t="s">
        <v>518</v>
      </c>
      <c r="L15" s="98" t="s">
        <v>289</v>
      </c>
      <c r="M15" s="102" t="s">
        <v>290</v>
      </c>
    </row>
    <row r="16">
      <c r="A16" s="18" t="s">
        <v>62</v>
      </c>
      <c r="B16" s="18" t="s">
        <v>63</v>
      </c>
      <c r="C16" s="100" t="str">
        <f>HYPERLINK("https://android-cret.corp.google.com/#fusion:id=com.google.android.googlequicksearchbox","com.google.android.googlequicksearchbox")</f>
        <v>com.google.android.googlequicksearchbox</v>
      </c>
      <c r="D16" s="95" t="s">
        <v>830</v>
      </c>
      <c r="E16" s="96" t="s">
        <v>831</v>
      </c>
      <c r="F16" s="51" t="s">
        <v>831</v>
      </c>
      <c r="G16" s="97" t="s">
        <v>832</v>
      </c>
      <c r="H16" s="101" t="s">
        <v>833</v>
      </c>
      <c r="I16" s="102" t="s">
        <v>834</v>
      </c>
      <c r="J16" s="102" t="s">
        <v>835</v>
      </c>
      <c r="K16" s="102" t="s">
        <v>836</v>
      </c>
      <c r="L16" s="102" t="s">
        <v>837</v>
      </c>
      <c r="M16" s="102" t="s">
        <v>837</v>
      </c>
    </row>
    <row r="17">
      <c r="A17" s="18" t="s">
        <v>66</v>
      </c>
      <c r="B17" s="18" t="s">
        <v>67</v>
      </c>
      <c r="C17" s="12" t="s">
        <v>68</v>
      </c>
      <c r="D17" s="103" t="s">
        <v>838</v>
      </c>
      <c r="E17" s="104" t="s">
        <v>839</v>
      </c>
      <c r="F17" s="105" t="s">
        <v>839</v>
      </c>
      <c r="G17" s="106" t="s">
        <v>839</v>
      </c>
      <c r="H17" s="107" t="s">
        <v>839</v>
      </c>
      <c r="I17" s="107" t="s">
        <v>839</v>
      </c>
      <c r="J17" s="107" t="s">
        <v>839</v>
      </c>
      <c r="K17" s="107" t="s">
        <v>839</v>
      </c>
      <c r="L17" s="107" t="s">
        <v>839</v>
      </c>
      <c r="M17" s="102" t="s">
        <v>839</v>
      </c>
    </row>
    <row r="18">
      <c r="A18" s="18" t="s">
        <v>72</v>
      </c>
      <c r="B18" s="18" t="s">
        <v>73</v>
      </c>
      <c r="C18" s="100" t="s">
        <v>74</v>
      </c>
      <c r="D18" s="95" t="s">
        <v>840</v>
      </c>
      <c r="E18" s="96" t="s">
        <v>841</v>
      </c>
      <c r="F18" s="51" t="s">
        <v>842</v>
      </c>
      <c r="G18" s="97" t="s">
        <v>843</v>
      </c>
      <c r="H18" s="96" t="s">
        <v>844</v>
      </c>
      <c r="I18" s="102" t="s">
        <v>845</v>
      </c>
      <c r="J18" s="102" t="s">
        <v>846</v>
      </c>
      <c r="K18" s="102" t="s">
        <v>846</v>
      </c>
      <c r="L18" s="102" t="s">
        <v>846</v>
      </c>
      <c r="M18" s="102" t="s">
        <v>846</v>
      </c>
    </row>
    <row r="19">
      <c r="A19" s="18" t="s">
        <v>77</v>
      </c>
      <c r="B19" s="18" t="s">
        <v>78</v>
      </c>
      <c r="C19" s="108" t="s">
        <v>79</v>
      </c>
      <c r="D19" s="95" t="s">
        <v>847</v>
      </c>
      <c r="E19" s="96" t="s">
        <v>847</v>
      </c>
      <c r="F19" s="51" t="s">
        <v>847</v>
      </c>
      <c r="G19" s="97" t="s">
        <v>847</v>
      </c>
      <c r="H19" s="98" t="s">
        <v>847</v>
      </c>
      <c r="I19" s="102" t="s">
        <v>848</v>
      </c>
      <c r="J19" s="102" t="s">
        <v>848</v>
      </c>
      <c r="K19" s="102" t="s">
        <v>848</v>
      </c>
      <c r="L19" s="102" t="s">
        <v>848</v>
      </c>
      <c r="M19" s="102" t="s">
        <v>848</v>
      </c>
    </row>
    <row r="20">
      <c r="A20" s="18" t="s">
        <v>82</v>
      </c>
      <c r="B20" s="18" t="s">
        <v>849</v>
      </c>
      <c r="C20" s="109" t="s">
        <v>84</v>
      </c>
      <c r="D20" s="95" t="s">
        <v>850</v>
      </c>
      <c r="E20" s="96" t="s">
        <v>850</v>
      </c>
      <c r="F20" s="51" t="s">
        <v>850</v>
      </c>
      <c r="G20" s="97" t="s">
        <v>851</v>
      </c>
      <c r="H20" s="98" t="s">
        <v>851</v>
      </c>
      <c r="I20" s="98" t="s">
        <v>851</v>
      </c>
      <c r="J20" s="98" t="s">
        <v>852</v>
      </c>
      <c r="K20" s="98" t="s">
        <v>852</v>
      </c>
      <c r="L20" s="98" t="s">
        <v>852</v>
      </c>
      <c r="M20" s="102" t="s">
        <v>852</v>
      </c>
    </row>
    <row r="21">
      <c r="A21" s="33" t="s">
        <v>87</v>
      </c>
      <c r="B21" s="33" t="s">
        <v>88</v>
      </c>
      <c r="C21" s="12" t="s">
        <v>89</v>
      </c>
      <c r="D21" s="95" t="s">
        <v>535</v>
      </c>
      <c r="E21" s="96" t="s">
        <v>535</v>
      </c>
      <c r="F21" s="51" t="s">
        <v>535</v>
      </c>
      <c r="G21" s="97" t="s">
        <v>535</v>
      </c>
      <c r="H21" s="98" t="s">
        <v>535</v>
      </c>
      <c r="I21" s="98" t="s">
        <v>535</v>
      </c>
      <c r="J21" s="98" t="s">
        <v>535</v>
      </c>
      <c r="K21" s="98" t="s">
        <v>535</v>
      </c>
      <c r="L21" s="98" t="s">
        <v>535</v>
      </c>
      <c r="M21" s="98" t="s">
        <v>535</v>
      </c>
    </row>
    <row r="22">
      <c r="A22" s="33" t="s">
        <v>317</v>
      </c>
      <c r="B22" s="33" t="s">
        <v>318</v>
      </c>
      <c r="C22" s="100" t="str">
        <f>HYPERLINK("https://android-cret.corp.google.com/#fusion:id=com.google.android.ims","com.google.android.ims")</f>
        <v>com.google.android.ims</v>
      </c>
      <c r="D22" s="95" t="s">
        <v>853</v>
      </c>
      <c r="E22" s="96" t="s">
        <v>854</v>
      </c>
      <c r="F22" s="51" t="s">
        <v>855</v>
      </c>
      <c r="G22" s="97" t="s">
        <v>856</v>
      </c>
      <c r="H22" s="101" t="s">
        <v>857</v>
      </c>
      <c r="I22" s="101" t="s">
        <v>857</v>
      </c>
      <c r="J22" s="101" t="s">
        <v>858</v>
      </c>
      <c r="K22" s="101" t="s">
        <v>858</v>
      </c>
      <c r="L22" s="101" t="s">
        <v>858</v>
      </c>
      <c r="M22" s="101" t="s">
        <v>858</v>
      </c>
    </row>
    <row r="23">
      <c r="A23" s="33" t="s">
        <v>97</v>
      </c>
      <c r="B23" s="33" t="s">
        <v>98</v>
      </c>
      <c r="C23" s="100" t="str">
        <f>HYPERLINK("https://android-cret.corp.google.com/#fusion:id=com.google.android.dialer","com.google.android.dialer")</f>
        <v>com.google.android.dialer</v>
      </c>
      <c r="D23" s="95" t="s">
        <v>859</v>
      </c>
      <c r="E23" s="96" t="s">
        <v>860</v>
      </c>
      <c r="F23" s="51" t="s">
        <v>861</v>
      </c>
      <c r="G23" s="97" t="s">
        <v>862</v>
      </c>
      <c r="H23" s="101" t="s">
        <v>863</v>
      </c>
      <c r="I23" s="101" t="s">
        <v>863</v>
      </c>
      <c r="J23" s="101" t="s">
        <v>864</v>
      </c>
      <c r="K23" s="101" t="s">
        <v>864</v>
      </c>
      <c r="L23" s="101" t="s">
        <v>864</v>
      </c>
      <c r="M23" s="101" t="s">
        <v>864</v>
      </c>
    </row>
    <row r="24">
      <c r="A24" s="33" t="s">
        <v>327</v>
      </c>
      <c r="B24" s="33" t="s">
        <v>328</v>
      </c>
      <c r="C24" s="12" t="s">
        <v>329</v>
      </c>
      <c r="D24" s="95" t="s">
        <v>865</v>
      </c>
      <c r="E24" s="96" t="s">
        <v>865</v>
      </c>
      <c r="F24" s="51" t="s">
        <v>865</v>
      </c>
      <c r="G24" s="97" t="s">
        <v>865</v>
      </c>
      <c r="H24" s="98" t="s">
        <v>865</v>
      </c>
      <c r="I24" s="98" t="s">
        <v>865</v>
      </c>
      <c r="J24" s="98" t="s">
        <v>865</v>
      </c>
      <c r="K24" s="98" t="s">
        <v>865</v>
      </c>
      <c r="L24" s="98" t="s">
        <v>865</v>
      </c>
      <c r="M24" s="98" t="s">
        <v>865</v>
      </c>
    </row>
    <row r="25">
      <c r="A25" s="33" t="s">
        <v>101</v>
      </c>
      <c r="B25" s="33" t="s">
        <v>102</v>
      </c>
      <c r="C25" s="100" t="str">
        <f>HYPERLINK("https://android-cret.corp.google.com/#fusion:id=com.google.android.apps.turbo","com.google.android.apps.turbo")</f>
        <v>com.google.android.apps.turbo</v>
      </c>
      <c r="D25" s="95" t="s">
        <v>866</v>
      </c>
      <c r="E25" s="96" t="s">
        <v>867</v>
      </c>
      <c r="F25" s="51" t="s">
        <v>867</v>
      </c>
      <c r="G25" s="97" t="s">
        <v>867</v>
      </c>
      <c r="H25" s="98" t="s">
        <v>867</v>
      </c>
      <c r="I25" s="102" t="s">
        <v>867</v>
      </c>
      <c r="J25" s="102" t="s">
        <v>694</v>
      </c>
      <c r="K25" s="102" t="s">
        <v>694</v>
      </c>
      <c r="L25" s="102" t="s">
        <v>694</v>
      </c>
      <c r="M25" s="102" t="s">
        <v>694</v>
      </c>
    </row>
    <row r="26">
      <c r="A26" s="33" t="s">
        <v>105</v>
      </c>
      <c r="B26" s="33" t="s">
        <v>106</v>
      </c>
      <c r="C26" s="100" t="s">
        <v>107</v>
      </c>
      <c r="D26" s="95" t="s">
        <v>868</v>
      </c>
      <c r="E26" s="96" t="s">
        <v>868</v>
      </c>
      <c r="F26" s="51" t="s">
        <v>869</v>
      </c>
      <c r="G26" s="97" t="s">
        <v>870</v>
      </c>
      <c r="H26" s="101" t="s">
        <v>871</v>
      </c>
      <c r="I26" s="101" t="s">
        <v>871</v>
      </c>
      <c r="J26" s="101" t="s">
        <v>872</v>
      </c>
      <c r="K26" s="101" t="s">
        <v>872</v>
      </c>
      <c r="L26" s="101" t="s">
        <v>872</v>
      </c>
      <c r="M26" s="101" t="s">
        <v>872</v>
      </c>
    </row>
    <row r="27">
      <c r="A27" s="12" t="s">
        <v>110</v>
      </c>
      <c r="B27" s="12" t="s">
        <v>111</v>
      </c>
      <c r="C27" s="12" t="s">
        <v>112</v>
      </c>
      <c r="D27" s="95" t="s">
        <v>798</v>
      </c>
      <c r="E27" s="96" t="s">
        <v>798</v>
      </c>
      <c r="F27" s="51" t="s">
        <v>798</v>
      </c>
      <c r="G27" s="97" t="s">
        <v>798</v>
      </c>
      <c r="H27" s="101" t="s">
        <v>873</v>
      </c>
      <c r="I27" s="101" t="s">
        <v>873</v>
      </c>
      <c r="J27" s="101" t="s">
        <v>873</v>
      </c>
      <c r="K27" s="101" t="s">
        <v>873</v>
      </c>
      <c r="L27" s="101" t="s">
        <v>873</v>
      </c>
      <c r="M27" s="101" t="s">
        <v>873</v>
      </c>
    </row>
    <row r="28">
      <c r="A28" s="90" t="s">
        <v>113</v>
      </c>
      <c r="B28" s="91"/>
      <c r="C28" s="71"/>
      <c r="D28" s="95"/>
      <c r="E28" s="95"/>
      <c r="F28" s="51"/>
      <c r="G28" s="97"/>
      <c r="H28" s="98"/>
      <c r="I28" s="98"/>
      <c r="J28" s="98"/>
      <c r="K28" s="98"/>
      <c r="L28" s="98"/>
      <c r="M28" s="98"/>
    </row>
    <row r="29">
      <c r="A29" s="18" t="s">
        <v>114</v>
      </c>
      <c r="B29" s="18" t="s">
        <v>114</v>
      </c>
      <c r="C29" s="100" t="str">
        <f>HYPERLINK("https://android-cret.corp.google.com/#fusion:id=com.android.chrome","com.android.chrome")</f>
        <v>com.android.chrome</v>
      </c>
      <c r="D29" s="95" t="s">
        <v>874</v>
      </c>
      <c r="E29" s="96" t="s">
        <v>875</v>
      </c>
      <c r="F29" s="13" t="s">
        <v>876</v>
      </c>
      <c r="G29" s="110" t="s">
        <v>877</v>
      </c>
      <c r="H29" s="17" t="s">
        <v>878</v>
      </c>
      <c r="I29" s="16" t="s">
        <v>878</v>
      </c>
      <c r="J29" s="59" t="s">
        <v>704</v>
      </c>
      <c r="K29" s="59" t="s">
        <v>545</v>
      </c>
      <c r="L29" s="59" t="s">
        <v>545</v>
      </c>
      <c r="M29" s="59" t="s">
        <v>545</v>
      </c>
    </row>
    <row r="30">
      <c r="A30" s="18" t="s">
        <v>117</v>
      </c>
      <c r="B30" s="18" t="s">
        <v>117</v>
      </c>
      <c r="C30" s="100" t="str">
        <f>HYPERLINK("https://android-cret.corp.google.com/#fusion:id=com.google.android.apps.docs","com.google.android.apps.docs")</f>
        <v>com.google.android.apps.docs</v>
      </c>
      <c r="D30" s="95" t="s">
        <v>879</v>
      </c>
      <c r="E30" s="96" t="s">
        <v>880</v>
      </c>
      <c r="F30" s="75" t="s">
        <v>881</v>
      </c>
      <c r="G30" s="97" t="s">
        <v>882</v>
      </c>
      <c r="H30" s="17" t="s">
        <v>883</v>
      </c>
      <c r="I30" s="102" t="s">
        <v>884</v>
      </c>
      <c r="J30" s="102" t="s">
        <v>885</v>
      </c>
      <c r="K30" s="102" t="s">
        <v>885</v>
      </c>
      <c r="L30" s="102" t="s">
        <v>885</v>
      </c>
      <c r="M30" s="102" t="s">
        <v>885</v>
      </c>
    </row>
    <row r="31">
      <c r="A31" s="18" t="s">
        <v>886</v>
      </c>
      <c r="B31" s="18" t="s">
        <v>886</v>
      </c>
      <c r="C31" s="100" t="str">
        <f>HYPERLINK("https://android-cret.corp.google.com/#fusion:id=com.google.android.apps.tachyon","com.google.android.apps.tachyon")</f>
        <v>com.google.android.apps.tachyon</v>
      </c>
      <c r="D31" s="95" t="s">
        <v>887</v>
      </c>
      <c r="E31" s="96" t="s">
        <v>888</v>
      </c>
      <c r="F31" s="111" t="s">
        <v>889</v>
      </c>
      <c r="G31" s="112" t="s">
        <v>890</v>
      </c>
      <c r="H31" s="17" t="s">
        <v>891</v>
      </c>
      <c r="I31" s="102" t="s">
        <v>892</v>
      </c>
      <c r="J31" s="102" t="s">
        <v>893</v>
      </c>
      <c r="K31" s="102" t="s">
        <v>893</v>
      </c>
      <c r="L31" s="102" t="s">
        <v>893</v>
      </c>
      <c r="M31" s="102" t="s">
        <v>893</v>
      </c>
    </row>
    <row r="32">
      <c r="A32" s="18" t="s">
        <v>123</v>
      </c>
      <c r="B32" s="18" t="s">
        <v>124</v>
      </c>
      <c r="C32" s="100" t="str">
        <f>HYPERLINK("https://android-cret.corp.google.com/#fusion:id=com.google.android.gm","com.google.android.gm")</f>
        <v>com.google.android.gm</v>
      </c>
      <c r="D32" s="113" t="s">
        <v>894</v>
      </c>
      <c r="E32" s="114" t="s">
        <v>895</v>
      </c>
      <c r="F32" s="115" t="s">
        <v>896</v>
      </c>
      <c r="G32" s="116" t="s">
        <v>897</v>
      </c>
      <c r="H32" s="17" t="s">
        <v>898</v>
      </c>
      <c r="I32" s="117" t="s">
        <v>899</v>
      </c>
      <c r="J32" s="117" t="s">
        <v>900</v>
      </c>
      <c r="K32" s="117" t="s">
        <v>900</v>
      </c>
      <c r="L32" s="117" t="s">
        <v>900</v>
      </c>
      <c r="M32" s="117" t="s">
        <v>900</v>
      </c>
    </row>
    <row r="33">
      <c r="A33" s="18" t="s">
        <v>127</v>
      </c>
      <c r="B33" s="18" t="s">
        <v>128</v>
      </c>
      <c r="C33" s="12" t="s">
        <v>129</v>
      </c>
      <c r="D33" s="95" t="s">
        <v>901</v>
      </c>
      <c r="E33" s="96" t="s">
        <v>901</v>
      </c>
      <c r="F33" s="75" t="s">
        <v>722</v>
      </c>
      <c r="G33" s="97" t="s">
        <v>722</v>
      </c>
      <c r="H33" s="98" t="s">
        <v>722</v>
      </c>
      <c r="I33" s="98" t="s">
        <v>722</v>
      </c>
      <c r="J33" s="98" t="s">
        <v>722</v>
      </c>
      <c r="K33" s="98" t="s">
        <v>722</v>
      </c>
      <c r="L33" s="98" t="s">
        <v>722</v>
      </c>
      <c r="M33" s="98" t="s">
        <v>722</v>
      </c>
    </row>
    <row r="34">
      <c r="A34" s="18" t="s">
        <v>131</v>
      </c>
      <c r="B34" s="18" t="s">
        <v>131</v>
      </c>
      <c r="C34" s="100" t="str">
        <f>HYPERLINK("https://android-cret.corp.google.com/#fusion:id=com.google.android.apps.maps","com.google.android.apps.maps")</f>
        <v>com.google.android.apps.maps</v>
      </c>
      <c r="D34" s="95" t="s">
        <v>902</v>
      </c>
      <c r="E34" s="96" t="s">
        <v>903</v>
      </c>
      <c r="F34" s="75" t="s">
        <v>904</v>
      </c>
      <c r="G34" s="97" t="s">
        <v>905</v>
      </c>
      <c r="H34" s="101" t="s">
        <v>906</v>
      </c>
      <c r="I34" s="102" t="s">
        <v>907</v>
      </c>
      <c r="J34" s="102" t="s">
        <v>908</v>
      </c>
      <c r="K34" s="102" t="s">
        <v>908</v>
      </c>
      <c r="L34" s="102" t="s">
        <v>908</v>
      </c>
      <c r="M34" s="102" t="s">
        <v>908</v>
      </c>
    </row>
    <row r="35">
      <c r="A35" s="18" t="s">
        <v>134</v>
      </c>
      <c r="B35" s="18" t="s">
        <v>135</v>
      </c>
      <c r="C35" s="100" t="str">
        <f>HYPERLINK("https://android-cret.corp.google.com/#fusion:id=com.google.android.apps.photos","com.google.android.apps.photos")</f>
        <v>com.google.android.apps.photos</v>
      </c>
      <c r="D35" s="95" t="s">
        <v>909</v>
      </c>
      <c r="E35" s="96" t="s">
        <v>910</v>
      </c>
      <c r="F35" s="118" t="s">
        <v>910</v>
      </c>
      <c r="G35" s="119" t="s">
        <v>911</v>
      </c>
      <c r="H35" s="120" t="s">
        <v>911</v>
      </c>
      <c r="I35" s="102" t="s">
        <v>912</v>
      </c>
      <c r="J35" s="102" t="s">
        <v>913</v>
      </c>
      <c r="K35" s="102" t="s">
        <v>913</v>
      </c>
      <c r="L35" s="102" t="s">
        <v>913</v>
      </c>
      <c r="M35" s="102" t="s">
        <v>913</v>
      </c>
    </row>
    <row r="36">
      <c r="A36" s="18" t="s">
        <v>138</v>
      </c>
      <c r="B36" s="18" t="s">
        <v>139</v>
      </c>
      <c r="C36" s="100" t="str">
        <f>HYPERLINK("https://android-cret.corp.google.com/#fusion:id=com.google.android.videos","com.google.android.videos")</f>
        <v>com.google.android.videos</v>
      </c>
      <c r="D36" s="95" t="s">
        <v>914</v>
      </c>
      <c r="E36" s="96" t="s">
        <v>915</v>
      </c>
      <c r="F36" s="75" t="s">
        <v>916</v>
      </c>
      <c r="G36" s="97" t="s">
        <v>916</v>
      </c>
      <c r="H36" s="17" t="s">
        <v>917</v>
      </c>
      <c r="I36" s="102" t="s">
        <v>918</v>
      </c>
      <c r="J36" s="102" t="s">
        <v>919</v>
      </c>
      <c r="K36" s="102" t="s">
        <v>919</v>
      </c>
      <c r="L36" s="102" t="s">
        <v>919</v>
      </c>
      <c r="M36" s="102" t="s">
        <v>919</v>
      </c>
    </row>
    <row r="37">
      <c r="A37" s="18" t="s">
        <v>142</v>
      </c>
      <c r="B37" s="18" t="s">
        <v>143</v>
      </c>
      <c r="C37" s="100" t="str">
        <f>HYPERLINK("https://android-cret.corp.google.com/#fusion:id=com.google.android.webview","com.google.android.webview")</f>
        <v>com.google.android.webview</v>
      </c>
      <c r="D37" s="95" t="s">
        <v>874</v>
      </c>
      <c r="E37" s="96" t="s">
        <v>875</v>
      </c>
      <c r="F37" s="75" t="s">
        <v>876</v>
      </c>
      <c r="G37" s="97" t="s">
        <v>877</v>
      </c>
      <c r="H37" s="17" t="s">
        <v>878</v>
      </c>
      <c r="I37" s="16" t="s">
        <v>878</v>
      </c>
      <c r="J37" s="59" t="s">
        <v>704</v>
      </c>
      <c r="K37" s="59" t="s">
        <v>545</v>
      </c>
      <c r="L37" s="59" t="s">
        <v>545</v>
      </c>
      <c r="M37" s="59" t="s">
        <v>545</v>
      </c>
    </row>
    <row r="38">
      <c r="A38" s="18" t="s">
        <v>145</v>
      </c>
      <c r="B38" s="18" t="s">
        <v>145</v>
      </c>
      <c r="C38" s="100" t="str">
        <f>HYPERLINK("https://android-cret.corp.google.com/#fusion:id=com.google.android.youtube","com.google.android.youtube")</f>
        <v>com.google.android.youtube</v>
      </c>
      <c r="D38" s="95" t="s">
        <v>920</v>
      </c>
      <c r="E38" s="96" t="s">
        <v>921</v>
      </c>
      <c r="F38" s="29" t="s">
        <v>921</v>
      </c>
      <c r="G38" s="97" t="s">
        <v>921</v>
      </c>
      <c r="H38" s="17" t="s">
        <v>922</v>
      </c>
      <c r="I38" s="102" t="s">
        <v>923</v>
      </c>
      <c r="J38" s="102" t="s">
        <v>924</v>
      </c>
      <c r="K38" s="102" t="s">
        <v>924</v>
      </c>
      <c r="L38" s="102" t="s">
        <v>924</v>
      </c>
      <c r="M38" s="102" t="s">
        <v>924</v>
      </c>
    </row>
    <row r="39">
      <c r="A39" s="18" t="s">
        <v>148</v>
      </c>
      <c r="B39" s="18" t="s">
        <v>149</v>
      </c>
      <c r="C39" s="12" t="s">
        <v>150</v>
      </c>
      <c r="D39" s="95" t="s">
        <v>925</v>
      </c>
      <c r="E39" s="96" t="s">
        <v>926</v>
      </c>
      <c r="F39" s="75" t="s">
        <v>927</v>
      </c>
      <c r="G39" s="97" t="s">
        <v>928</v>
      </c>
      <c r="H39" s="121" t="s">
        <v>929</v>
      </c>
      <c r="I39" s="102" t="s">
        <v>930</v>
      </c>
      <c r="J39" s="102" t="s">
        <v>931</v>
      </c>
      <c r="K39" s="102" t="s">
        <v>931</v>
      </c>
      <c r="L39" s="102" t="s">
        <v>931</v>
      </c>
      <c r="M39" s="102" t="s">
        <v>931</v>
      </c>
    </row>
    <row r="40">
      <c r="A40" s="18" t="s">
        <v>153</v>
      </c>
      <c r="B40" s="18" t="s">
        <v>154</v>
      </c>
      <c r="C40" s="100" t="str">
        <f>HYPERLINK("https://android-cret.corp.google.com/#fusion:id=com.google.android.tts","com.google.android.tts")</f>
        <v>com.google.android.tts</v>
      </c>
      <c r="D40" s="95" t="s">
        <v>932</v>
      </c>
      <c r="E40" s="96" t="s">
        <v>933</v>
      </c>
      <c r="F40" s="75" t="s">
        <v>934</v>
      </c>
      <c r="G40" s="97" t="s">
        <v>745</v>
      </c>
      <c r="H40" s="17" t="s">
        <v>935</v>
      </c>
      <c r="I40" s="102" t="s">
        <v>936</v>
      </c>
      <c r="J40" s="102" t="s">
        <v>936</v>
      </c>
      <c r="K40" s="102" t="s">
        <v>936</v>
      </c>
      <c r="L40" s="102" t="s">
        <v>936</v>
      </c>
      <c r="M40" s="102" t="s">
        <v>936</v>
      </c>
    </row>
    <row r="41">
      <c r="A41" s="33" t="s">
        <v>157</v>
      </c>
      <c r="B41" s="33" t="s">
        <v>158</v>
      </c>
      <c r="C41" s="12" t="s">
        <v>159</v>
      </c>
      <c r="D41" s="95" t="s">
        <v>937</v>
      </c>
      <c r="E41" s="96" t="s">
        <v>937</v>
      </c>
      <c r="F41" s="122" t="s">
        <v>937</v>
      </c>
      <c r="G41" s="112" t="s">
        <v>938</v>
      </c>
      <c r="H41" s="13" t="s">
        <v>939</v>
      </c>
      <c r="I41" s="102" t="s">
        <v>940</v>
      </c>
      <c r="J41" s="102" t="s">
        <v>940</v>
      </c>
      <c r="K41" s="102" t="s">
        <v>940</v>
      </c>
      <c r="L41" s="102" t="s">
        <v>940</v>
      </c>
      <c r="M41" s="101" t="s">
        <v>940</v>
      </c>
    </row>
    <row r="42">
      <c r="A42" s="33" t="s">
        <v>162</v>
      </c>
      <c r="B42" s="33" t="s">
        <v>163</v>
      </c>
      <c r="C42" s="100" t="str">
        <f>HYPERLINK("https://android-cret.corp.google.com/#fusion:id=com.google.android.calendar","com.google.android.calendar")</f>
        <v>com.google.android.calendar</v>
      </c>
      <c r="D42" s="113" t="s">
        <v>941</v>
      </c>
      <c r="E42" s="114" t="s">
        <v>942</v>
      </c>
      <c r="F42" s="115" t="s">
        <v>943</v>
      </c>
      <c r="G42" s="116" t="s">
        <v>944</v>
      </c>
      <c r="H42" s="17" t="s">
        <v>945</v>
      </c>
      <c r="I42" s="102" t="s">
        <v>583</v>
      </c>
      <c r="J42" s="102" t="s">
        <v>583</v>
      </c>
      <c r="K42" s="102" t="s">
        <v>583</v>
      </c>
      <c r="L42" s="102" t="s">
        <v>583</v>
      </c>
      <c r="M42" s="101" t="s">
        <v>583</v>
      </c>
    </row>
    <row r="43">
      <c r="A43" s="33" t="s">
        <v>179</v>
      </c>
      <c r="B43" s="33" t="s">
        <v>180</v>
      </c>
      <c r="C43" s="100" t="str">
        <f>HYPERLINK("https://android-cret.corp.google.com/#fusion:id=com.google.android.deskclock","com.google.android.deskclock")</f>
        <v>com.google.android.deskclock</v>
      </c>
      <c r="D43" s="95" t="s">
        <v>946</v>
      </c>
      <c r="E43" s="96" t="s">
        <v>946</v>
      </c>
      <c r="F43" s="29" t="s">
        <v>946</v>
      </c>
      <c r="G43" s="97" t="s">
        <v>947</v>
      </c>
      <c r="H43" s="13" t="s">
        <v>948</v>
      </c>
      <c r="I43" s="102" t="s">
        <v>949</v>
      </c>
      <c r="J43" s="102" t="s">
        <v>950</v>
      </c>
      <c r="K43" s="102" t="s">
        <v>950</v>
      </c>
      <c r="L43" s="102" t="s">
        <v>950</v>
      </c>
      <c r="M43" s="101" t="s">
        <v>950</v>
      </c>
    </row>
    <row r="44">
      <c r="A44" s="33" t="s">
        <v>187</v>
      </c>
      <c r="B44" s="33" t="s">
        <v>188</v>
      </c>
      <c r="C44" s="100" t="str">
        <f>HYPERLINK("https://android-cret.corp.google.com/#fusion:id=com.google.android.contacts","com.google.android.contacts")</f>
        <v>com.google.android.contacts</v>
      </c>
      <c r="D44" s="95" t="s">
        <v>951</v>
      </c>
      <c r="E44" s="96" t="s">
        <v>952</v>
      </c>
      <c r="F44" s="75" t="s">
        <v>953</v>
      </c>
      <c r="G44" s="97" t="s">
        <v>954</v>
      </c>
      <c r="H44" s="17" t="s">
        <v>955</v>
      </c>
      <c r="I44" s="102" t="s">
        <v>956</v>
      </c>
      <c r="J44" s="102" t="s">
        <v>592</v>
      </c>
      <c r="K44" s="102" t="s">
        <v>592</v>
      </c>
      <c r="L44" s="102" t="s">
        <v>592</v>
      </c>
      <c r="M44" s="101" t="s">
        <v>592</v>
      </c>
    </row>
    <row r="45">
      <c r="A45" s="33" t="s">
        <v>191</v>
      </c>
      <c r="B45" s="33" t="s">
        <v>191</v>
      </c>
      <c r="C45" s="100" t="str">
        <f>HYPERLINK("https://android-cret.corp.google.com/#fusion:id=com.google.android.keep","com.google.android.keep")</f>
        <v>com.google.android.keep</v>
      </c>
      <c r="D45" s="95" t="s">
        <v>957</v>
      </c>
      <c r="E45" s="96" t="s">
        <v>958</v>
      </c>
      <c r="F45" s="29" t="s">
        <v>958</v>
      </c>
      <c r="G45" s="97" t="s">
        <v>959</v>
      </c>
      <c r="H45" s="17" t="s">
        <v>960</v>
      </c>
      <c r="I45" s="101" t="s">
        <v>961</v>
      </c>
      <c r="J45" s="101" t="s">
        <v>962</v>
      </c>
      <c r="K45" s="101" t="s">
        <v>962</v>
      </c>
      <c r="L45" s="101" t="s">
        <v>962</v>
      </c>
      <c r="M45" s="101" t="s">
        <v>962</v>
      </c>
    </row>
    <row r="46">
      <c r="A46" s="33" t="s">
        <v>194</v>
      </c>
      <c r="B46" s="33" t="s">
        <v>195</v>
      </c>
      <c r="C46" s="100" t="str">
        <f>HYPERLINK("https://android-cret.corp.google.com/#fusion:id=com.google.android.inputmethod.latin","com.google.android.inputmethod.latin")</f>
        <v>com.google.android.inputmethod.latin</v>
      </c>
      <c r="D46" s="95" t="s">
        <v>963</v>
      </c>
      <c r="E46" s="96" t="s">
        <v>964</v>
      </c>
      <c r="F46" s="75" t="s">
        <v>965</v>
      </c>
      <c r="G46" s="97" t="s">
        <v>966</v>
      </c>
      <c r="H46" s="17" t="s">
        <v>967</v>
      </c>
      <c r="I46" s="16" t="s">
        <v>967</v>
      </c>
      <c r="J46" s="59" t="s">
        <v>968</v>
      </c>
      <c r="K46" s="59" t="s">
        <v>968</v>
      </c>
      <c r="L46" s="59" t="s">
        <v>968</v>
      </c>
      <c r="M46" s="101" t="s">
        <v>968</v>
      </c>
    </row>
    <row r="47">
      <c r="A47" s="33" t="s">
        <v>198</v>
      </c>
      <c r="B47" s="33" t="s">
        <v>199</v>
      </c>
      <c r="C47" s="100" t="str">
        <f>HYPERLINK("https://android-cret.corp.google.com/#fusion:id=com.google.android.marvin.talkback","com.google.android.marvin.talkback")</f>
        <v>com.google.android.marvin.talkback</v>
      </c>
      <c r="D47" s="95" t="s">
        <v>969</v>
      </c>
      <c r="E47" s="96" t="s">
        <v>970</v>
      </c>
      <c r="F47" s="75" t="s">
        <v>971</v>
      </c>
      <c r="G47" s="97" t="s">
        <v>972</v>
      </c>
      <c r="H47" s="98" t="s">
        <v>972</v>
      </c>
      <c r="I47" s="98" t="s">
        <v>768</v>
      </c>
      <c r="J47" s="98" t="s">
        <v>973</v>
      </c>
      <c r="K47" s="98" t="s">
        <v>973</v>
      </c>
      <c r="L47" s="98" t="s">
        <v>973</v>
      </c>
      <c r="M47" s="101" t="s">
        <v>973</v>
      </c>
    </row>
    <row r="48">
      <c r="A48" s="33" t="s">
        <v>202</v>
      </c>
      <c r="B48" s="33" t="s">
        <v>202</v>
      </c>
      <c r="C48" s="100" t="str">
        <f>HYPERLINK("https://android-cret.corp.google.com/#fusion:id=com.google.android.apps.messaging","com.google.android.apps.messaging")</f>
        <v>com.google.android.apps.messaging</v>
      </c>
      <c r="D48" s="95" t="s">
        <v>974</v>
      </c>
      <c r="E48" s="96" t="s">
        <v>975</v>
      </c>
      <c r="F48" s="75" t="s">
        <v>976</v>
      </c>
      <c r="G48" s="97" t="s">
        <v>977</v>
      </c>
      <c r="H48" s="123" t="s">
        <v>978</v>
      </c>
      <c r="I48" s="102" t="s">
        <v>979</v>
      </c>
      <c r="J48" s="102" t="s">
        <v>980</v>
      </c>
      <c r="K48" s="102" t="s">
        <v>980</v>
      </c>
      <c r="L48" s="102" t="s">
        <v>980</v>
      </c>
      <c r="M48" s="101" t="s">
        <v>980</v>
      </c>
    </row>
    <row r="49">
      <c r="A49" s="12" t="s">
        <v>205</v>
      </c>
      <c r="B49" s="12" t="s">
        <v>206</v>
      </c>
      <c r="C49" s="12" t="s">
        <v>207</v>
      </c>
      <c r="D49" s="95">
        <v>1.0</v>
      </c>
      <c r="E49" s="95">
        <v>1.0</v>
      </c>
      <c r="F49" s="29">
        <v>1.0</v>
      </c>
      <c r="G49" s="124">
        <v>1.0</v>
      </c>
      <c r="H49" s="125">
        <v>1.0</v>
      </c>
      <c r="I49" s="125">
        <v>1.0</v>
      </c>
      <c r="J49" s="125">
        <v>1.0</v>
      </c>
      <c r="K49" s="125">
        <v>1.0</v>
      </c>
      <c r="L49" s="125">
        <v>1.0</v>
      </c>
      <c r="M49" s="125">
        <v>1.0</v>
      </c>
    </row>
    <row r="50">
      <c r="A50" s="12" t="s">
        <v>208</v>
      </c>
      <c r="B50" s="12" t="s">
        <v>209</v>
      </c>
      <c r="C50" s="12" t="s">
        <v>210</v>
      </c>
      <c r="D50" s="95" t="s">
        <v>211</v>
      </c>
      <c r="E50" s="96" t="s">
        <v>211</v>
      </c>
      <c r="F50" s="29" t="s">
        <v>211</v>
      </c>
      <c r="G50" s="97" t="s">
        <v>211</v>
      </c>
      <c r="H50" s="98" t="s">
        <v>211</v>
      </c>
      <c r="I50" s="98" t="s">
        <v>211</v>
      </c>
      <c r="J50" s="98" t="s">
        <v>211</v>
      </c>
      <c r="K50" s="98" t="s">
        <v>211</v>
      </c>
      <c r="L50" s="98" t="s">
        <v>211</v>
      </c>
      <c r="M50" s="101" t="s">
        <v>211</v>
      </c>
    </row>
    <row r="51">
      <c r="A51" s="90" t="s">
        <v>213</v>
      </c>
      <c r="B51" s="91"/>
      <c r="C51" s="71"/>
      <c r="D51" s="95"/>
      <c r="E51" s="95"/>
      <c r="F51" s="29"/>
      <c r="G51" s="124"/>
      <c r="H51" s="125"/>
      <c r="I51" s="125"/>
      <c r="J51" s="125"/>
      <c r="K51" s="125"/>
      <c r="L51" s="125"/>
      <c r="M51" s="101"/>
    </row>
    <row r="52">
      <c r="A52" s="126" t="s">
        <v>214</v>
      </c>
      <c r="B52" s="126" t="s">
        <v>215</v>
      </c>
      <c r="C52" s="100" t="str">
        <f>HYPERLINK("https://android-cret.corp.google.com/#fusion:id=com.google.android.apps.assistant","com.google.android.apps.assistant")</f>
        <v>com.google.android.apps.assistant</v>
      </c>
      <c r="D52" s="95" t="s">
        <v>981</v>
      </c>
      <c r="E52" s="96" t="s">
        <v>982</v>
      </c>
      <c r="F52" s="51" t="s">
        <v>982</v>
      </c>
      <c r="G52" s="97" t="s">
        <v>983</v>
      </c>
      <c r="H52" s="98" t="s">
        <v>983</v>
      </c>
      <c r="I52" s="117" t="s">
        <v>610</v>
      </c>
      <c r="J52" s="117" t="s">
        <v>610</v>
      </c>
      <c r="K52" s="117" t="s">
        <v>610</v>
      </c>
      <c r="L52" s="117" t="s">
        <v>610</v>
      </c>
      <c r="M52" s="102" t="s">
        <v>610</v>
      </c>
    </row>
    <row r="53">
      <c r="A53" s="126" t="s">
        <v>984</v>
      </c>
      <c r="B53" s="126" t="s">
        <v>985</v>
      </c>
      <c r="C53" s="100" t="str">
        <f>HYPERLINK("https://android-cret.corp.google.com/#fusion:id=com.google.android.apps.tachyon","com.google.android.apps.tachyon")</f>
        <v>com.google.android.apps.tachyon</v>
      </c>
      <c r="D53" s="95" t="s">
        <v>986</v>
      </c>
      <c r="E53" s="96" t="s">
        <v>888</v>
      </c>
      <c r="F53" s="51" t="s">
        <v>889</v>
      </c>
      <c r="G53" s="97" t="s">
        <v>890</v>
      </c>
      <c r="H53" s="17" t="s">
        <v>891</v>
      </c>
      <c r="I53" s="117" t="s">
        <v>892</v>
      </c>
      <c r="J53" s="117" t="s">
        <v>892</v>
      </c>
      <c r="K53" s="117" t="s">
        <v>892</v>
      </c>
      <c r="L53" s="117" t="s">
        <v>892</v>
      </c>
      <c r="M53" s="117" t="s">
        <v>892</v>
      </c>
    </row>
    <row r="54">
      <c r="A54" s="126" t="s">
        <v>219</v>
      </c>
      <c r="B54" s="126" t="s">
        <v>220</v>
      </c>
      <c r="C54" s="100" t="str">
        <f>HYPERLINK("https://android-cret.corp.google.com/#fusion:id=com.google.android.apps.nbu.files","com.google.android.apps.nbu.files")</f>
        <v>com.google.android.apps.nbu.files</v>
      </c>
      <c r="D54" s="95" t="s">
        <v>987</v>
      </c>
      <c r="E54" s="96" t="s">
        <v>988</v>
      </c>
      <c r="F54" s="51" t="s">
        <v>989</v>
      </c>
      <c r="G54" s="97" t="s">
        <v>775</v>
      </c>
      <c r="H54" s="17" t="s">
        <v>990</v>
      </c>
      <c r="I54" s="17" t="s">
        <v>990</v>
      </c>
      <c r="J54" s="17" t="s">
        <v>990</v>
      </c>
      <c r="K54" s="17" t="s">
        <v>990</v>
      </c>
      <c r="L54" s="17" t="s">
        <v>990</v>
      </c>
      <c r="M54" s="98" t="s">
        <v>990</v>
      </c>
    </row>
    <row r="55">
      <c r="A55" s="126" t="s">
        <v>223</v>
      </c>
      <c r="B55" s="126" t="s">
        <v>224</v>
      </c>
      <c r="C55" s="100" t="str">
        <f>HYPERLINK("https://android-cret.corp.google.com/#fusion:id=com.google.android.apps.photosgo","com.google.android.apps.photosgo")</f>
        <v>com.google.android.apps.photosgo</v>
      </c>
      <c r="D55" s="95" t="s">
        <v>991</v>
      </c>
      <c r="E55" s="96" t="s">
        <v>992</v>
      </c>
      <c r="F55" s="51" t="s">
        <v>993</v>
      </c>
      <c r="G55" s="97" t="s">
        <v>778</v>
      </c>
      <c r="H55" s="98" t="s">
        <v>778</v>
      </c>
      <c r="I55" s="98" t="s">
        <v>778</v>
      </c>
      <c r="J55" s="98" t="s">
        <v>778</v>
      </c>
      <c r="K55" s="98" t="s">
        <v>778</v>
      </c>
      <c r="L55" s="98" t="s">
        <v>778</v>
      </c>
      <c r="M55" s="102" t="s">
        <v>778</v>
      </c>
    </row>
    <row r="56">
      <c r="A56" s="126" t="s">
        <v>226</v>
      </c>
      <c r="B56" s="126" t="s">
        <v>227</v>
      </c>
      <c r="C56" s="100" t="str">
        <f>HYPERLINK("https://android-cret.corp.google.com/#fusion:id=com.google.android.gms","com.google.android.gms")</f>
        <v>com.google.android.gms</v>
      </c>
      <c r="D56" s="95" t="s">
        <v>803</v>
      </c>
      <c r="E56" s="96" t="s">
        <v>804</v>
      </c>
      <c r="F56" s="51" t="s">
        <v>805</v>
      </c>
      <c r="G56" s="97" t="s">
        <v>806</v>
      </c>
      <c r="H56" s="17" t="s">
        <v>807</v>
      </c>
      <c r="I56" s="117" t="s">
        <v>808</v>
      </c>
      <c r="J56" s="117" t="s">
        <v>809</v>
      </c>
      <c r="K56" s="117" t="s">
        <v>809</v>
      </c>
      <c r="L56" s="117" t="s">
        <v>809</v>
      </c>
      <c r="M56" s="102" t="s">
        <v>809</v>
      </c>
    </row>
    <row r="57">
      <c r="A57" s="126" t="s">
        <v>994</v>
      </c>
      <c r="B57" s="126" t="s">
        <v>995</v>
      </c>
      <c r="C57" s="100" t="str">
        <f>HYPERLINK("https://android-cret.corp.google.com/#fusion:id=com.google.android.dialer","com.google.android.dialer")</f>
        <v>com.google.android.dialer</v>
      </c>
      <c r="D57" s="95" t="s">
        <v>859</v>
      </c>
      <c r="E57" s="96" t="s">
        <v>860</v>
      </c>
      <c r="F57" s="51" t="s">
        <v>861</v>
      </c>
      <c r="G57" s="97" t="s">
        <v>862</v>
      </c>
      <c r="H57" s="17" t="s">
        <v>863</v>
      </c>
      <c r="I57" s="16" t="s">
        <v>863</v>
      </c>
      <c r="J57" s="59" t="s">
        <v>864</v>
      </c>
      <c r="K57" s="59" t="s">
        <v>864</v>
      </c>
      <c r="L57" s="59" t="s">
        <v>864</v>
      </c>
      <c r="M57" s="117" t="s">
        <v>864</v>
      </c>
    </row>
    <row r="58">
      <c r="A58" s="126" t="s">
        <v>229</v>
      </c>
      <c r="B58" s="126" t="s">
        <v>230</v>
      </c>
      <c r="C58" s="100" t="str">
        <f>HYPERLINK("https://android-cret.corp.google.com/#fusion:id=com.google.android.apps.searchlite","com.google.android.apps.searchlite")</f>
        <v>com.google.android.apps.searchlite</v>
      </c>
      <c r="D58" s="95" t="s">
        <v>996</v>
      </c>
      <c r="E58" s="96" t="s">
        <v>997</v>
      </c>
      <c r="F58" s="51" t="s">
        <v>997</v>
      </c>
      <c r="G58" s="97" t="s">
        <v>998</v>
      </c>
      <c r="H58" s="17" t="s">
        <v>999</v>
      </c>
      <c r="I58" s="16" t="s">
        <v>999</v>
      </c>
      <c r="J58" s="59" t="s">
        <v>1000</v>
      </c>
      <c r="K58" s="59" t="s">
        <v>1000</v>
      </c>
      <c r="L58" s="59" t="s">
        <v>1000</v>
      </c>
      <c r="M58" s="98" t="s">
        <v>1000</v>
      </c>
    </row>
    <row r="59">
      <c r="A59" s="126" t="s">
        <v>233</v>
      </c>
      <c r="B59" s="126" t="s">
        <v>234</v>
      </c>
      <c r="C59" s="100" t="str">
        <f>HYPERLINK("https://android-cret.corp.google.com/#fusion:id=com.google.android.inputmethod.latin","com.google.android.inputmethod.latin")</f>
        <v>com.google.android.inputmethod.latin</v>
      </c>
      <c r="D59" s="95" t="s">
        <v>963</v>
      </c>
      <c r="E59" s="96" t="s">
        <v>964</v>
      </c>
      <c r="F59" s="51" t="s">
        <v>964</v>
      </c>
      <c r="G59" s="97" t="s">
        <v>966</v>
      </c>
      <c r="H59" s="17" t="s">
        <v>967</v>
      </c>
      <c r="I59" s="117" t="s">
        <v>1001</v>
      </c>
      <c r="J59" s="117" t="s">
        <v>968</v>
      </c>
      <c r="K59" s="117" t="s">
        <v>968</v>
      </c>
      <c r="L59" s="117" t="s">
        <v>968</v>
      </c>
      <c r="M59" s="102" t="s">
        <v>968</v>
      </c>
    </row>
    <row r="60">
      <c r="A60" s="126" t="s">
        <v>235</v>
      </c>
      <c r="B60" s="126" t="s">
        <v>236</v>
      </c>
      <c r="C60" s="100" t="str">
        <f>HYPERLINK("https://android-cret.corp.google.com/#fusion:id=com.google.android.apps.messaging","com.google.android.apps.messaging")</f>
        <v>com.google.android.apps.messaging</v>
      </c>
      <c r="D60" s="95" t="s">
        <v>1002</v>
      </c>
      <c r="E60" s="96" t="s">
        <v>975</v>
      </c>
      <c r="F60" s="51" t="s">
        <v>976</v>
      </c>
      <c r="G60" s="97" t="s">
        <v>977</v>
      </c>
      <c r="H60" s="17" t="s">
        <v>978</v>
      </c>
      <c r="I60" s="102" t="s">
        <v>979</v>
      </c>
      <c r="J60" s="102" t="s">
        <v>980</v>
      </c>
      <c r="K60" s="102" t="s">
        <v>980</v>
      </c>
      <c r="L60" s="102" t="s">
        <v>980</v>
      </c>
      <c r="M60" s="102" t="s">
        <v>980</v>
      </c>
    </row>
    <row r="61">
      <c r="A61" s="64"/>
      <c r="B61" s="64"/>
      <c r="C61" s="64"/>
      <c r="D61" s="127"/>
      <c r="E61" s="127"/>
      <c r="F61" s="42"/>
      <c r="G61" s="128"/>
      <c r="H61" s="128"/>
      <c r="I61" s="128"/>
      <c r="J61" s="128"/>
      <c r="K61" s="128"/>
      <c r="L61" s="128"/>
      <c r="M61" s="128"/>
    </row>
    <row r="62">
      <c r="D62" s="129"/>
      <c r="E62" s="129"/>
      <c r="F62" s="42"/>
      <c r="G62" s="128"/>
      <c r="H62" s="128"/>
      <c r="I62" s="128"/>
      <c r="J62" s="128"/>
      <c r="K62" s="128"/>
      <c r="L62" s="128"/>
      <c r="M62" s="128"/>
    </row>
    <row r="63">
      <c r="D63" s="129"/>
      <c r="E63" s="129"/>
      <c r="F63" s="42"/>
      <c r="G63" s="128"/>
      <c r="H63" s="128"/>
      <c r="I63" s="128"/>
      <c r="J63" s="128"/>
      <c r="K63" s="128"/>
      <c r="L63" s="128"/>
      <c r="M63" s="128"/>
    </row>
    <row r="64">
      <c r="D64" s="129"/>
      <c r="E64" s="129"/>
      <c r="F64" s="42"/>
      <c r="G64" s="128"/>
      <c r="H64" s="128"/>
      <c r="I64" s="128"/>
      <c r="J64" s="128"/>
      <c r="K64" s="128"/>
      <c r="L64" s="128"/>
      <c r="M64" s="128"/>
    </row>
    <row r="65">
      <c r="D65" s="129"/>
      <c r="E65" s="129"/>
      <c r="F65" s="42"/>
      <c r="G65" s="128"/>
      <c r="H65" s="128"/>
      <c r="I65" s="128"/>
      <c r="J65" s="128"/>
      <c r="K65" s="128"/>
      <c r="L65" s="128"/>
      <c r="M65" s="128"/>
    </row>
    <row r="66">
      <c r="D66" s="129"/>
      <c r="E66" s="129"/>
      <c r="F66" s="42"/>
      <c r="G66" s="128"/>
      <c r="H66" s="128"/>
      <c r="I66" s="128"/>
      <c r="J66" s="128"/>
      <c r="K66" s="128"/>
      <c r="L66" s="128"/>
      <c r="M66" s="128"/>
    </row>
    <row r="67">
      <c r="D67" s="129"/>
      <c r="E67" s="129"/>
      <c r="F67" s="42"/>
      <c r="G67" s="128"/>
      <c r="H67" s="128"/>
      <c r="I67" s="128"/>
      <c r="J67" s="128"/>
      <c r="K67" s="128"/>
      <c r="L67" s="128"/>
      <c r="M67" s="128"/>
    </row>
    <row r="68">
      <c r="D68" s="129"/>
      <c r="E68" s="129"/>
      <c r="F68" s="42"/>
      <c r="G68" s="128"/>
      <c r="H68" s="128"/>
      <c r="I68" s="128"/>
      <c r="J68" s="128"/>
      <c r="K68" s="128"/>
      <c r="L68" s="128"/>
      <c r="M68" s="128"/>
    </row>
    <row r="69">
      <c r="D69" s="129"/>
      <c r="E69" s="129"/>
      <c r="F69" s="42"/>
      <c r="G69" s="128"/>
      <c r="H69" s="128"/>
      <c r="I69" s="128"/>
      <c r="J69" s="128"/>
      <c r="K69" s="128"/>
      <c r="L69" s="128"/>
      <c r="M69" s="128"/>
    </row>
    <row r="70">
      <c r="D70" s="129"/>
      <c r="E70" s="129"/>
      <c r="F70" s="42"/>
      <c r="G70" s="128"/>
      <c r="H70" s="128"/>
      <c r="I70" s="128"/>
      <c r="J70" s="128"/>
      <c r="K70" s="128"/>
      <c r="L70" s="128"/>
      <c r="M70" s="128"/>
    </row>
    <row r="71">
      <c r="D71" s="129"/>
      <c r="E71" s="129"/>
      <c r="F71" s="42"/>
      <c r="G71" s="128"/>
      <c r="H71" s="128"/>
      <c r="I71" s="128"/>
      <c r="J71" s="128"/>
      <c r="K71" s="128"/>
      <c r="L71" s="128"/>
      <c r="M71" s="128"/>
    </row>
    <row r="72">
      <c r="D72" s="129"/>
      <c r="E72" s="129"/>
      <c r="F72" s="42"/>
      <c r="G72" s="128"/>
      <c r="H72" s="128"/>
      <c r="I72" s="128"/>
      <c r="J72" s="128"/>
      <c r="K72" s="128"/>
      <c r="L72" s="128"/>
      <c r="M72" s="128"/>
    </row>
    <row r="73">
      <c r="D73" s="129"/>
      <c r="E73" s="129"/>
      <c r="F73" s="42"/>
      <c r="G73" s="128"/>
      <c r="H73" s="128"/>
      <c r="I73" s="128"/>
      <c r="J73" s="128"/>
      <c r="K73" s="128"/>
      <c r="L73" s="128"/>
      <c r="M73" s="128"/>
    </row>
    <row r="74">
      <c r="D74" s="129"/>
      <c r="E74" s="129"/>
      <c r="F74" s="42"/>
      <c r="G74" s="128"/>
      <c r="H74" s="128"/>
      <c r="I74" s="128"/>
      <c r="J74" s="128"/>
      <c r="K74" s="128"/>
      <c r="L74" s="128"/>
      <c r="M74" s="128"/>
    </row>
    <row r="75">
      <c r="D75" s="129"/>
      <c r="E75" s="129"/>
      <c r="F75" s="42"/>
      <c r="G75" s="128"/>
      <c r="H75" s="128"/>
      <c r="I75" s="128"/>
      <c r="J75" s="128"/>
      <c r="K75" s="128"/>
      <c r="L75" s="128"/>
      <c r="M75" s="128"/>
    </row>
    <row r="76">
      <c r="D76" s="129"/>
      <c r="E76" s="129"/>
      <c r="F76" s="42"/>
      <c r="G76" s="128"/>
      <c r="H76" s="128"/>
      <c r="I76" s="128"/>
      <c r="J76" s="128"/>
      <c r="K76" s="128"/>
      <c r="L76" s="128"/>
      <c r="M76" s="128"/>
    </row>
    <row r="77">
      <c r="D77" s="129"/>
      <c r="E77" s="129"/>
      <c r="F77" s="42"/>
      <c r="G77" s="128"/>
      <c r="H77" s="128"/>
      <c r="I77" s="128"/>
      <c r="J77" s="128"/>
      <c r="K77" s="128"/>
      <c r="L77" s="128"/>
      <c r="M77" s="128"/>
    </row>
    <row r="78">
      <c r="D78" s="129"/>
      <c r="E78" s="129"/>
      <c r="F78" s="42"/>
      <c r="G78" s="128"/>
      <c r="H78" s="128"/>
      <c r="I78" s="128"/>
      <c r="J78" s="128"/>
      <c r="K78" s="128"/>
      <c r="L78" s="128"/>
      <c r="M78" s="128"/>
    </row>
    <row r="79">
      <c r="D79" s="129"/>
      <c r="E79" s="129"/>
      <c r="F79" s="42"/>
      <c r="G79" s="128"/>
      <c r="H79" s="128"/>
      <c r="I79" s="128"/>
      <c r="J79" s="128"/>
      <c r="K79" s="128"/>
      <c r="L79" s="128"/>
      <c r="M79" s="128"/>
    </row>
    <row r="80">
      <c r="D80" s="129"/>
      <c r="E80" s="129"/>
      <c r="F80" s="42"/>
      <c r="G80" s="128"/>
      <c r="H80" s="128"/>
      <c r="I80" s="128"/>
      <c r="J80" s="128"/>
      <c r="K80" s="128"/>
      <c r="L80" s="128"/>
      <c r="M80" s="128"/>
    </row>
    <row r="81">
      <c r="D81" s="129"/>
      <c r="E81" s="129"/>
      <c r="F81" s="42"/>
      <c r="G81" s="128"/>
      <c r="H81" s="128"/>
      <c r="I81" s="128"/>
      <c r="J81" s="128"/>
      <c r="K81" s="128"/>
      <c r="L81" s="128"/>
      <c r="M81" s="128"/>
    </row>
    <row r="82">
      <c r="D82" s="129"/>
      <c r="E82" s="129"/>
      <c r="F82" s="42"/>
      <c r="G82" s="128"/>
      <c r="H82" s="128"/>
      <c r="I82" s="128"/>
      <c r="J82" s="128"/>
      <c r="K82" s="128"/>
      <c r="L82" s="128"/>
      <c r="M82" s="128"/>
    </row>
    <row r="83">
      <c r="D83" s="129"/>
      <c r="E83" s="129"/>
      <c r="F83" s="42"/>
      <c r="G83" s="128"/>
      <c r="H83" s="128"/>
      <c r="I83" s="128"/>
      <c r="J83" s="128"/>
      <c r="K83" s="128"/>
      <c r="L83" s="128"/>
      <c r="M83" s="128"/>
    </row>
    <row r="84">
      <c r="D84" s="129"/>
      <c r="E84" s="129"/>
      <c r="F84" s="42"/>
      <c r="G84" s="128"/>
      <c r="H84" s="128"/>
      <c r="I84" s="128"/>
      <c r="J84" s="128"/>
      <c r="K84" s="128"/>
      <c r="L84" s="128"/>
      <c r="M84" s="128"/>
    </row>
    <row r="85">
      <c r="D85" s="129"/>
      <c r="E85" s="129"/>
      <c r="F85" s="42"/>
      <c r="G85" s="128"/>
      <c r="H85" s="128"/>
      <c r="I85" s="128"/>
      <c r="J85" s="128"/>
      <c r="K85" s="128"/>
      <c r="L85" s="128"/>
      <c r="M85" s="128"/>
    </row>
    <row r="86">
      <c r="D86" s="129"/>
      <c r="E86" s="129"/>
      <c r="F86" s="42"/>
      <c r="G86" s="128"/>
      <c r="H86" s="128"/>
      <c r="I86" s="128"/>
      <c r="J86" s="128"/>
      <c r="K86" s="128"/>
      <c r="L86" s="128"/>
      <c r="M86" s="128"/>
    </row>
    <row r="87">
      <c r="D87" s="129"/>
      <c r="E87" s="129"/>
      <c r="F87" s="42"/>
      <c r="G87" s="128"/>
      <c r="H87" s="128"/>
      <c r="I87" s="128"/>
      <c r="J87" s="128"/>
      <c r="K87" s="128"/>
      <c r="L87" s="128"/>
      <c r="M87" s="128"/>
    </row>
    <row r="88">
      <c r="D88" s="129"/>
      <c r="E88" s="129"/>
      <c r="F88" s="42"/>
      <c r="G88" s="128"/>
      <c r="H88" s="128"/>
      <c r="I88" s="128"/>
      <c r="J88" s="128"/>
      <c r="K88" s="128"/>
      <c r="L88" s="128"/>
      <c r="M88" s="128"/>
    </row>
    <row r="89">
      <c r="D89" s="129"/>
      <c r="E89" s="129"/>
      <c r="F89" s="42"/>
      <c r="G89" s="128"/>
      <c r="H89" s="128"/>
      <c r="I89" s="128"/>
      <c r="J89" s="128"/>
      <c r="K89" s="128"/>
      <c r="L89" s="128"/>
      <c r="M89" s="128"/>
    </row>
    <row r="90">
      <c r="D90" s="129"/>
      <c r="E90" s="129"/>
      <c r="F90" s="42"/>
      <c r="G90" s="128"/>
      <c r="H90" s="128"/>
      <c r="I90" s="128"/>
      <c r="J90" s="128"/>
      <c r="K90" s="128"/>
      <c r="L90" s="128"/>
      <c r="M90" s="128"/>
    </row>
    <row r="91">
      <c r="D91" s="129"/>
      <c r="E91" s="129"/>
      <c r="F91" s="42"/>
      <c r="G91" s="128"/>
      <c r="H91" s="128"/>
      <c r="I91" s="128"/>
      <c r="J91" s="128"/>
      <c r="K91" s="128"/>
      <c r="L91" s="128"/>
      <c r="M91" s="128"/>
    </row>
    <row r="92">
      <c r="D92" s="129"/>
      <c r="E92" s="129"/>
      <c r="F92" s="42"/>
      <c r="G92" s="128"/>
      <c r="H92" s="128"/>
      <c r="I92" s="128"/>
      <c r="J92" s="128"/>
      <c r="K92" s="128"/>
      <c r="L92" s="128"/>
      <c r="M92" s="128"/>
    </row>
    <row r="93">
      <c r="D93" s="129"/>
      <c r="E93" s="129"/>
      <c r="F93" s="42"/>
      <c r="G93" s="128"/>
      <c r="H93" s="128"/>
      <c r="I93" s="128"/>
      <c r="J93" s="128"/>
      <c r="K93" s="128"/>
      <c r="L93" s="128"/>
      <c r="M93" s="128"/>
    </row>
    <row r="94">
      <c r="D94" s="129"/>
      <c r="E94" s="129"/>
      <c r="F94" s="42"/>
      <c r="G94" s="128"/>
      <c r="H94" s="128"/>
      <c r="I94" s="128"/>
      <c r="J94" s="128"/>
      <c r="K94" s="128"/>
      <c r="L94" s="128"/>
      <c r="M94" s="128"/>
    </row>
    <row r="95">
      <c r="D95" s="129"/>
      <c r="E95" s="129"/>
      <c r="F95" s="42"/>
      <c r="G95" s="128"/>
      <c r="H95" s="128"/>
      <c r="I95" s="128"/>
      <c r="J95" s="128"/>
      <c r="K95" s="128"/>
      <c r="L95" s="128"/>
      <c r="M95" s="128"/>
    </row>
    <row r="96">
      <c r="D96" s="129"/>
      <c r="E96" s="129"/>
      <c r="F96" s="42"/>
      <c r="G96" s="128"/>
      <c r="H96" s="128"/>
      <c r="I96" s="128"/>
      <c r="J96" s="128"/>
      <c r="K96" s="128"/>
      <c r="L96" s="128"/>
      <c r="M96" s="128"/>
    </row>
    <row r="97">
      <c r="D97" s="129"/>
      <c r="E97" s="129"/>
      <c r="F97" s="42"/>
      <c r="G97" s="128"/>
      <c r="H97" s="128"/>
      <c r="I97" s="128"/>
      <c r="J97" s="128"/>
      <c r="K97" s="128"/>
      <c r="L97" s="128"/>
      <c r="M97" s="128"/>
    </row>
    <row r="98">
      <c r="D98" s="129"/>
      <c r="E98" s="129"/>
      <c r="F98" s="42"/>
      <c r="G98" s="128"/>
      <c r="H98" s="128"/>
      <c r="I98" s="128"/>
      <c r="J98" s="128"/>
      <c r="K98" s="128"/>
      <c r="L98" s="128"/>
      <c r="M98" s="128"/>
    </row>
    <row r="99">
      <c r="D99" s="129"/>
      <c r="E99" s="129"/>
      <c r="F99" s="42"/>
      <c r="G99" s="128"/>
      <c r="H99" s="128"/>
      <c r="I99" s="128"/>
      <c r="J99" s="128"/>
      <c r="K99" s="128"/>
      <c r="L99" s="128"/>
      <c r="M99" s="128"/>
    </row>
    <row r="100">
      <c r="D100" s="129"/>
      <c r="E100" s="129"/>
      <c r="F100" s="42"/>
      <c r="G100" s="128"/>
      <c r="H100" s="128"/>
      <c r="I100" s="128"/>
      <c r="J100" s="128"/>
      <c r="K100" s="128"/>
      <c r="L100" s="128"/>
      <c r="M100" s="128"/>
    </row>
    <row r="101">
      <c r="D101" s="129"/>
      <c r="E101" s="129"/>
      <c r="F101" s="42"/>
      <c r="G101" s="128"/>
      <c r="H101" s="128"/>
      <c r="I101" s="128"/>
      <c r="J101" s="128"/>
      <c r="K101" s="128"/>
      <c r="L101" s="128"/>
      <c r="M101" s="128"/>
    </row>
    <row r="102">
      <c r="D102" s="129"/>
      <c r="E102" s="129"/>
      <c r="F102" s="42"/>
      <c r="G102" s="128"/>
      <c r="H102" s="128"/>
      <c r="I102" s="128"/>
      <c r="J102" s="128"/>
      <c r="K102" s="128"/>
      <c r="L102" s="128"/>
      <c r="M102" s="128"/>
    </row>
    <row r="103">
      <c r="D103" s="129"/>
      <c r="E103" s="129"/>
      <c r="F103" s="42"/>
      <c r="G103" s="128"/>
      <c r="H103" s="128"/>
      <c r="I103" s="128"/>
      <c r="J103" s="128"/>
      <c r="K103" s="128"/>
      <c r="L103" s="128"/>
      <c r="M103" s="128"/>
    </row>
    <row r="104">
      <c r="D104" s="129"/>
      <c r="E104" s="129"/>
      <c r="F104" s="42"/>
      <c r="G104" s="128"/>
      <c r="H104" s="128"/>
      <c r="I104" s="128"/>
      <c r="J104" s="128"/>
      <c r="K104" s="128"/>
      <c r="L104" s="128"/>
      <c r="M104" s="128"/>
    </row>
    <row r="105">
      <c r="D105" s="129"/>
      <c r="E105" s="129"/>
      <c r="F105" s="42"/>
      <c r="G105" s="128"/>
      <c r="H105" s="128"/>
      <c r="I105" s="128"/>
      <c r="J105" s="128"/>
      <c r="K105" s="128"/>
      <c r="L105" s="128"/>
      <c r="M105" s="128"/>
    </row>
    <row r="106">
      <c r="D106" s="129"/>
      <c r="E106" s="129"/>
      <c r="F106" s="42"/>
      <c r="G106" s="128"/>
      <c r="H106" s="128"/>
      <c r="I106" s="128"/>
      <c r="J106" s="128"/>
      <c r="K106" s="128"/>
      <c r="L106" s="128"/>
      <c r="M106" s="128"/>
    </row>
    <row r="107">
      <c r="D107" s="129"/>
      <c r="E107" s="129"/>
      <c r="F107" s="42"/>
      <c r="G107" s="128"/>
      <c r="H107" s="128"/>
      <c r="I107" s="128"/>
      <c r="J107" s="128"/>
      <c r="K107" s="128"/>
      <c r="L107" s="128"/>
      <c r="M107" s="128"/>
    </row>
    <row r="108">
      <c r="D108" s="129"/>
      <c r="E108" s="129"/>
      <c r="F108" s="42"/>
      <c r="G108" s="128"/>
      <c r="H108" s="128"/>
      <c r="I108" s="128"/>
      <c r="J108" s="128"/>
      <c r="K108" s="128"/>
      <c r="L108" s="128"/>
      <c r="M108" s="128"/>
    </row>
    <row r="109">
      <c r="D109" s="129"/>
      <c r="E109" s="129"/>
      <c r="F109" s="42"/>
      <c r="G109" s="128"/>
      <c r="H109" s="128"/>
      <c r="I109" s="128"/>
      <c r="J109" s="128"/>
      <c r="K109" s="128"/>
      <c r="L109" s="128"/>
      <c r="M109" s="128"/>
    </row>
    <row r="110">
      <c r="D110" s="129"/>
      <c r="E110" s="129"/>
      <c r="F110" s="42"/>
      <c r="G110" s="128"/>
      <c r="H110" s="128"/>
      <c r="I110" s="128"/>
      <c r="J110" s="128"/>
      <c r="K110" s="128"/>
      <c r="L110" s="128"/>
      <c r="M110" s="128"/>
    </row>
    <row r="111">
      <c r="D111" s="129"/>
      <c r="E111" s="129"/>
      <c r="F111" s="42"/>
      <c r="G111" s="128"/>
      <c r="H111" s="128"/>
      <c r="I111" s="128"/>
      <c r="J111" s="128"/>
      <c r="K111" s="128"/>
      <c r="L111" s="128"/>
      <c r="M111" s="128"/>
    </row>
    <row r="112">
      <c r="D112" s="129"/>
      <c r="E112" s="129"/>
      <c r="F112" s="42"/>
      <c r="G112" s="128"/>
      <c r="H112" s="128"/>
      <c r="I112" s="128"/>
      <c r="J112" s="128"/>
      <c r="K112" s="128"/>
      <c r="L112" s="128"/>
      <c r="M112" s="128"/>
    </row>
    <row r="113">
      <c r="D113" s="129"/>
      <c r="E113" s="129"/>
      <c r="F113" s="42"/>
      <c r="G113" s="128"/>
      <c r="H113" s="128"/>
      <c r="I113" s="128"/>
      <c r="J113" s="128"/>
      <c r="K113" s="128"/>
      <c r="L113" s="128"/>
      <c r="M113" s="128"/>
    </row>
    <row r="114">
      <c r="D114" s="129"/>
      <c r="E114" s="129"/>
      <c r="F114" s="42"/>
      <c r="G114" s="128"/>
      <c r="H114" s="128"/>
      <c r="I114" s="128"/>
      <c r="J114" s="128"/>
      <c r="K114" s="128"/>
      <c r="L114" s="128"/>
      <c r="M114" s="128"/>
    </row>
    <row r="115">
      <c r="D115" s="129"/>
      <c r="E115" s="129"/>
      <c r="F115" s="42"/>
      <c r="G115" s="128"/>
      <c r="H115" s="128"/>
      <c r="I115" s="128"/>
      <c r="J115" s="128"/>
      <c r="K115" s="128"/>
      <c r="L115" s="128"/>
      <c r="M115" s="128"/>
    </row>
    <row r="116">
      <c r="D116" s="129"/>
      <c r="E116" s="129"/>
      <c r="F116" s="42"/>
      <c r="G116" s="128"/>
      <c r="H116" s="128"/>
      <c r="I116" s="128"/>
      <c r="J116" s="128"/>
      <c r="K116" s="128"/>
      <c r="L116" s="128"/>
      <c r="M116" s="128"/>
    </row>
    <row r="117">
      <c r="D117" s="129"/>
      <c r="E117" s="129"/>
      <c r="F117" s="42"/>
      <c r="G117" s="128"/>
      <c r="H117" s="128"/>
      <c r="I117" s="128"/>
      <c r="J117" s="128"/>
      <c r="K117" s="128"/>
      <c r="L117" s="128"/>
      <c r="M117" s="128"/>
    </row>
    <row r="118">
      <c r="D118" s="129"/>
      <c r="E118" s="129"/>
      <c r="F118" s="42"/>
      <c r="G118" s="128"/>
      <c r="H118" s="128"/>
      <c r="I118" s="128"/>
      <c r="J118" s="128"/>
      <c r="K118" s="128"/>
      <c r="L118" s="128"/>
      <c r="M118" s="128"/>
    </row>
    <row r="119">
      <c r="D119" s="129"/>
      <c r="E119" s="129"/>
      <c r="F119" s="42"/>
      <c r="G119" s="128"/>
      <c r="H119" s="128"/>
      <c r="I119" s="128"/>
      <c r="J119" s="128"/>
      <c r="K119" s="128"/>
      <c r="L119" s="128"/>
      <c r="M119" s="128"/>
    </row>
    <row r="120">
      <c r="D120" s="129"/>
      <c r="E120" s="129"/>
      <c r="F120" s="42"/>
      <c r="G120" s="128"/>
      <c r="H120" s="128"/>
      <c r="I120" s="128"/>
      <c r="J120" s="128"/>
      <c r="K120" s="128"/>
      <c r="L120" s="128"/>
      <c r="M120" s="128"/>
    </row>
    <row r="121">
      <c r="D121" s="129"/>
      <c r="E121" s="129"/>
      <c r="F121" s="42"/>
      <c r="G121" s="128"/>
      <c r="H121" s="128"/>
      <c r="I121" s="128"/>
      <c r="J121" s="128"/>
      <c r="K121" s="128"/>
      <c r="L121" s="128"/>
      <c r="M121" s="128"/>
    </row>
    <row r="122">
      <c r="D122" s="129"/>
      <c r="E122" s="129"/>
      <c r="F122" s="42"/>
      <c r="G122" s="128"/>
      <c r="H122" s="128"/>
      <c r="I122" s="128"/>
      <c r="J122" s="128"/>
      <c r="K122" s="128"/>
      <c r="L122" s="128"/>
      <c r="M122" s="128"/>
    </row>
    <row r="123">
      <c r="D123" s="129"/>
      <c r="E123" s="129"/>
      <c r="F123" s="42"/>
      <c r="G123" s="128"/>
      <c r="H123" s="128"/>
      <c r="I123" s="128"/>
      <c r="J123" s="128"/>
      <c r="K123" s="128"/>
      <c r="L123" s="128"/>
      <c r="M123" s="128"/>
    </row>
    <row r="124">
      <c r="D124" s="129"/>
      <c r="E124" s="129"/>
      <c r="F124" s="42"/>
      <c r="G124" s="128"/>
      <c r="H124" s="128"/>
      <c r="I124" s="128"/>
      <c r="J124" s="128"/>
      <c r="K124" s="128"/>
      <c r="L124" s="128"/>
      <c r="M124" s="128"/>
    </row>
    <row r="125">
      <c r="D125" s="129"/>
      <c r="E125" s="129"/>
      <c r="F125" s="42"/>
      <c r="G125" s="128"/>
      <c r="H125" s="128"/>
      <c r="I125" s="128"/>
      <c r="J125" s="128"/>
      <c r="K125" s="128"/>
      <c r="L125" s="128"/>
      <c r="M125" s="128"/>
    </row>
    <row r="126">
      <c r="D126" s="129"/>
      <c r="E126" s="129"/>
      <c r="F126" s="42"/>
      <c r="G126" s="128"/>
      <c r="H126" s="128"/>
      <c r="I126" s="128"/>
      <c r="J126" s="128"/>
      <c r="K126" s="128"/>
      <c r="L126" s="128"/>
      <c r="M126" s="128"/>
    </row>
    <row r="127">
      <c r="D127" s="129"/>
      <c r="E127" s="129"/>
      <c r="F127" s="42"/>
      <c r="G127" s="128"/>
      <c r="H127" s="128"/>
      <c r="I127" s="128"/>
      <c r="J127" s="128"/>
      <c r="K127" s="128"/>
      <c r="L127" s="128"/>
      <c r="M127" s="128"/>
    </row>
    <row r="128">
      <c r="D128" s="129"/>
      <c r="E128" s="129"/>
      <c r="F128" s="42"/>
      <c r="G128" s="128"/>
      <c r="H128" s="128"/>
      <c r="I128" s="128"/>
      <c r="J128" s="128"/>
      <c r="K128" s="128"/>
      <c r="L128" s="128"/>
      <c r="M128" s="128"/>
    </row>
    <row r="129">
      <c r="D129" s="129"/>
      <c r="E129" s="129"/>
      <c r="F129" s="42"/>
      <c r="G129" s="128"/>
      <c r="H129" s="128"/>
      <c r="I129" s="128"/>
      <c r="J129" s="128"/>
      <c r="K129" s="128"/>
      <c r="L129" s="128"/>
      <c r="M129" s="128"/>
    </row>
    <row r="130">
      <c r="D130" s="129"/>
      <c r="E130" s="129"/>
      <c r="F130" s="42"/>
      <c r="G130" s="128"/>
      <c r="H130" s="128"/>
      <c r="I130" s="128"/>
      <c r="J130" s="128"/>
      <c r="K130" s="128"/>
      <c r="L130" s="128"/>
      <c r="M130" s="128"/>
    </row>
    <row r="131">
      <c r="D131" s="129"/>
      <c r="E131" s="129"/>
      <c r="F131" s="42"/>
      <c r="G131" s="128"/>
      <c r="H131" s="128"/>
      <c r="I131" s="128"/>
      <c r="J131" s="128"/>
      <c r="K131" s="128"/>
      <c r="L131" s="128"/>
      <c r="M131" s="128"/>
    </row>
    <row r="132">
      <c r="D132" s="129"/>
      <c r="E132" s="129"/>
      <c r="F132" s="42"/>
      <c r="G132" s="128"/>
      <c r="H132" s="128"/>
      <c r="I132" s="128"/>
      <c r="J132" s="128"/>
      <c r="K132" s="128"/>
      <c r="L132" s="128"/>
      <c r="M132" s="128"/>
    </row>
    <row r="133">
      <c r="D133" s="129"/>
      <c r="E133" s="129"/>
      <c r="F133" s="42"/>
      <c r="G133" s="128"/>
      <c r="H133" s="128"/>
      <c r="I133" s="128"/>
      <c r="J133" s="128"/>
      <c r="K133" s="128"/>
      <c r="L133" s="128"/>
      <c r="M133" s="128"/>
    </row>
    <row r="134">
      <c r="D134" s="129"/>
      <c r="E134" s="129"/>
      <c r="F134" s="42"/>
      <c r="G134" s="128"/>
      <c r="H134" s="128"/>
      <c r="I134" s="128"/>
      <c r="J134" s="128"/>
      <c r="K134" s="128"/>
      <c r="L134" s="128"/>
      <c r="M134" s="128"/>
    </row>
    <row r="135">
      <c r="D135" s="129"/>
      <c r="E135" s="129"/>
      <c r="F135" s="42"/>
      <c r="G135" s="128"/>
      <c r="H135" s="128"/>
      <c r="I135" s="128"/>
      <c r="J135" s="128"/>
      <c r="K135" s="128"/>
      <c r="L135" s="128"/>
      <c r="M135" s="128"/>
    </row>
    <row r="136">
      <c r="D136" s="129"/>
      <c r="E136" s="129"/>
      <c r="F136" s="42"/>
      <c r="G136" s="128"/>
      <c r="H136" s="128"/>
      <c r="I136" s="128"/>
      <c r="J136" s="128"/>
      <c r="K136" s="128"/>
      <c r="L136" s="128"/>
      <c r="M136" s="128"/>
    </row>
    <row r="137">
      <c r="D137" s="129"/>
      <c r="E137" s="129"/>
      <c r="F137" s="42"/>
      <c r="G137" s="128"/>
      <c r="H137" s="128"/>
      <c r="I137" s="128"/>
      <c r="J137" s="128"/>
      <c r="K137" s="128"/>
      <c r="L137" s="128"/>
      <c r="M137" s="128"/>
    </row>
    <row r="138">
      <c r="D138" s="129"/>
      <c r="E138" s="129"/>
      <c r="F138" s="42"/>
      <c r="G138" s="128"/>
      <c r="H138" s="128"/>
      <c r="I138" s="128"/>
      <c r="J138" s="128"/>
      <c r="K138" s="128"/>
      <c r="L138" s="128"/>
      <c r="M138" s="128"/>
    </row>
    <row r="139">
      <c r="D139" s="129"/>
      <c r="E139" s="129"/>
      <c r="F139" s="42"/>
      <c r="G139" s="128"/>
      <c r="H139" s="128"/>
      <c r="I139" s="128"/>
      <c r="J139" s="128"/>
      <c r="K139" s="128"/>
      <c r="L139" s="128"/>
      <c r="M139" s="128"/>
    </row>
    <row r="140">
      <c r="D140" s="129"/>
      <c r="E140" s="129"/>
      <c r="F140" s="42"/>
      <c r="G140" s="128"/>
      <c r="H140" s="128"/>
      <c r="I140" s="128"/>
      <c r="J140" s="128"/>
      <c r="K140" s="128"/>
      <c r="L140" s="128"/>
      <c r="M140" s="128"/>
    </row>
    <row r="141">
      <c r="D141" s="129"/>
      <c r="E141" s="129"/>
      <c r="F141" s="42"/>
      <c r="G141" s="128"/>
      <c r="H141" s="128"/>
      <c r="I141" s="128"/>
      <c r="J141" s="128"/>
      <c r="K141" s="128"/>
      <c r="L141" s="128"/>
      <c r="M141" s="128"/>
    </row>
    <row r="142">
      <c r="D142" s="129"/>
      <c r="E142" s="129"/>
      <c r="F142" s="42"/>
      <c r="G142" s="128"/>
      <c r="H142" s="128"/>
      <c r="I142" s="128"/>
      <c r="J142" s="128"/>
      <c r="K142" s="128"/>
      <c r="L142" s="128"/>
      <c r="M142" s="128"/>
    </row>
    <row r="143">
      <c r="D143" s="129"/>
      <c r="E143" s="129"/>
      <c r="F143" s="42"/>
      <c r="G143" s="128"/>
      <c r="H143" s="128"/>
      <c r="I143" s="128"/>
      <c r="J143" s="128"/>
      <c r="K143" s="128"/>
      <c r="L143" s="128"/>
      <c r="M143" s="128"/>
    </row>
    <row r="144">
      <c r="D144" s="129"/>
      <c r="E144" s="129"/>
      <c r="F144" s="42"/>
      <c r="G144" s="128"/>
      <c r="H144" s="128"/>
      <c r="I144" s="128"/>
      <c r="J144" s="128"/>
      <c r="K144" s="128"/>
      <c r="L144" s="128"/>
      <c r="M144" s="128"/>
    </row>
    <row r="145">
      <c r="D145" s="129"/>
      <c r="E145" s="129"/>
      <c r="F145" s="42"/>
      <c r="G145" s="128"/>
      <c r="H145" s="128"/>
      <c r="I145" s="128"/>
      <c r="J145" s="128"/>
      <c r="K145" s="128"/>
      <c r="L145" s="128"/>
      <c r="M145" s="128"/>
    </row>
    <row r="146">
      <c r="D146" s="129"/>
      <c r="E146" s="129"/>
      <c r="F146" s="42"/>
      <c r="G146" s="128"/>
      <c r="H146" s="128"/>
      <c r="I146" s="128"/>
      <c r="J146" s="128"/>
      <c r="K146" s="128"/>
      <c r="L146" s="128"/>
      <c r="M146" s="128"/>
    </row>
    <row r="147">
      <c r="D147" s="129"/>
      <c r="E147" s="129"/>
      <c r="F147" s="42"/>
      <c r="G147" s="128"/>
      <c r="H147" s="128"/>
      <c r="I147" s="128"/>
      <c r="J147" s="128"/>
      <c r="K147" s="128"/>
      <c r="L147" s="128"/>
      <c r="M147" s="128"/>
    </row>
    <row r="148">
      <c r="D148" s="129"/>
      <c r="E148" s="129"/>
      <c r="F148" s="42"/>
      <c r="G148" s="128"/>
      <c r="H148" s="128"/>
      <c r="I148" s="128"/>
      <c r="J148" s="128"/>
      <c r="K148" s="128"/>
      <c r="L148" s="128"/>
      <c r="M148" s="128"/>
    </row>
    <row r="149">
      <c r="D149" s="129"/>
      <c r="E149" s="129"/>
      <c r="F149" s="42"/>
      <c r="G149" s="128"/>
      <c r="H149" s="128"/>
      <c r="I149" s="128"/>
      <c r="J149" s="128"/>
      <c r="K149" s="128"/>
      <c r="L149" s="128"/>
      <c r="M149" s="128"/>
    </row>
    <row r="150">
      <c r="D150" s="129"/>
      <c r="E150" s="129"/>
      <c r="F150" s="42"/>
      <c r="G150" s="128"/>
      <c r="H150" s="128"/>
      <c r="I150" s="128"/>
      <c r="J150" s="128"/>
      <c r="K150" s="128"/>
      <c r="L150" s="128"/>
      <c r="M150" s="128"/>
    </row>
    <row r="151">
      <c r="D151" s="129"/>
      <c r="E151" s="129"/>
      <c r="F151" s="42"/>
      <c r="G151" s="128"/>
      <c r="H151" s="128"/>
      <c r="I151" s="128"/>
      <c r="J151" s="128"/>
      <c r="K151" s="128"/>
      <c r="L151" s="128"/>
      <c r="M151" s="128"/>
    </row>
    <row r="152">
      <c r="D152" s="129"/>
      <c r="E152" s="129"/>
      <c r="F152" s="42"/>
      <c r="G152" s="128"/>
      <c r="H152" s="128"/>
      <c r="I152" s="128"/>
      <c r="J152" s="128"/>
      <c r="K152" s="128"/>
      <c r="L152" s="128"/>
      <c r="M152" s="128"/>
    </row>
    <row r="153">
      <c r="D153" s="129"/>
      <c r="E153" s="129"/>
      <c r="F153" s="42"/>
      <c r="G153" s="128"/>
      <c r="H153" s="128"/>
      <c r="I153" s="128"/>
      <c r="J153" s="128"/>
      <c r="K153" s="128"/>
      <c r="L153" s="128"/>
      <c r="M153" s="128"/>
    </row>
    <row r="154">
      <c r="D154" s="129"/>
      <c r="E154" s="129"/>
      <c r="F154" s="42"/>
      <c r="G154" s="128"/>
      <c r="H154" s="128"/>
      <c r="I154" s="128"/>
      <c r="J154" s="128"/>
      <c r="K154" s="128"/>
      <c r="L154" s="128"/>
      <c r="M154" s="128"/>
    </row>
    <row r="155">
      <c r="D155" s="129"/>
      <c r="E155" s="129"/>
      <c r="F155" s="42"/>
      <c r="G155" s="128"/>
      <c r="H155" s="128"/>
      <c r="I155" s="128"/>
      <c r="J155" s="128"/>
      <c r="K155" s="128"/>
      <c r="L155" s="128"/>
      <c r="M155" s="128"/>
    </row>
    <row r="156">
      <c r="D156" s="129"/>
      <c r="E156" s="129"/>
      <c r="F156" s="42"/>
      <c r="G156" s="128"/>
      <c r="H156" s="128"/>
      <c r="I156" s="128"/>
      <c r="J156" s="128"/>
      <c r="K156" s="128"/>
      <c r="L156" s="128"/>
      <c r="M156" s="128"/>
    </row>
    <row r="157">
      <c r="D157" s="129"/>
      <c r="E157" s="129"/>
      <c r="F157" s="42"/>
      <c r="G157" s="128"/>
      <c r="H157" s="128"/>
      <c r="I157" s="128"/>
      <c r="J157" s="128"/>
      <c r="K157" s="128"/>
      <c r="L157" s="128"/>
      <c r="M157" s="128"/>
    </row>
    <row r="158">
      <c r="D158" s="129"/>
      <c r="E158" s="129"/>
      <c r="F158" s="42"/>
      <c r="G158" s="128"/>
      <c r="H158" s="128"/>
      <c r="I158" s="128"/>
      <c r="J158" s="128"/>
      <c r="K158" s="128"/>
      <c r="L158" s="128"/>
      <c r="M158" s="128"/>
    </row>
    <row r="159">
      <c r="D159" s="129"/>
      <c r="E159" s="129"/>
      <c r="F159" s="42"/>
      <c r="G159" s="128"/>
      <c r="H159" s="128"/>
      <c r="I159" s="128"/>
      <c r="J159" s="128"/>
      <c r="K159" s="128"/>
      <c r="L159" s="128"/>
      <c r="M159" s="128"/>
    </row>
    <row r="160">
      <c r="D160" s="129"/>
      <c r="E160" s="129"/>
      <c r="F160" s="42"/>
      <c r="G160" s="128"/>
      <c r="H160" s="128"/>
      <c r="I160" s="128"/>
      <c r="J160" s="128"/>
      <c r="K160" s="128"/>
      <c r="L160" s="128"/>
      <c r="M160" s="128"/>
    </row>
    <row r="161">
      <c r="D161" s="129"/>
      <c r="E161" s="129"/>
      <c r="F161" s="42"/>
      <c r="G161" s="128"/>
      <c r="H161" s="128"/>
      <c r="I161" s="128"/>
      <c r="J161" s="128"/>
      <c r="K161" s="128"/>
      <c r="L161" s="128"/>
      <c r="M161" s="128"/>
    </row>
    <row r="162">
      <c r="D162" s="129"/>
      <c r="E162" s="129"/>
      <c r="F162" s="42"/>
      <c r="G162" s="128"/>
      <c r="H162" s="128"/>
      <c r="I162" s="128"/>
      <c r="J162" s="128"/>
      <c r="K162" s="128"/>
      <c r="L162" s="128"/>
      <c r="M162" s="128"/>
    </row>
    <row r="163">
      <c r="D163" s="129"/>
      <c r="E163" s="129"/>
      <c r="F163" s="42"/>
      <c r="G163" s="128"/>
      <c r="H163" s="128"/>
      <c r="I163" s="128"/>
      <c r="J163" s="128"/>
      <c r="K163" s="128"/>
      <c r="L163" s="128"/>
      <c r="M163" s="128"/>
    </row>
    <row r="164">
      <c r="D164" s="129"/>
      <c r="E164" s="129"/>
      <c r="F164" s="42"/>
      <c r="G164" s="128"/>
      <c r="H164" s="128"/>
      <c r="I164" s="128"/>
      <c r="J164" s="128"/>
      <c r="K164" s="128"/>
      <c r="L164" s="128"/>
      <c r="M164" s="128"/>
    </row>
    <row r="165">
      <c r="D165" s="129"/>
      <c r="E165" s="129"/>
      <c r="F165" s="42"/>
      <c r="G165" s="128"/>
      <c r="H165" s="128"/>
      <c r="I165" s="128"/>
      <c r="J165" s="128"/>
      <c r="K165" s="128"/>
      <c r="L165" s="128"/>
      <c r="M165" s="128"/>
    </row>
    <row r="166">
      <c r="D166" s="129"/>
      <c r="E166" s="129"/>
      <c r="F166" s="42"/>
      <c r="G166" s="128"/>
      <c r="H166" s="128"/>
      <c r="I166" s="128"/>
      <c r="J166" s="128"/>
      <c r="K166" s="128"/>
      <c r="L166" s="128"/>
      <c r="M166" s="128"/>
    </row>
    <row r="167">
      <c r="D167" s="129"/>
      <c r="E167" s="129"/>
      <c r="F167" s="42"/>
      <c r="G167" s="128"/>
      <c r="H167" s="128"/>
      <c r="I167" s="128"/>
      <c r="J167" s="128"/>
      <c r="K167" s="128"/>
      <c r="L167" s="128"/>
      <c r="M167" s="128"/>
    </row>
    <row r="168">
      <c r="D168" s="129"/>
      <c r="E168" s="129"/>
      <c r="F168" s="42"/>
      <c r="G168" s="128"/>
      <c r="H168" s="128"/>
      <c r="I168" s="128"/>
      <c r="J168" s="128"/>
      <c r="K168" s="128"/>
      <c r="L168" s="128"/>
      <c r="M168" s="128"/>
    </row>
    <row r="169">
      <c r="D169" s="129"/>
      <c r="E169" s="129"/>
      <c r="F169" s="42"/>
      <c r="G169" s="128"/>
      <c r="H169" s="128"/>
      <c r="I169" s="128"/>
      <c r="J169" s="128"/>
      <c r="K169" s="128"/>
      <c r="L169" s="128"/>
      <c r="M169" s="128"/>
    </row>
    <row r="170">
      <c r="D170" s="129"/>
      <c r="E170" s="129"/>
      <c r="F170" s="42"/>
      <c r="G170" s="128"/>
      <c r="H170" s="128"/>
      <c r="I170" s="128"/>
      <c r="J170" s="128"/>
      <c r="K170" s="128"/>
      <c r="L170" s="128"/>
      <c r="M170" s="128"/>
    </row>
    <row r="171">
      <c r="D171" s="129"/>
      <c r="E171" s="129"/>
      <c r="F171" s="42"/>
      <c r="G171" s="128"/>
      <c r="H171" s="128"/>
      <c r="I171" s="128"/>
      <c r="J171" s="128"/>
      <c r="K171" s="128"/>
      <c r="L171" s="128"/>
      <c r="M171" s="128"/>
    </row>
    <row r="172">
      <c r="D172" s="129"/>
      <c r="E172" s="129"/>
      <c r="F172" s="42"/>
      <c r="G172" s="128"/>
      <c r="H172" s="128"/>
      <c r="I172" s="128"/>
      <c r="J172" s="128"/>
      <c r="K172" s="128"/>
      <c r="L172" s="128"/>
      <c r="M172" s="128"/>
    </row>
    <row r="173">
      <c r="D173" s="129"/>
      <c r="E173" s="129"/>
      <c r="F173" s="42"/>
      <c r="G173" s="128"/>
      <c r="H173" s="128"/>
      <c r="I173" s="128"/>
      <c r="J173" s="128"/>
      <c r="K173" s="128"/>
      <c r="L173" s="128"/>
      <c r="M173" s="128"/>
    </row>
    <row r="174">
      <c r="D174" s="129"/>
      <c r="E174" s="129"/>
      <c r="F174" s="42"/>
      <c r="G174" s="128"/>
      <c r="H174" s="128"/>
      <c r="I174" s="128"/>
      <c r="J174" s="128"/>
      <c r="K174" s="128"/>
      <c r="L174" s="128"/>
      <c r="M174" s="128"/>
    </row>
    <row r="175">
      <c r="D175" s="129"/>
      <c r="E175" s="129"/>
      <c r="F175" s="42"/>
      <c r="G175" s="128"/>
      <c r="H175" s="128"/>
      <c r="I175" s="128"/>
      <c r="J175" s="128"/>
      <c r="K175" s="128"/>
      <c r="L175" s="128"/>
      <c r="M175" s="128"/>
    </row>
    <row r="176">
      <c r="D176" s="129"/>
      <c r="E176" s="129"/>
      <c r="F176" s="42"/>
      <c r="G176" s="128"/>
      <c r="H176" s="128"/>
      <c r="I176" s="128"/>
      <c r="J176" s="128"/>
      <c r="K176" s="128"/>
      <c r="L176" s="128"/>
      <c r="M176" s="128"/>
    </row>
    <row r="177">
      <c r="D177" s="129"/>
      <c r="E177" s="129"/>
      <c r="F177" s="42"/>
      <c r="G177" s="128"/>
      <c r="H177" s="128"/>
      <c r="I177" s="128"/>
      <c r="J177" s="128"/>
      <c r="K177" s="128"/>
      <c r="L177" s="128"/>
      <c r="M177" s="128"/>
    </row>
    <row r="178">
      <c r="D178" s="129"/>
      <c r="E178" s="129"/>
      <c r="F178" s="42"/>
      <c r="G178" s="128"/>
      <c r="H178" s="128"/>
      <c r="I178" s="128"/>
      <c r="J178" s="128"/>
      <c r="K178" s="128"/>
      <c r="L178" s="128"/>
      <c r="M178" s="128"/>
    </row>
    <row r="179">
      <c r="D179" s="129"/>
      <c r="E179" s="129"/>
      <c r="F179" s="42"/>
      <c r="G179" s="128"/>
      <c r="H179" s="128"/>
      <c r="I179" s="128"/>
      <c r="J179" s="128"/>
      <c r="K179" s="128"/>
      <c r="L179" s="128"/>
      <c r="M179" s="128"/>
    </row>
    <row r="180">
      <c r="D180" s="129"/>
      <c r="E180" s="129"/>
      <c r="F180" s="42"/>
      <c r="G180" s="128"/>
      <c r="H180" s="128"/>
      <c r="I180" s="128"/>
      <c r="J180" s="128"/>
      <c r="K180" s="128"/>
      <c r="L180" s="128"/>
      <c r="M180" s="128"/>
    </row>
    <row r="181">
      <c r="D181" s="129"/>
      <c r="E181" s="129"/>
      <c r="F181" s="42"/>
      <c r="G181" s="128"/>
      <c r="H181" s="128"/>
      <c r="I181" s="128"/>
      <c r="J181" s="128"/>
      <c r="K181" s="128"/>
      <c r="L181" s="128"/>
      <c r="M181" s="128"/>
    </row>
    <row r="182">
      <c r="D182" s="129"/>
      <c r="E182" s="129"/>
      <c r="F182" s="42"/>
      <c r="G182" s="128"/>
      <c r="H182" s="128"/>
      <c r="I182" s="128"/>
      <c r="J182" s="128"/>
      <c r="K182" s="128"/>
      <c r="L182" s="128"/>
      <c r="M182" s="128"/>
    </row>
    <row r="183">
      <c r="D183" s="129"/>
      <c r="E183" s="129"/>
      <c r="F183" s="42"/>
      <c r="G183" s="128"/>
      <c r="H183" s="128"/>
      <c r="I183" s="128"/>
      <c r="J183" s="128"/>
      <c r="K183" s="128"/>
      <c r="L183" s="128"/>
      <c r="M183" s="128"/>
    </row>
    <row r="184">
      <c r="D184" s="129"/>
      <c r="E184" s="129"/>
      <c r="F184" s="42"/>
      <c r="G184" s="128"/>
      <c r="H184" s="128"/>
      <c r="I184" s="128"/>
      <c r="J184" s="128"/>
      <c r="K184" s="128"/>
      <c r="L184" s="128"/>
      <c r="M184" s="128"/>
    </row>
    <row r="185">
      <c r="D185" s="129"/>
      <c r="E185" s="129"/>
      <c r="F185" s="42"/>
      <c r="G185" s="128"/>
      <c r="H185" s="128"/>
      <c r="I185" s="128"/>
      <c r="J185" s="128"/>
      <c r="K185" s="128"/>
      <c r="L185" s="128"/>
      <c r="M185" s="128"/>
    </row>
    <row r="186">
      <c r="D186" s="129"/>
      <c r="E186" s="129"/>
      <c r="F186" s="42"/>
      <c r="G186" s="128"/>
      <c r="H186" s="128"/>
      <c r="I186" s="128"/>
      <c r="J186" s="128"/>
      <c r="K186" s="128"/>
      <c r="L186" s="128"/>
      <c r="M186" s="128"/>
    </row>
    <row r="187">
      <c r="D187" s="129"/>
      <c r="E187" s="129"/>
      <c r="F187" s="42"/>
      <c r="G187" s="128"/>
      <c r="H187" s="128"/>
      <c r="I187" s="128"/>
      <c r="J187" s="128"/>
      <c r="K187" s="128"/>
      <c r="L187" s="128"/>
      <c r="M187" s="128"/>
    </row>
    <row r="188">
      <c r="D188" s="129"/>
      <c r="E188" s="129"/>
      <c r="F188" s="42"/>
      <c r="G188" s="128"/>
      <c r="H188" s="128"/>
      <c r="I188" s="128"/>
      <c r="J188" s="128"/>
      <c r="K188" s="128"/>
      <c r="L188" s="128"/>
      <c r="M188" s="128"/>
    </row>
    <row r="189">
      <c r="D189" s="129"/>
      <c r="E189" s="129"/>
      <c r="F189" s="42"/>
      <c r="G189" s="128"/>
      <c r="H189" s="128"/>
      <c r="I189" s="128"/>
      <c r="J189" s="128"/>
      <c r="K189" s="128"/>
      <c r="L189" s="128"/>
      <c r="M189" s="128"/>
    </row>
    <row r="190">
      <c r="D190" s="129"/>
      <c r="E190" s="129"/>
      <c r="F190" s="42"/>
      <c r="G190" s="128"/>
      <c r="H190" s="128"/>
      <c r="I190" s="128"/>
      <c r="J190" s="128"/>
      <c r="K190" s="128"/>
      <c r="L190" s="128"/>
      <c r="M190" s="128"/>
    </row>
    <row r="191">
      <c r="D191" s="129"/>
      <c r="E191" s="129"/>
      <c r="F191" s="42"/>
      <c r="G191" s="128"/>
      <c r="H191" s="128"/>
      <c r="I191" s="128"/>
      <c r="J191" s="128"/>
      <c r="K191" s="128"/>
      <c r="L191" s="128"/>
      <c r="M191" s="128"/>
    </row>
    <row r="192">
      <c r="D192" s="129"/>
      <c r="E192" s="129"/>
      <c r="F192" s="42"/>
      <c r="G192" s="128"/>
      <c r="H192" s="128"/>
      <c r="I192" s="128"/>
      <c r="J192" s="128"/>
      <c r="K192" s="128"/>
      <c r="L192" s="128"/>
      <c r="M192" s="128"/>
    </row>
    <row r="193">
      <c r="D193" s="129"/>
      <c r="E193" s="129"/>
      <c r="F193" s="42"/>
      <c r="G193" s="128"/>
      <c r="H193" s="128"/>
      <c r="I193" s="128"/>
      <c r="J193" s="128"/>
      <c r="K193" s="128"/>
      <c r="L193" s="128"/>
      <c r="M193" s="128"/>
    </row>
    <row r="194">
      <c r="D194" s="129"/>
      <c r="E194" s="129"/>
      <c r="F194" s="42"/>
      <c r="G194" s="128"/>
      <c r="H194" s="128"/>
      <c r="I194" s="128"/>
      <c r="J194" s="128"/>
      <c r="K194" s="128"/>
      <c r="L194" s="128"/>
      <c r="M194" s="128"/>
    </row>
    <row r="195">
      <c r="D195" s="129"/>
      <c r="E195" s="129"/>
      <c r="F195" s="42"/>
      <c r="G195" s="128"/>
      <c r="H195" s="128"/>
      <c r="I195" s="128"/>
      <c r="J195" s="128"/>
      <c r="K195" s="128"/>
      <c r="L195" s="128"/>
      <c r="M195" s="128"/>
    </row>
    <row r="196">
      <c r="D196" s="129"/>
      <c r="E196" s="129"/>
      <c r="F196" s="42"/>
      <c r="G196" s="128"/>
      <c r="H196" s="128"/>
      <c r="I196" s="128"/>
      <c r="J196" s="128"/>
      <c r="K196" s="128"/>
      <c r="L196" s="128"/>
      <c r="M196" s="128"/>
    </row>
    <row r="197">
      <c r="D197" s="129"/>
      <c r="E197" s="129"/>
      <c r="F197" s="42"/>
      <c r="G197" s="128"/>
      <c r="H197" s="128"/>
      <c r="I197" s="128"/>
      <c r="J197" s="128"/>
      <c r="K197" s="128"/>
      <c r="L197" s="128"/>
      <c r="M197" s="128"/>
    </row>
    <row r="198">
      <c r="D198" s="129"/>
      <c r="E198" s="129"/>
      <c r="F198" s="42"/>
      <c r="G198" s="128"/>
      <c r="H198" s="128"/>
      <c r="I198" s="128"/>
      <c r="J198" s="128"/>
      <c r="K198" s="128"/>
      <c r="L198" s="128"/>
      <c r="M198" s="128"/>
    </row>
    <row r="199">
      <c r="D199" s="129"/>
      <c r="E199" s="129"/>
      <c r="F199" s="42"/>
      <c r="G199" s="128"/>
      <c r="H199" s="128"/>
      <c r="I199" s="128"/>
      <c r="J199" s="128"/>
      <c r="K199" s="128"/>
      <c r="L199" s="128"/>
      <c r="M199" s="128"/>
    </row>
    <row r="200">
      <c r="D200" s="129"/>
      <c r="E200" s="129"/>
      <c r="F200" s="42"/>
      <c r="G200" s="128"/>
      <c r="H200" s="128"/>
      <c r="I200" s="128"/>
      <c r="J200" s="128"/>
      <c r="K200" s="128"/>
      <c r="L200" s="128"/>
      <c r="M200" s="128"/>
    </row>
    <row r="201">
      <c r="D201" s="129"/>
      <c r="E201" s="129"/>
      <c r="F201" s="42"/>
      <c r="G201" s="128"/>
      <c r="H201" s="128"/>
      <c r="I201" s="128"/>
      <c r="J201" s="128"/>
      <c r="K201" s="128"/>
      <c r="L201" s="128"/>
      <c r="M201" s="128"/>
    </row>
    <row r="202">
      <c r="D202" s="129"/>
      <c r="E202" s="129"/>
      <c r="F202" s="42"/>
      <c r="G202" s="128"/>
      <c r="H202" s="128"/>
      <c r="I202" s="128"/>
      <c r="J202" s="128"/>
      <c r="K202" s="128"/>
      <c r="L202" s="128"/>
      <c r="M202" s="128"/>
    </row>
    <row r="203">
      <c r="D203" s="129"/>
      <c r="E203" s="129"/>
      <c r="F203" s="42"/>
      <c r="G203" s="128"/>
      <c r="H203" s="128"/>
      <c r="I203" s="128"/>
      <c r="J203" s="128"/>
      <c r="K203" s="128"/>
      <c r="L203" s="128"/>
      <c r="M203" s="128"/>
    </row>
    <row r="204">
      <c r="D204" s="129"/>
      <c r="E204" s="129"/>
      <c r="F204" s="42"/>
      <c r="G204" s="128"/>
      <c r="H204" s="128"/>
      <c r="I204" s="128"/>
      <c r="J204" s="128"/>
      <c r="K204" s="128"/>
      <c r="L204" s="128"/>
      <c r="M204" s="128"/>
    </row>
    <row r="205">
      <c r="D205" s="129"/>
      <c r="E205" s="129"/>
      <c r="F205" s="42"/>
      <c r="G205" s="128"/>
      <c r="H205" s="128"/>
      <c r="I205" s="128"/>
      <c r="J205" s="128"/>
      <c r="K205" s="128"/>
      <c r="L205" s="128"/>
      <c r="M205" s="128"/>
    </row>
    <row r="206">
      <c r="D206" s="129"/>
      <c r="E206" s="129"/>
      <c r="F206" s="42"/>
      <c r="G206" s="128"/>
      <c r="H206" s="128"/>
      <c r="I206" s="128"/>
      <c r="J206" s="128"/>
      <c r="K206" s="128"/>
      <c r="L206" s="128"/>
      <c r="M206" s="128"/>
    </row>
    <row r="207">
      <c r="D207" s="129"/>
      <c r="E207" s="129"/>
      <c r="F207" s="42"/>
      <c r="G207" s="128"/>
      <c r="H207" s="128"/>
      <c r="I207" s="128"/>
      <c r="J207" s="128"/>
      <c r="K207" s="128"/>
      <c r="L207" s="128"/>
      <c r="M207" s="128"/>
    </row>
    <row r="208">
      <c r="D208" s="129"/>
      <c r="E208" s="129"/>
      <c r="F208" s="42"/>
      <c r="G208" s="128"/>
      <c r="H208" s="128"/>
      <c r="I208" s="128"/>
      <c r="J208" s="128"/>
      <c r="K208" s="128"/>
      <c r="L208" s="128"/>
      <c r="M208" s="128"/>
    </row>
    <row r="209">
      <c r="D209" s="129"/>
      <c r="E209" s="129"/>
      <c r="F209" s="42"/>
      <c r="G209" s="128"/>
      <c r="H209" s="128"/>
      <c r="I209" s="128"/>
      <c r="J209" s="128"/>
      <c r="K209" s="128"/>
      <c r="L209" s="128"/>
      <c r="M209" s="128"/>
    </row>
    <row r="210">
      <c r="D210" s="129"/>
      <c r="E210" s="129"/>
      <c r="F210" s="42"/>
      <c r="G210" s="128"/>
      <c r="H210" s="128"/>
      <c r="I210" s="128"/>
      <c r="J210" s="128"/>
      <c r="K210" s="128"/>
      <c r="L210" s="128"/>
      <c r="M210" s="128"/>
    </row>
    <row r="211">
      <c r="D211" s="129"/>
      <c r="E211" s="129"/>
      <c r="F211" s="42"/>
      <c r="G211" s="128"/>
      <c r="H211" s="128"/>
      <c r="I211" s="128"/>
      <c r="J211" s="128"/>
      <c r="K211" s="128"/>
      <c r="L211" s="128"/>
      <c r="M211" s="128"/>
    </row>
    <row r="212">
      <c r="D212" s="129"/>
      <c r="E212" s="129"/>
      <c r="F212" s="42"/>
      <c r="G212" s="128"/>
      <c r="H212" s="128"/>
      <c r="I212" s="128"/>
      <c r="J212" s="128"/>
      <c r="K212" s="128"/>
      <c r="L212" s="128"/>
      <c r="M212" s="128"/>
    </row>
    <row r="213">
      <c r="D213" s="129"/>
      <c r="E213" s="129"/>
      <c r="F213" s="42"/>
      <c r="G213" s="128"/>
      <c r="H213" s="128"/>
      <c r="I213" s="128"/>
      <c r="J213" s="128"/>
      <c r="K213" s="128"/>
      <c r="L213" s="128"/>
      <c r="M213" s="128"/>
    </row>
    <row r="214">
      <c r="D214" s="129"/>
      <c r="E214" s="129"/>
      <c r="F214" s="42"/>
      <c r="G214" s="128"/>
      <c r="H214" s="128"/>
      <c r="I214" s="128"/>
      <c r="J214" s="128"/>
      <c r="K214" s="128"/>
      <c r="L214" s="128"/>
      <c r="M214" s="128"/>
    </row>
    <row r="215">
      <c r="D215" s="129"/>
      <c r="E215" s="129"/>
      <c r="F215" s="42"/>
      <c r="G215" s="128"/>
      <c r="H215" s="128"/>
      <c r="I215" s="128"/>
      <c r="J215" s="128"/>
      <c r="K215" s="128"/>
      <c r="L215" s="128"/>
      <c r="M215" s="128"/>
    </row>
    <row r="216">
      <c r="D216" s="129"/>
      <c r="E216" s="129"/>
      <c r="F216" s="42"/>
      <c r="G216" s="128"/>
      <c r="H216" s="128"/>
      <c r="I216" s="128"/>
      <c r="J216" s="128"/>
      <c r="K216" s="128"/>
      <c r="L216" s="128"/>
      <c r="M216" s="128"/>
    </row>
    <row r="217">
      <c r="D217" s="129"/>
      <c r="E217" s="129"/>
      <c r="F217" s="42"/>
      <c r="G217" s="128"/>
      <c r="H217" s="128"/>
      <c r="I217" s="128"/>
      <c r="J217" s="128"/>
      <c r="K217" s="128"/>
      <c r="L217" s="128"/>
      <c r="M217" s="128"/>
    </row>
    <row r="218">
      <c r="D218" s="129"/>
      <c r="E218" s="129"/>
      <c r="F218" s="42"/>
      <c r="G218" s="128"/>
      <c r="H218" s="128"/>
      <c r="I218" s="128"/>
      <c r="J218" s="128"/>
      <c r="K218" s="128"/>
      <c r="L218" s="128"/>
      <c r="M218" s="128"/>
    </row>
    <row r="219">
      <c r="D219" s="129"/>
      <c r="E219" s="129"/>
      <c r="F219" s="42"/>
      <c r="G219" s="128"/>
      <c r="H219" s="128"/>
      <c r="I219" s="128"/>
      <c r="J219" s="128"/>
      <c r="K219" s="128"/>
      <c r="L219" s="128"/>
      <c r="M219" s="128"/>
    </row>
    <row r="220">
      <c r="D220" s="129"/>
      <c r="E220" s="129"/>
      <c r="F220" s="42"/>
      <c r="G220" s="128"/>
      <c r="H220" s="128"/>
      <c r="I220" s="128"/>
      <c r="J220" s="128"/>
      <c r="K220" s="128"/>
      <c r="L220" s="128"/>
      <c r="M220" s="128"/>
    </row>
    <row r="221">
      <c r="D221" s="129"/>
      <c r="E221" s="129"/>
      <c r="F221" s="42"/>
      <c r="G221" s="128"/>
      <c r="H221" s="128"/>
      <c r="I221" s="128"/>
      <c r="J221" s="128"/>
      <c r="K221" s="128"/>
      <c r="L221" s="128"/>
      <c r="M221" s="128"/>
    </row>
    <row r="222">
      <c r="D222" s="129"/>
      <c r="E222" s="129"/>
      <c r="F222" s="42"/>
      <c r="G222" s="128"/>
      <c r="H222" s="128"/>
      <c r="I222" s="128"/>
      <c r="J222" s="128"/>
      <c r="K222" s="128"/>
      <c r="L222" s="128"/>
      <c r="M222" s="128"/>
    </row>
    <row r="223">
      <c r="D223" s="129"/>
      <c r="E223" s="129"/>
      <c r="F223" s="42"/>
      <c r="G223" s="128"/>
      <c r="H223" s="128"/>
      <c r="I223" s="128"/>
      <c r="J223" s="128"/>
      <c r="K223" s="128"/>
      <c r="L223" s="128"/>
      <c r="M223" s="128"/>
    </row>
    <row r="224">
      <c r="D224" s="129"/>
      <c r="E224" s="129"/>
      <c r="F224" s="42"/>
      <c r="G224" s="128"/>
      <c r="H224" s="128"/>
      <c r="I224" s="128"/>
      <c r="J224" s="128"/>
      <c r="K224" s="128"/>
      <c r="L224" s="128"/>
      <c r="M224" s="128"/>
    </row>
    <row r="225">
      <c r="D225" s="129"/>
      <c r="E225" s="129"/>
      <c r="F225" s="42"/>
      <c r="G225" s="128"/>
      <c r="H225" s="128"/>
      <c r="I225" s="128"/>
      <c r="J225" s="128"/>
      <c r="K225" s="128"/>
      <c r="L225" s="128"/>
      <c r="M225" s="128"/>
    </row>
    <row r="226">
      <c r="D226" s="129"/>
      <c r="E226" s="129"/>
      <c r="F226" s="42"/>
      <c r="G226" s="128"/>
      <c r="H226" s="128"/>
      <c r="I226" s="128"/>
      <c r="J226" s="128"/>
      <c r="K226" s="128"/>
      <c r="L226" s="128"/>
      <c r="M226" s="128"/>
    </row>
    <row r="227">
      <c r="D227" s="129"/>
      <c r="E227" s="129"/>
      <c r="F227" s="42"/>
      <c r="G227" s="128"/>
      <c r="H227" s="128"/>
      <c r="I227" s="128"/>
      <c r="J227" s="128"/>
      <c r="K227" s="128"/>
      <c r="L227" s="128"/>
      <c r="M227" s="128"/>
    </row>
    <row r="228">
      <c r="D228" s="129"/>
      <c r="E228" s="129"/>
      <c r="F228" s="42"/>
      <c r="G228" s="128"/>
      <c r="H228" s="128"/>
      <c r="I228" s="128"/>
      <c r="J228" s="128"/>
      <c r="K228" s="128"/>
      <c r="L228" s="128"/>
      <c r="M228" s="128"/>
    </row>
    <row r="229">
      <c r="D229" s="129"/>
      <c r="E229" s="129"/>
      <c r="F229" s="42"/>
      <c r="G229" s="128"/>
      <c r="H229" s="128"/>
      <c r="I229" s="128"/>
      <c r="J229" s="128"/>
      <c r="K229" s="128"/>
      <c r="L229" s="128"/>
      <c r="M229" s="128"/>
    </row>
    <row r="230">
      <c r="D230" s="129"/>
      <c r="E230" s="129"/>
      <c r="F230" s="42"/>
      <c r="G230" s="128"/>
      <c r="H230" s="128"/>
      <c r="I230" s="128"/>
      <c r="J230" s="128"/>
      <c r="K230" s="128"/>
      <c r="L230" s="128"/>
      <c r="M230" s="128"/>
    </row>
    <row r="231">
      <c r="D231" s="129"/>
      <c r="E231" s="129"/>
      <c r="F231" s="42"/>
      <c r="G231" s="128"/>
      <c r="H231" s="128"/>
      <c r="I231" s="128"/>
      <c r="J231" s="128"/>
      <c r="K231" s="128"/>
      <c r="L231" s="128"/>
      <c r="M231" s="128"/>
    </row>
    <row r="232">
      <c r="D232" s="129"/>
      <c r="E232" s="129"/>
      <c r="F232" s="42"/>
      <c r="G232" s="128"/>
      <c r="H232" s="128"/>
      <c r="I232" s="128"/>
      <c r="J232" s="128"/>
      <c r="K232" s="128"/>
      <c r="L232" s="128"/>
      <c r="M232" s="128"/>
    </row>
    <row r="233">
      <c r="D233" s="129"/>
      <c r="E233" s="129"/>
      <c r="F233" s="42"/>
      <c r="G233" s="128"/>
      <c r="H233" s="128"/>
      <c r="I233" s="128"/>
      <c r="J233" s="128"/>
      <c r="K233" s="128"/>
      <c r="L233" s="128"/>
      <c r="M233" s="128"/>
    </row>
    <row r="234">
      <c r="D234" s="129"/>
      <c r="E234" s="129"/>
      <c r="F234" s="42"/>
      <c r="G234" s="128"/>
      <c r="H234" s="128"/>
      <c r="I234" s="128"/>
      <c r="J234" s="128"/>
      <c r="K234" s="128"/>
      <c r="L234" s="128"/>
      <c r="M234" s="128"/>
    </row>
    <row r="235">
      <c r="D235" s="129"/>
      <c r="E235" s="129"/>
      <c r="F235" s="42"/>
      <c r="G235" s="128"/>
      <c r="H235" s="128"/>
      <c r="I235" s="128"/>
      <c r="J235" s="128"/>
      <c r="K235" s="128"/>
      <c r="L235" s="128"/>
      <c r="M235" s="128"/>
    </row>
    <row r="236">
      <c r="D236" s="129"/>
      <c r="E236" s="129"/>
      <c r="F236" s="42"/>
      <c r="G236" s="128"/>
      <c r="H236" s="128"/>
      <c r="I236" s="128"/>
      <c r="J236" s="128"/>
      <c r="K236" s="128"/>
      <c r="L236" s="128"/>
      <c r="M236" s="128"/>
    </row>
    <row r="237">
      <c r="D237" s="129"/>
      <c r="E237" s="129"/>
      <c r="F237" s="42"/>
      <c r="G237" s="128"/>
      <c r="H237" s="128"/>
      <c r="I237" s="128"/>
      <c r="J237" s="128"/>
      <c r="K237" s="128"/>
      <c r="L237" s="128"/>
      <c r="M237" s="128"/>
    </row>
    <row r="238">
      <c r="D238" s="129"/>
      <c r="E238" s="129"/>
      <c r="F238" s="42"/>
      <c r="G238" s="128"/>
      <c r="H238" s="128"/>
      <c r="I238" s="128"/>
      <c r="J238" s="128"/>
      <c r="K238" s="128"/>
      <c r="L238" s="128"/>
      <c r="M238" s="128"/>
    </row>
    <row r="239">
      <c r="D239" s="129"/>
      <c r="E239" s="129"/>
      <c r="F239" s="42"/>
      <c r="G239" s="128"/>
      <c r="H239" s="128"/>
      <c r="I239" s="128"/>
      <c r="J239" s="128"/>
      <c r="K239" s="128"/>
      <c r="L239" s="128"/>
      <c r="M239" s="128"/>
    </row>
    <row r="240">
      <c r="D240" s="129"/>
      <c r="E240" s="129"/>
      <c r="F240" s="42"/>
      <c r="G240" s="128"/>
      <c r="H240" s="128"/>
      <c r="I240" s="128"/>
      <c r="J240" s="128"/>
      <c r="K240" s="128"/>
      <c r="L240" s="128"/>
      <c r="M240" s="128"/>
    </row>
    <row r="241">
      <c r="D241" s="129"/>
      <c r="E241" s="129"/>
      <c r="F241" s="42"/>
      <c r="G241" s="128"/>
      <c r="H241" s="128"/>
      <c r="I241" s="128"/>
      <c r="J241" s="128"/>
      <c r="K241" s="128"/>
      <c r="L241" s="128"/>
      <c r="M241" s="128"/>
    </row>
    <row r="242">
      <c r="D242" s="129"/>
      <c r="E242" s="129"/>
      <c r="F242" s="42"/>
      <c r="G242" s="128"/>
      <c r="H242" s="128"/>
      <c r="I242" s="128"/>
      <c r="J242" s="128"/>
      <c r="K242" s="128"/>
      <c r="L242" s="128"/>
      <c r="M242" s="128"/>
    </row>
    <row r="243">
      <c r="D243" s="129"/>
      <c r="E243" s="129"/>
      <c r="F243" s="42"/>
      <c r="G243" s="128"/>
      <c r="H243" s="128"/>
      <c r="I243" s="128"/>
      <c r="J243" s="128"/>
      <c r="K243" s="128"/>
      <c r="L243" s="128"/>
      <c r="M243" s="128"/>
    </row>
    <row r="244">
      <c r="D244" s="129"/>
      <c r="E244" s="129"/>
      <c r="F244" s="42"/>
      <c r="G244" s="128"/>
      <c r="H244" s="128"/>
      <c r="I244" s="128"/>
      <c r="J244" s="128"/>
      <c r="K244" s="128"/>
      <c r="L244" s="128"/>
      <c r="M244" s="128"/>
    </row>
    <row r="245">
      <c r="D245" s="129"/>
      <c r="E245" s="129"/>
      <c r="F245" s="42"/>
      <c r="G245" s="128"/>
      <c r="H245" s="128"/>
      <c r="I245" s="128"/>
      <c r="J245" s="128"/>
      <c r="K245" s="128"/>
      <c r="L245" s="128"/>
      <c r="M245" s="128"/>
    </row>
    <row r="246">
      <c r="D246" s="129"/>
      <c r="E246" s="129"/>
      <c r="F246" s="42"/>
      <c r="G246" s="128"/>
      <c r="H246" s="128"/>
      <c r="I246" s="128"/>
      <c r="J246" s="128"/>
      <c r="K246" s="128"/>
      <c r="L246" s="128"/>
      <c r="M246" s="128"/>
    </row>
    <row r="247">
      <c r="D247" s="129"/>
      <c r="E247" s="129"/>
      <c r="F247" s="42"/>
      <c r="G247" s="128"/>
      <c r="H247" s="128"/>
      <c r="I247" s="128"/>
      <c r="J247" s="128"/>
      <c r="K247" s="128"/>
      <c r="L247" s="128"/>
      <c r="M247" s="128"/>
    </row>
    <row r="248">
      <c r="D248" s="129"/>
      <c r="E248" s="129"/>
      <c r="F248" s="42"/>
      <c r="G248" s="128"/>
      <c r="H248" s="128"/>
      <c r="I248" s="128"/>
      <c r="J248" s="128"/>
      <c r="K248" s="128"/>
      <c r="L248" s="128"/>
      <c r="M248" s="128"/>
    </row>
    <row r="249">
      <c r="D249" s="129"/>
      <c r="E249" s="129"/>
      <c r="F249" s="42"/>
      <c r="G249" s="128"/>
      <c r="H249" s="128"/>
      <c r="I249" s="128"/>
      <c r="J249" s="128"/>
      <c r="K249" s="128"/>
      <c r="L249" s="128"/>
      <c r="M249" s="128"/>
    </row>
    <row r="250">
      <c r="D250" s="129"/>
      <c r="E250" s="129"/>
      <c r="F250" s="42"/>
      <c r="G250" s="128"/>
      <c r="H250" s="128"/>
      <c r="I250" s="128"/>
      <c r="J250" s="128"/>
      <c r="K250" s="128"/>
      <c r="L250" s="128"/>
      <c r="M250" s="128"/>
    </row>
    <row r="251">
      <c r="D251" s="129"/>
      <c r="E251" s="129"/>
      <c r="F251" s="42"/>
      <c r="G251" s="128"/>
      <c r="H251" s="128"/>
      <c r="I251" s="128"/>
      <c r="J251" s="128"/>
      <c r="K251" s="128"/>
      <c r="L251" s="128"/>
      <c r="M251" s="128"/>
    </row>
    <row r="252">
      <c r="D252" s="129"/>
      <c r="E252" s="129"/>
      <c r="F252" s="42"/>
      <c r="G252" s="128"/>
      <c r="H252" s="128"/>
      <c r="I252" s="128"/>
      <c r="J252" s="128"/>
      <c r="K252" s="128"/>
      <c r="L252" s="128"/>
      <c r="M252" s="128"/>
    </row>
    <row r="253">
      <c r="D253" s="129"/>
      <c r="E253" s="129"/>
      <c r="F253" s="42"/>
      <c r="G253" s="128"/>
      <c r="H253" s="128"/>
      <c r="I253" s="128"/>
      <c r="J253" s="128"/>
      <c r="K253" s="128"/>
      <c r="L253" s="128"/>
      <c r="M253" s="128"/>
    </row>
    <row r="254">
      <c r="D254" s="129"/>
      <c r="E254" s="129"/>
      <c r="F254" s="42"/>
      <c r="G254" s="128"/>
      <c r="H254" s="128"/>
      <c r="I254" s="128"/>
      <c r="J254" s="128"/>
      <c r="K254" s="128"/>
      <c r="L254" s="128"/>
      <c r="M254" s="128"/>
    </row>
    <row r="255">
      <c r="D255" s="129"/>
      <c r="E255" s="129"/>
      <c r="F255" s="42"/>
      <c r="G255" s="128"/>
      <c r="H255" s="128"/>
      <c r="I255" s="128"/>
      <c r="J255" s="128"/>
      <c r="K255" s="128"/>
      <c r="L255" s="128"/>
      <c r="M255" s="128"/>
    </row>
    <row r="256">
      <c r="D256" s="129"/>
      <c r="E256" s="129"/>
      <c r="F256" s="42"/>
      <c r="G256" s="128"/>
      <c r="H256" s="128"/>
      <c r="I256" s="128"/>
      <c r="J256" s="128"/>
      <c r="K256" s="128"/>
      <c r="L256" s="128"/>
      <c r="M256" s="128"/>
    </row>
    <row r="257">
      <c r="D257" s="129"/>
      <c r="E257" s="129"/>
      <c r="F257" s="42"/>
      <c r="G257" s="128"/>
      <c r="H257" s="128"/>
      <c r="I257" s="128"/>
      <c r="J257" s="128"/>
      <c r="K257" s="128"/>
      <c r="L257" s="128"/>
      <c r="M257" s="128"/>
    </row>
    <row r="258">
      <c r="D258" s="129"/>
      <c r="E258" s="129"/>
      <c r="F258" s="42"/>
      <c r="G258" s="128"/>
      <c r="H258" s="128"/>
      <c r="I258" s="128"/>
      <c r="J258" s="128"/>
      <c r="K258" s="128"/>
      <c r="L258" s="128"/>
      <c r="M258" s="128"/>
    </row>
    <row r="259">
      <c r="D259" s="129"/>
      <c r="E259" s="129"/>
      <c r="F259" s="42"/>
      <c r="G259" s="128"/>
      <c r="H259" s="128"/>
      <c r="I259" s="128"/>
      <c r="J259" s="128"/>
      <c r="K259" s="128"/>
      <c r="L259" s="128"/>
      <c r="M259" s="128"/>
    </row>
    <row r="260">
      <c r="D260" s="129"/>
      <c r="E260" s="129"/>
      <c r="F260" s="42"/>
      <c r="G260" s="128"/>
      <c r="H260" s="128"/>
      <c r="I260" s="128"/>
      <c r="J260" s="128"/>
      <c r="K260" s="128"/>
      <c r="L260" s="128"/>
      <c r="M260" s="128"/>
    </row>
    <row r="261">
      <c r="D261" s="129"/>
      <c r="E261" s="129"/>
      <c r="F261" s="42"/>
      <c r="G261" s="128"/>
      <c r="H261" s="128"/>
      <c r="I261" s="128"/>
      <c r="J261" s="128"/>
      <c r="K261" s="128"/>
      <c r="L261" s="128"/>
      <c r="M261" s="128"/>
    </row>
    <row r="262">
      <c r="D262" s="129"/>
      <c r="E262" s="129"/>
      <c r="F262" s="42"/>
      <c r="G262" s="128"/>
      <c r="H262" s="128"/>
      <c r="I262" s="128"/>
      <c r="J262" s="128"/>
      <c r="K262" s="128"/>
      <c r="L262" s="128"/>
      <c r="M262" s="128"/>
    </row>
    <row r="263">
      <c r="D263" s="129"/>
      <c r="E263" s="129"/>
      <c r="F263" s="42"/>
      <c r="G263" s="128"/>
      <c r="H263" s="128"/>
      <c r="I263" s="128"/>
      <c r="J263" s="128"/>
      <c r="K263" s="128"/>
      <c r="L263" s="128"/>
      <c r="M263" s="128"/>
    </row>
    <row r="264">
      <c r="D264" s="129"/>
      <c r="E264" s="129"/>
      <c r="F264" s="42"/>
      <c r="G264" s="128"/>
      <c r="H264" s="128"/>
      <c r="I264" s="128"/>
      <c r="J264" s="128"/>
      <c r="K264" s="128"/>
      <c r="L264" s="128"/>
      <c r="M264" s="128"/>
    </row>
    <row r="265">
      <c r="D265" s="129"/>
      <c r="E265" s="129"/>
      <c r="F265" s="42"/>
      <c r="G265" s="128"/>
      <c r="H265" s="128"/>
      <c r="I265" s="128"/>
      <c r="J265" s="128"/>
      <c r="K265" s="128"/>
      <c r="L265" s="128"/>
      <c r="M265" s="128"/>
    </row>
    <row r="266">
      <c r="D266" s="129"/>
      <c r="E266" s="129"/>
      <c r="F266" s="42"/>
      <c r="G266" s="128"/>
      <c r="H266" s="128"/>
      <c r="I266" s="128"/>
      <c r="J266" s="128"/>
      <c r="K266" s="128"/>
      <c r="L266" s="128"/>
      <c r="M266" s="128"/>
    </row>
    <row r="267">
      <c r="D267" s="129"/>
      <c r="E267" s="129"/>
      <c r="F267" s="42"/>
      <c r="G267" s="128"/>
      <c r="H267" s="128"/>
      <c r="I267" s="128"/>
      <c r="J267" s="128"/>
      <c r="K267" s="128"/>
      <c r="L267" s="128"/>
      <c r="M267" s="128"/>
    </row>
    <row r="268">
      <c r="D268" s="129"/>
      <c r="E268" s="129"/>
      <c r="F268" s="42"/>
      <c r="G268" s="128"/>
      <c r="H268" s="128"/>
      <c r="I268" s="128"/>
      <c r="J268" s="128"/>
      <c r="K268" s="128"/>
      <c r="L268" s="128"/>
      <c r="M268" s="128"/>
    </row>
    <row r="269">
      <c r="D269" s="129"/>
      <c r="E269" s="129"/>
      <c r="F269" s="42"/>
      <c r="G269" s="128"/>
      <c r="H269" s="128"/>
      <c r="I269" s="128"/>
      <c r="J269" s="128"/>
      <c r="K269" s="128"/>
      <c r="L269" s="128"/>
      <c r="M269" s="128"/>
    </row>
    <row r="270">
      <c r="D270" s="129"/>
      <c r="E270" s="129"/>
      <c r="F270" s="42"/>
      <c r="G270" s="128"/>
      <c r="H270" s="128"/>
      <c r="I270" s="128"/>
      <c r="J270" s="128"/>
      <c r="K270" s="128"/>
      <c r="L270" s="128"/>
      <c r="M270" s="128"/>
    </row>
    <row r="271">
      <c r="D271" s="129"/>
      <c r="E271" s="129"/>
      <c r="F271" s="42"/>
      <c r="G271" s="128"/>
      <c r="H271" s="128"/>
      <c r="I271" s="128"/>
      <c r="J271" s="128"/>
      <c r="K271" s="128"/>
      <c r="L271" s="128"/>
      <c r="M271" s="128"/>
    </row>
    <row r="272">
      <c r="D272" s="129"/>
      <c r="E272" s="129"/>
      <c r="F272" s="42"/>
      <c r="G272" s="128"/>
      <c r="H272" s="128"/>
      <c r="I272" s="128"/>
      <c r="J272" s="128"/>
      <c r="K272" s="128"/>
      <c r="L272" s="128"/>
      <c r="M272" s="128"/>
    </row>
    <row r="273">
      <c r="D273" s="129"/>
      <c r="E273" s="129"/>
      <c r="F273" s="42"/>
      <c r="G273" s="128"/>
      <c r="H273" s="128"/>
      <c r="I273" s="128"/>
      <c r="J273" s="128"/>
      <c r="K273" s="128"/>
      <c r="L273" s="128"/>
      <c r="M273" s="128"/>
    </row>
    <row r="274">
      <c r="D274" s="129"/>
      <c r="E274" s="129"/>
      <c r="F274" s="42"/>
      <c r="G274" s="128"/>
      <c r="H274" s="128"/>
      <c r="I274" s="128"/>
      <c r="J274" s="128"/>
      <c r="K274" s="128"/>
      <c r="L274" s="128"/>
      <c r="M274" s="128"/>
    </row>
    <row r="275">
      <c r="D275" s="129"/>
      <c r="E275" s="129"/>
      <c r="F275" s="42"/>
      <c r="G275" s="128"/>
      <c r="H275" s="128"/>
      <c r="I275" s="128"/>
      <c r="J275" s="128"/>
      <c r="K275" s="128"/>
      <c r="L275" s="128"/>
      <c r="M275" s="128"/>
    </row>
    <row r="276">
      <c r="D276" s="129"/>
      <c r="E276" s="129"/>
      <c r="F276" s="42"/>
      <c r="G276" s="128"/>
      <c r="H276" s="128"/>
      <c r="I276" s="128"/>
      <c r="J276" s="128"/>
      <c r="K276" s="128"/>
      <c r="L276" s="128"/>
      <c r="M276" s="128"/>
    </row>
    <row r="277">
      <c r="D277" s="129"/>
      <c r="E277" s="129"/>
      <c r="F277" s="42"/>
      <c r="G277" s="128"/>
      <c r="H277" s="128"/>
      <c r="I277" s="128"/>
      <c r="J277" s="128"/>
      <c r="K277" s="128"/>
      <c r="L277" s="128"/>
      <c r="M277" s="128"/>
    </row>
    <row r="278">
      <c r="D278" s="129"/>
      <c r="E278" s="129"/>
      <c r="F278" s="42"/>
      <c r="G278" s="128"/>
      <c r="H278" s="128"/>
      <c r="I278" s="128"/>
      <c r="J278" s="128"/>
      <c r="K278" s="128"/>
      <c r="L278" s="128"/>
      <c r="M278" s="128"/>
    </row>
    <row r="279">
      <c r="D279" s="129"/>
      <c r="E279" s="129"/>
      <c r="F279" s="42"/>
      <c r="G279" s="128"/>
      <c r="H279" s="128"/>
      <c r="I279" s="128"/>
      <c r="J279" s="128"/>
      <c r="K279" s="128"/>
      <c r="L279" s="128"/>
      <c r="M279" s="128"/>
    </row>
    <row r="280">
      <c r="D280" s="129"/>
      <c r="E280" s="129"/>
      <c r="F280" s="42"/>
      <c r="G280" s="128"/>
      <c r="H280" s="128"/>
      <c r="I280" s="128"/>
      <c r="J280" s="128"/>
      <c r="K280" s="128"/>
      <c r="L280" s="128"/>
      <c r="M280" s="128"/>
    </row>
    <row r="281">
      <c r="D281" s="129"/>
      <c r="E281" s="129"/>
      <c r="F281" s="42"/>
      <c r="G281" s="128"/>
      <c r="H281" s="128"/>
      <c r="I281" s="128"/>
      <c r="J281" s="128"/>
      <c r="K281" s="128"/>
      <c r="L281" s="128"/>
      <c r="M281" s="128"/>
    </row>
    <row r="282">
      <c r="D282" s="129"/>
      <c r="E282" s="129"/>
      <c r="F282" s="42"/>
      <c r="G282" s="128"/>
      <c r="H282" s="128"/>
      <c r="I282" s="128"/>
      <c r="J282" s="128"/>
      <c r="K282" s="128"/>
      <c r="L282" s="128"/>
      <c r="M282" s="128"/>
    </row>
    <row r="283">
      <c r="D283" s="129"/>
      <c r="E283" s="129"/>
      <c r="F283" s="42"/>
      <c r="G283" s="128"/>
      <c r="H283" s="128"/>
      <c r="I283" s="128"/>
      <c r="J283" s="128"/>
      <c r="K283" s="128"/>
      <c r="L283" s="128"/>
      <c r="M283" s="128"/>
    </row>
    <row r="284">
      <c r="D284" s="129"/>
      <c r="E284" s="129"/>
      <c r="F284" s="42"/>
      <c r="G284" s="128"/>
      <c r="H284" s="128"/>
      <c r="I284" s="128"/>
      <c r="J284" s="128"/>
      <c r="K284" s="128"/>
      <c r="L284" s="128"/>
      <c r="M284" s="128"/>
    </row>
    <row r="285">
      <c r="D285" s="129"/>
      <c r="E285" s="129"/>
      <c r="F285" s="42"/>
      <c r="G285" s="128"/>
      <c r="H285" s="128"/>
      <c r="I285" s="128"/>
      <c r="J285" s="128"/>
      <c r="K285" s="128"/>
      <c r="L285" s="128"/>
      <c r="M285" s="128"/>
    </row>
    <row r="286">
      <c r="D286" s="129"/>
      <c r="E286" s="129"/>
      <c r="F286" s="42"/>
      <c r="G286" s="128"/>
      <c r="H286" s="128"/>
      <c r="I286" s="128"/>
      <c r="J286" s="128"/>
      <c r="K286" s="128"/>
      <c r="L286" s="128"/>
      <c r="M286" s="128"/>
    </row>
    <row r="287">
      <c r="D287" s="129"/>
      <c r="E287" s="129"/>
      <c r="F287" s="42"/>
      <c r="G287" s="128"/>
      <c r="H287" s="128"/>
      <c r="I287" s="128"/>
      <c r="J287" s="128"/>
      <c r="K287" s="128"/>
      <c r="L287" s="128"/>
      <c r="M287" s="128"/>
    </row>
    <row r="288">
      <c r="D288" s="129"/>
      <c r="E288" s="129"/>
      <c r="F288" s="42"/>
      <c r="G288" s="128"/>
      <c r="H288" s="128"/>
      <c r="I288" s="128"/>
      <c r="J288" s="128"/>
      <c r="K288" s="128"/>
      <c r="L288" s="128"/>
      <c r="M288" s="128"/>
    </row>
    <row r="289">
      <c r="D289" s="129"/>
      <c r="E289" s="129"/>
      <c r="F289" s="42"/>
      <c r="G289" s="128"/>
      <c r="H289" s="128"/>
      <c r="I289" s="128"/>
      <c r="J289" s="128"/>
      <c r="K289" s="128"/>
      <c r="L289" s="128"/>
      <c r="M289" s="128"/>
    </row>
    <row r="290">
      <c r="D290" s="129"/>
      <c r="E290" s="129"/>
      <c r="F290" s="42"/>
      <c r="G290" s="128"/>
      <c r="H290" s="128"/>
      <c r="I290" s="128"/>
      <c r="J290" s="128"/>
      <c r="K290" s="128"/>
      <c r="L290" s="128"/>
      <c r="M290" s="128"/>
    </row>
    <row r="291">
      <c r="D291" s="129"/>
      <c r="E291" s="129"/>
      <c r="F291" s="42"/>
      <c r="G291" s="128"/>
      <c r="H291" s="128"/>
      <c r="I291" s="128"/>
      <c r="J291" s="128"/>
      <c r="K291" s="128"/>
      <c r="L291" s="128"/>
      <c r="M291" s="128"/>
    </row>
    <row r="292">
      <c r="D292" s="129"/>
      <c r="E292" s="129"/>
      <c r="F292" s="42"/>
      <c r="G292" s="128"/>
      <c r="H292" s="128"/>
      <c r="I292" s="128"/>
      <c r="J292" s="128"/>
      <c r="K292" s="128"/>
      <c r="L292" s="128"/>
      <c r="M292" s="128"/>
    </row>
    <row r="293">
      <c r="D293" s="129"/>
      <c r="E293" s="129"/>
      <c r="F293" s="42"/>
      <c r="G293" s="128"/>
      <c r="H293" s="128"/>
      <c r="I293" s="128"/>
      <c r="J293" s="128"/>
      <c r="K293" s="128"/>
      <c r="L293" s="128"/>
      <c r="M293" s="128"/>
    </row>
    <row r="294">
      <c r="D294" s="129"/>
      <c r="E294" s="129"/>
      <c r="F294" s="42"/>
      <c r="G294" s="128"/>
      <c r="H294" s="128"/>
      <c r="I294" s="128"/>
      <c r="J294" s="128"/>
      <c r="K294" s="128"/>
      <c r="L294" s="128"/>
      <c r="M294" s="128"/>
    </row>
    <row r="295">
      <c r="D295" s="129"/>
      <c r="E295" s="129"/>
      <c r="F295" s="42"/>
      <c r="G295" s="128"/>
      <c r="H295" s="128"/>
      <c r="I295" s="128"/>
      <c r="J295" s="128"/>
      <c r="K295" s="128"/>
      <c r="L295" s="128"/>
      <c r="M295" s="128"/>
    </row>
    <row r="296">
      <c r="D296" s="129"/>
      <c r="E296" s="129"/>
      <c r="F296" s="42"/>
      <c r="G296" s="128"/>
      <c r="H296" s="128"/>
      <c r="I296" s="128"/>
      <c r="J296" s="128"/>
      <c r="K296" s="128"/>
      <c r="L296" s="128"/>
      <c r="M296" s="128"/>
    </row>
    <row r="297">
      <c r="D297" s="129"/>
      <c r="E297" s="129"/>
      <c r="F297" s="42"/>
      <c r="G297" s="128"/>
      <c r="H297" s="128"/>
      <c r="I297" s="128"/>
      <c r="J297" s="128"/>
      <c r="K297" s="128"/>
      <c r="L297" s="128"/>
      <c r="M297" s="128"/>
    </row>
    <row r="298">
      <c r="D298" s="129"/>
      <c r="E298" s="129"/>
      <c r="F298" s="42"/>
      <c r="G298" s="128"/>
      <c r="H298" s="128"/>
      <c r="I298" s="128"/>
      <c r="J298" s="128"/>
      <c r="K298" s="128"/>
      <c r="L298" s="128"/>
      <c r="M298" s="128"/>
    </row>
    <row r="299">
      <c r="D299" s="129"/>
      <c r="E299" s="129"/>
      <c r="F299" s="42"/>
      <c r="G299" s="128"/>
      <c r="H299" s="128"/>
      <c r="I299" s="128"/>
      <c r="J299" s="128"/>
      <c r="K299" s="128"/>
      <c r="L299" s="128"/>
      <c r="M299" s="128"/>
    </row>
    <row r="300">
      <c r="D300" s="129"/>
      <c r="E300" s="129"/>
      <c r="F300" s="42"/>
      <c r="G300" s="128"/>
      <c r="H300" s="128"/>
      <c r="I300" s="128"/>
      <c r="J300" s="128"/>
      <c r="K300" s="128"/>
      <c r="L300" s="128"/>
      <c r="M300" s="128"/>
    </row>
    <row r="301">
      <c r="D301" s="129"/>
      <c r="E301" s="129"/>
      <c r="F301" s="42"/>
      <c r="G301" s="128"/>
      <c r="H301" s="128"/>
      <c r="I301" s="128"/>
      <c r="J301" s="128"/>
      <c r="K301" s="128"/>
      <c r="L301" s="128"/>
      <c r="M301" s="128"/>
    </row>
    <row r="302">
      <c r="D302" s="129"/>
      <c r="E302" s="129"/>
      <c r="F302" s="42"/>
      <c r="G302" s="128"/>
      <c r="H302" s="128"/>
      <c r="I302" s="128"/>
      <c r="J302" s="128"/>
      <c r="K302" s="128"/>
      <c r="L302" s="128"/>
      <c r="M302" s="128"/>
    </row>
    <row r="303">
      <c r="D303" s="129"/>
      <c r="E303" s="129"/>
      <c r="F303" s="42"/>
      <c r="G303" s="128"/>
      <c r="H303" s="128"/>
      <c r="I303" s="128"/>
      <c r="J303" s="128"/>
      <c r="K303" s="128"/>
      <c r="L303" s="128"/>
      <c r="M303" s="128"/>
    </row>
    <row r="304">
      <c r="D304" s="129"/>
      <c r="E304" s="129"/>
      <c r="F304" s="42"/>
      <c r="G304" s="128"/>
      <c r="H304" s="128"/>
      <c r="I304" s="128"/>
      <c r="J304" s="128"/>
      <c r="K304" s="128"/>
      <c r="L304" s="128"/>
      <c r="M304" s="128"/>
    </row>
    <row r="305">
      <c r="D305" s="129"/>
      <c r="E305" s="129"/>
      <c r="F305" s="42"/>
      <c r="G305" s="128"/>
      <c r="H305" s="128"/>
      <c r="I305" s="128"/>
      <c r="J305" s="128"/>
      <c r="K305" s="128"/>
      <c r="L305" s="128"/>
      <c r="M305" s="128"/>
    </row>
    <row r="306">
      <c r="D306" s="129"/>
      <c r="E306" s="129"/>
      <c r="F306" s="42"/>
      <c r="G306" s="128"/>
      <c r="H306" s="128"/>
      <c r="I306" s="128"/>
      <c r="J306" s="128"/>
      <c r="K306" s="128"/>
      <c r="L306" s="128"/>
      <c r="M306" s="128"/>
    </row>
    <row r="307">
      <c r="D307" s="129"/>
      <c r="E307" s="129"/>
      <c r="F307" s="42"/>
      <c r="G307" s="128"/>
      <c r="H307" s="128"/>
      <c r="I307" s="128"/>
      <c r="J307" s="128"/>
      <c r="K307" s="128"/>
      <c r="L307" s="128"/>
      <c r="M307" s="128"/>
    </row>
    <row r="308">
      <c r="D308" s="129"/>
      <c r="E308" s="129"/>
      <c r="F308" s="42"/>
      <c r="G308" s="128"/>
      <c r="H308" s="128"/>
      <c r="I308" s="128"/>
      <c r="J308" s="128"/>
      <c r="K308" s="128"/>
      <c r="L308" s="128"/>
      <c r="M308" s="128"/>
    </row>
    <row r="309">
      <c r="D309" s="129"/>
      <c r="E309" s="129"/>
      <c r="F309" s="42"/>
      <c r="G309" s="128"/>
      <c r="H309" s="128"/>
      <c r="I309" s="128"/>
      <c r="J309" s="128"/>
      <c r="K309" s="128"/>
      <c r="L309" s="128"/>
      <c r="M309" s="128"/>
    </row>
    <row r="310">
      <c r="D310" s="129"/>
      <c r="E310" s="129"/>
      <c r="F310" s="42"/>
      <c r="G310" s="128"/>
      <c r="H310" s="128"/>
      <c r="I310" s="128"/>
      <c r="J310" s="128"/>
      <c r="K310" s="128"/>
      <c r="L310" s="128"/>
      <c r="M310" s="128"/>
    </row>
    <row r="311">
      <c r="D311" s="129"/>
      <c r="E311" s="129"/>
      <c r="F311" s="42"/>
      <c r="G311" s="128"/>
      <c r="H311" s="128"/>
      <c r="I311" s="128"/>
      <c r="J311" s="128"/>
      <c r="K311" s="128"/>
      <c r="L311" s="128"/>
      <c r="M311" s="128"/>
    </row>
    <row r="312">
      <c r="D312" s="129"/>
      <c r="E312" s="129"/>
      <c r="F312" s="42"/>
      <c r="G312" s="128"/>
      <c r="H312" s="128"/>
      <c r="I312" s="128"/>
      <c r="J312" s="128"/>
      <c r="K312" s="128"/>
      <c r="L312" s="128"/>
      <c r="M312" s="128"/>
    </row>
    <row r="313">
      <c r="D313" s="129"/>
      <c r="E313" s="129"/>
      <c r="F313" s="42"/>
      <c r="G313" s="128"/>
      <c r="H313" s="128"/>
      <c r="I313" s="128"/>
      <c r="J313" s="128"/>
      <c r="K313" s="128"/>
      <c r="L313" s="128"/>
      <c r="M313" s="128"/>
    </row>
    <row r="314">
      <c r="D314" s="129"/>
      <c r="E314" s="129"/>
      <c r="F314" s="42"/>
      <c r="G314" s="128"/>
      <c r="H314" s="128"/>
      <c r="I314" s="128"/>
      <c r="J314" s="128"/>
      <c r="K314" s="128"/>
      <c r="L314" s="128"/>
      <c r="M314" s="128"/>
    </row>
    <row r="315">
      <c r="D315" s="129"/>
      <c r="E315" s="129"/>
      <c r="F315" s="42"/>
      <c r="G315" s="128"/>
      <c r="H315" s="128"/>
      <c r="I315" s="128"/>
      <c r="J315" s="128"/>
      <c r="K315" s="128"/>
      <c r="L315" s="128"/>
      <c r="M315" s="128"/>
    </row>
    <row r="316">
      <c r="D316" s="129"/>
      <c r="E316" s="129"/>
      <c r="F316" s="42"/>
      <c r="G316" s="128"/>
      <c r="H316" s="128"/>
      <c r="I316" s="128"/>
      <c r="J316" s="128"/>
      <c r="K316" s="128"/>
      <c r="L316" s="128"/>
      <c r="M316" s="128"/>
    </row>
    <row r="317">
      <c r="D317" s="129"/>
      <c r="E317" s="129"/>
      <c r="F317" s="42"/>
      <c r="G317" s="128"/>
      <c r="H317" s="128"/>
      <c r="I317" s="128"/>
      <c r="J317" s="128"/>
      <c r="K317" s="128"/>
      <c r="L317" s="128"/>
      <c r="M317" s="128"/>
    </row>
    <row r="318">
      <c r="D318" s="129"/>
      <c r="E318" s="129"/>
      <c r="F318" s="42"/>
      <c r="G318" s="128"/>
      <c r="H318" s="128"/>
      <c r="I318" s="128"/>
      <c r="J318" s="128"/>
      <c r="K318" s="128"/>
      <c r="L318" s="128"/>
      <c r="M318" s="128"/>
    </row>
    <row r="319">
      <c r="D319" s="129"/>
      <c r="E319" s="129"/>
      <c r="F319" s="42"/>
      <c r="G319" s="128"/>
      <c r="H319" s="128"/>
      <c r="I319" s="128"/>
      <c r="J319" s="128"/>
      <c r="K319" s="128"/>
      <c r="L319" s="128"/>
      <c r="M319" s="128"/>
    </row>
    <row r="320">
      <c r="D320" s="129"/>
      <c r="E320" s="129"/>
      <c r="F320" s="42"/>
      <c r="G320" s="128"/>
      <c r="H320" s="128"/>
      <c r="I320" s="128"/>
      <c r="J320" s="128"/>
      <c r="K320" s="128"/>
      <c r="L320" s="128"/>
      <c r="M320" s="128"/>
    </row>
    <row r="321">
      <c r="D321" s="129"/>
      <c r="E321" s="129"/>
      <c r="F321" s="42"/>
      <c r="G321" s="128"/>
      <c r="H321" s="128"/>
      <c r="I321" s="128"/>
      <c r="J321" s="128"/>
      <c r="K321" s="128"/>
      <c r="L321" s="128"/>
      <c r="M321" s="128"/>
    </row>
    <row r="322">
      <c r="D322" s="129"/>
      <c r="E322" s="129"/>
      <c r="F322" s="42"/>
      <c r="G322" s="128"/>
      <c r="H322" s="128"/>
      <c r="I322" s="128"/>
      <c r="J322" s="128"/>
      <c r="K322" s="128"/>
      <c r="L322" s="128"/>
      <c r="M322" s="128"/>
    </row>
    <row r="323">
      <c r="D323" s="129"/>
      <c r="E323" s="129"/>
      <c r="F323" s="42"/>
      <c r="G323" s="128"/>
      <c r="H323" s="128"/>
      <c r="I323" s="128"/>
      <c r="J323" s="128"/>
      <c r="K323" s="128"/>
      <c r="L323" s="128"/>
      <c r="M323" s="128"/>
    </row>
    <row r="324">
      <c r="D324" s="129"/>
      <c r="E324" s="129"/>
      <c r="F324" s="42"/>
      <c r="G324" s="128"/>
      <c r="H324" s="128"/>
      <c r="I324" s="128"/>
      <c r="J324" s="128"/>
      <c r="K324" s="128"/>
      <c r="L324" s="128"/>
      <c r="M324" s="128"/>
    </row>
    <row r="325">
      <c r="D325" s="129"/>
      <c r="E325" s="129"/>
      <c r="F325" s="42"/>
      <c r="G325" s="128"/>
      <c r="H325" s="128"/>
      <c r="I325" s="128"/>
      <c r="J325" s="128"/>
      <c r="K325" s="128"/>
      <c r="L325" s="128"/>
      <c r="M325" s="128"/>
    </row>
    <row r="326">
      <c r="D326" s="129"/>
      <c r="E326" s="129"/>
      <c r="F326" s="42"/>
      <c r="G326" s="128"/>
      <c r="H326" s="128"/>
      <c r="I326" s="128"/>
      <c r="J326" s="128"/>
      <c r="K326" s="128"/>
      <c r="L326" s="128"/>
      <c r="M326" s="128"/>
    </row>
    <row r="327">
      <c r="D327" s="129"/>
      <c r="E327" s="129"/>
      <c r="F327" s="42"/>
      <c r="G327" s="128"/>
      <c r="H327" s="128"/>
      <c r="I327" s="128"/>
      <c r="J327" s="128"/>
      <c r="K327" s="128"/>
      <c r="L327" s="128"/>
      <c r="M327" s="128"/>
    </row>
    <row r="328">
      <c r="D328" s="129"/>
      <c r="E328" s="129"/>
      <c r="F328" s="42"/>
      <c r="G328" s="128"/>
      <c r="H328" s="128"/>
      <c r="I328" s="128"/>
      <c r="J328" s="128"/>
      <c r="K328" s="128"/>
      <c r="L328" s="128"/>
      <c r="M328" s="128"/>
    </row>
    <row r="329">
      <c r="D329" s="129"/>
      <c r="E329" s="129"/>
      <c r="F329" s="42"/>
      <c r="G329" s="128"/>
      <c r="H329" s="128"/>
      <c r="I329" s="128"/>
      <c r="J329" s="128"/>
      <c r="K329" s="128"/>
      <c r="L329" s="128"/>
      <c r="M329" s="128"/>
    </row>
    <row r="330">
      <c r="D330" s="129"/>
      <c r="E330" s="129"/>
      <c r="F330" s="42"/>
      <c r="G330" s="128"/>
      <c r="H330" s="128"/>
      <c r="I330" s="128"/>
      <c r="J330" s="128"/>
      <c r="K330" s="128"/>
      <c r="L330" s="128"/>
      <c r="M330" s="128"/>
    </row>
    <row r="331">
      <c r="D331" s="129"/>
      <c r="E331" s="129"/>
      <c r="F331" s="42"/>
      <c r="G331" s="128"/>
      <c r="H331" s="128"/>
      <c r="I331" s="128"/>
      <c r="J331" s="128"/>
      <c r="K331" s="128"/>
      <c r="L331" s="128"/>
      <c r="M331" s="128"/>
    </row>
    <row r="332">
      <c r="D332" s="129"/>
      <c r="E332" s="129"/>
      <c r="F332" s="42"/>
      <c r="G332" s="128"/>
      <c r="H332" s="128"/>
      <c r="I332" s="128"/>
      <c r="J332" s="128"/>
      <c r="K332" s="128"/>
      <c r="L332" s="128"/>
      <c r="M332" s="128"/>
    </row>
    <row r="333">
      <c r="D333" s="129"/>
      <c r="E333" s="129"/>
      <c r="F333" s="42"/>
      <c r="G333" s="128"/>
      <c r="H333" s="128"/>
      <c r="I333" s="128"/>
      <c r="J333" s="128"/>
      <c r="K333" s="128"/>
      <c r="L333" s="128"/>
      <c r="M333" s="128"/>
    </row>
    <row r="334">
      <c r="D334" s="129"/>
      <c r="E334" s="129"/>
      <c r="F334" s="42"/>
      <c r="G334" s="128"/>
      <c r="H334" s="128"/>
      <c r="I334" s="128"/>
      <c r="J334" s="128"/>
      <c r="K334" s="128"/>
      <c r="L334" s="128"/>
      <c r="M334" s="128"/>
    </row>
    <row r="335">
      <c r="D335" s="129"/>
      <c r="E335" s="129"/>
      <c r="F335" s="42"/>
      <c r="G335" s="128"/>
      <c r="H335" s="128"/>
      <c r="I335" s="128"/>
      <c r="J335" s="128"/>
      <c r="K335" s="128"/>
      <c r="L335" s="128"/>
      <c r="M335" s="128"/>
    </row>
    <row r="336">
      <c r="D336" s="129"/>
      <c r="E336" s="129"/>
      <c r="F336" s="42"/>
      <c r="G336" s="128"/>
      <c r="H336" s="128"/>
      <c r="I336" s="128"/>
      <c r="J336" s="128"/>
      <c r="K336" s="128"/>
      <c r="L336" s="128"/>
      <c r="M336" s="128"/>
    </row>
    <row r="337">
      <c r="D337" s="129"/>
      <c r="E337" s="129"/>
      <c r="F337" s="42"/>
      <c r="G337" s="128"/>
      <c r="H337" s="128"/>
      <c r="I337" s="128"/>
      <c r="J337" s="128"/>
      <c r="K337" s="128"/>
      <c r="L337" s="128"/>
      <c r="M337" s="128"/>
    </row>
    <row r="338">
      <c r="D338" s="129"/>
      <c r="E338" s="129"/>
      <c r="F338" s="42"/>
      <c r="G338" s="128"/>
      <c r="H338" s="128"/>
      <c r="I338" s="128"/>
      <c r="J338" s="128"/>
      <c r="K338" s="128"/>
      <c r="L338" s="128"/>
      <c r="M338" s="128"/>
    </row>
    <row r="339">
      <c r="D339" s="129"/>
      <c r="E339" s="129"/>
      <c r="F339" s="42"/>
      <c r="G339" s="128"/>
      <c r="H339" s="128"/>
      <c r="I339" s="128"/>
      <c r="J339" s="128"/>
      <c r="K339" s="128"/>
      <c r="L339" s="128"/>
      <c r="M339" s="128"/>
    </row>
    <row r="340">
      <c r="D340" s="129"/>
      <c r="E340" s="129"/>
      <c r="F340" s="42"/>
      <c r="G340" s="128"/>
      <c r="H340" s="128"/>
      <c r="I340" s="128"/>
      <c r="J340" s="128"/>
      <c r="K340" s="128"/>
      <c r="L340" s="128"/>
      <c r="M340" s="128"/>
    </row>
    <row r="341">
      <c r="D341" s="129"/>
      <c r="E341" s="129"/>
      <c r="F341" s="42"/>
      <c r="G341" s="128"/>
      <c r="H341" s="128"/>
      <c r="I341" s="128"/>
      <c r="J341" s="128"/>
      <c r="K341" s="128"/>
      <c r="L341" s="128"/>
      <c r="M341" s="128"/>
    </row>
    <row r="342">
      <c r="D342" s="129"/>
      <c r="E342" s="129"/>
      <c r="F342" s="42"/>
      <c r="G342" s="128"/>
      <c r="H342" s="128"/>
      <c r="I342" s="128"/>
      <c r="J342" s="128"/>
      <c r="K342" s="128"/>
      <c r="L342" s="128"/>
      <c r="M342" s="128"/>
    </row>
    <row r="343">
      <c r="D343" s="129"/>
      <c r="E343" s="129"/>
      <c r="F343" s="42"/>
      <c r="G343" s="128"/>
      <c r="H343" s="128"/>
      <c r="I343" s="128"/>
      <c r="J343" s="128"/>
      <c r="K343" s="128"/>
      <c r="L343" s="128"/>
      <c r="M343" s="128"/>
    </row>
    <row r="344">
      <c r="D344" s="129"/>
      <c r="E344" s="129"/>
      <c r="F344" s="42"/>
      <c r="G344" s="128"/>
      <c r="H344" s="128"/>
      <c r="I344" s="128"/>
      <c r="J344" s="128"/>
      <c r="K344" s="128"/>
      <c r="L344" s="128"/>
      <c r="M344" s="128"/>
    </row>
    <row r="345">
      <c r="D345" s="129"/>
      <c r="E345" s="129"/>
      <c r="F345" s="42"/>
      <c r="G345" s="128"/>
      <c r="H345" s="128"/>
      <c r="I345" s="128"/>
      <c r="J345" s="128"/>
      <c r="K345" s="128"/>
      <c r="L345" s="128"/>
      <c r="M345" s="128"/>
    </row>
    <row r="346">
      <c r="D346" s="129"/>
      <c r="E346" s="129"/>
      <c r="F346" s="42"/>
      <c r="G346" s="128"/>
      <c r="H346" s="128"/>
      <c r="I346" s="128"/>
      <c r="J346" s="128"/>
      <c r="K346" s="128"/>
      <c r="L346" s="128"/>
      <c r="M346" s="128"/>
    </row>
    <row r="347">
      <c r="D347" s="129"/>
      <c r="E347" s="129"/>
      <c r="F347" s="42"/>
      <c r="G347" s="128"/>
      <c r="H347" s="128"/>
      <c r="I347" s="128"/>
      <c r="J347" s="128"/>
      <c r="K347" s="128"/>
      <c r="L347" s="128"/>
      <c r="M347" s="128"/>
    </row>
    <row r="348">
      <c r="D348" s="129"/>
      <c r="E348" s="129"/>
      <c r="F348" s="42"/>
      <c r="G348" s="128"/>
      <c r="H348" s="128"/>
      <c r="I348" s="128"/>
      <c r="J348" s="128"/>
      <c r="K348" s="128"/>
      <c r="L348" s="128"/>
      <c r="M348" s="128"/>
    </row>
    <row r="349">
      <c r="D349" s="129"/>
      <c r="E349" s="129"/>
      <c r="F349" s="42"/>
      <c r="G349" s="128"/>
      <c r="H349" s="128"/>
      <c r="I349" s="128"/>
      <c r="J349" s="128"/>
      <c r="K349" s="128"/>
      <c r="L349" s="128"/>
      <c r="M349" s="128"/>
    </row>
    <row r="350">
      <c r="D350" s="129"/>
      <c r="E350" s="129"/>
      <c r="F350" s="42"/>
      <c r="G350" s="128"/>
      <c r="H350" s="128"/>
      <c r="I350" s="128"/>
      <c r="J350" s="128"/>
      <c r="K350" s="128"/>
      <c r="L350" s="128"/>
      <c r="M350" s="128"/>
    </row>
    <row r="351">
      <c r="D351" s="129"/>
      <c r="E351" s="129"/>
      <c r="F351" s="42"/>
      <c r="G351" s="128"/>
      <c r="H351" s="128"/>
      <c r="I351" s="128"/>
      <c r="J351" s="128"/>
      <c r="K351" s="128"/>
      <c r="L351" s="128"/>
      <c r="M351" s="128"/>
    </row>
    <row r="352">
      <c r="D352" s="129"/>
      <c r="E352" s="129"/>
      <c r="F352" s="42"/>
      <c r="G352" s="128"/>
      <c r="H352" s="128"/>
      <c r="I352" s="128"/>
      <c r="J352" s="128"/>
      <c r="K352" s="128"/>
      <c r="L352" s="128"/>
      <c r="M352" s="128"/>
    </row>
    <row r="353">
      <c r="D353" s="129"/>
      <c r="E353" s="129"/>
      <c r="F353" s="42"/>
      <c r="G353" s="128"/>
      <c r="H353" s="128"/>
      <c r="I353" s="128"/>
      <c r="J353" s="128"/>
      <c r="K353" s="128"/>
      <c r="L353" s="128"/>
      <c r="M353" s="128"/>
    </row>
    <row r="354">
      <c r="D354" s="129"/>
      <c r="E354" s="129"/>
      <c r="F354" s="42"/>
      <c r="G354" s="128"/>
      <c r="H354" s="128"/>
      <c r="I354" s="128"/>
      <c r="J354" s="128"/>
      <c r="K354" s="128"/>
      <c r="L354" s="128"/>
      <c r="M354" s="128"/>
    </row>
    <row r="355">
      <c r="D355" s="129"/>
      <c r="E355" s="129"/>
      <c r="F355" s="42"/>
      <c r="G355" s="128"/>
      <c r="H355" s="128"/>
      <c r="I355" s="128"/>
      <c r="J355" s="128"/>
      <c r="K355" s="128"/>
      <c r="L355" s="128"/>
      <c r="M355" s="128"/>
    </row>
    <row r="356">
      <c r="D356" s="129"/>
      <c r="E356" s="129"/>
      <c r="F356" s="42"/>
      <c r="G356" s="128"/>
      <c r="H356" s="128"/>
      <c r="I356" s="128"/>
      <c r="J356" s="128"/>
      <c r="K356" s="128"/>
      <c r="L356" s="128"/>
      <c r="M356" s="128"/>
    </row>
    <row r="357">
      <c r="D357" s="129"/>
      <c r="E357" s="129"/>
      <c r="F357" s="42"/>
      <c r="G357" s="128"/>
      <c r="H357" s="128"/>
      <c r="I357" s="128"/>
      <c r="J357" s="128"/>
      <c r="K357" s="128"/>
      <c r="L357" s="128"/>
      <c r="M357" s="128"/>
    </row>
    <row r="358">
      <c r="D358" s="129"/>
      <c r="E358" s="129"/>
      <c r="F358" s="42"/>
      <c r="G358" s="128"/>
      <c r="H358" s="128"/>
      <c r="I358" s="128"/>
      <c r="J358" s="128"/>
      <c r="K358" s="128"/>
      <c r="L358" s="128"/>
      <c r="M358" s="128"/>
    </row>
    <row r="359">
      <c r="D359" s="129"/>
      <c r="E359" s="129"/>
      <c r="F359" s="42"/>
      <c r="G359" s="128"/>
      <c r="H359" s="128"/>
      <c r="I359" s="128"/>
      <c r="J359" s="128"/>
      <c r="K359" s="128"/>
      <c r="L359" s="128"/>
      <c r="M359" s="128"/>
    </row>
    <row r="360">
      <c r="D360" s="129"/>
      <c r="E360" s="129"/>
      <c r="F360" s="42"/>
      <c r="G360" s="128"/>
      <c r="H360" s="128"/>
      <c r="I360" s="128"/>
      <c r="J360" s="128"/>
      <c r="K360" s="128"/>
      <c r="L360" s="128"/>
      <c r="M360" s="128"/>
    </row>
    <row r="361">
      <c r="D361" s="129"/>
      <c r="E361" s="129"/>
      <c r="F361" s="42"/>
      <c r="G361" s="128"/>
      <c r="H361" s="128"/>
      <c r="I361" s="128"/>
      <c r="J361" s="128"/>
      <c r="K361" s="128"/>
      <c r="L361" s="128"/>
      <c r="M361" s="128"/>
    </row>
    <row r="362">
      <c r="D362" s="129"/>
      <c r="E362" s="129"/>
      <c r="F362" s="42"/>
      <c r="G362" s="128"/>
      <c r="H362" s="128"/>
      <c r="I362" s="128"/>
      <c r="J362" s="128"/>
      <c r="K362" s="128"/>
      <c r="L362" s="128"/>
      <c r="M362" s="128"/>
    </row>
    <row r="363">
      <c r="D363" s="129"/>
      <c r="E363" s="129"/>
      <c r="F363" s="42"/>
      <c r="G363" s="128"/>
      <c r="H363" s="128"/>
      <c r="I363" s="128"/>
      <c r="J363" s="128"/>
      <c r="K363" s="128"/>
      <c r="L363" s="128"/>
      <c r="M363" s="128"/>
    </row>
    <row r="364">
      <c r="D364" s="129"/>
      <c r="E364" s="129"/>
      <c r="F364" s="42"/>
      <c r="G364" s="128"/>
      <c r="H364" s="128"/>
      <c r="I364" s="128"/>
      <c r="J364" s="128"/>
      <c r="K364" s="128"/>
      <c r="L364" s="128"/>
      <c r="M364" s="128"/>
    </row>
    <row r="365">
      <c r="D365" s="129"/>
      <c r="E365" s="129"/>
      <c r="F365" s="42"/>
      <c r="G365" s="128"/>
      <c r="H365" s="128"/>
      <c r="I365" s="128"/>
      <c r="J365" s="128"/>
      <c r="K365" s="128"/>
      <c r="L365" s="128"/>
      <c r="M365" s="128"/>
    </row>
    <row r="366">
      <c r="D366" s="129"/>
      <c r="E366" s="129"/>
      <c r="F366" s="42"/>
      <c r="G366" s="128"/>
      <c r="H366" s="128"/>
      <c r="I366" s="128"/>
      <c r="J366" s="128"/>
      <c r="K366" s="128"/>
      <c r="L366" s="128"/>
      <c r="M366" s="128"/>
    </row>
    <row r="367">
      <c r="D367" s="129"/>
      <c r="E367" s="129"/>
      <c r="F367" s="42"/>
      <c r="G367" s="128"/>
      <c r="H367" s="128"/>
      <c r="I367" s="128"/>
      <c r="J367" s="128"/>
      <c r="K367" s="128"/>
      <c r="L367" s="128"/>
      <c r="M367" s="128"/>
    </row>
    <row r="368">
      <c r="D368" s="129"/>
      <c r="E368" s="129"/>
      <c r="F368" s="42"/>
      <c r="G368" s="128"/>
      <c r="H368" s="128"/>
      <c r="I368" s="128"/>
      <c r="J368" s="128"/>
      <c r="K368" s="128"/>
      <c r="L368" s="128"/>
      <c r="M368" s="128"/>
    </row>
    <row r="369">
      <c r="D369" s="129"/>
      <c r="E369" s="129"/>
      <c r="F369" s="42"/>
      <c r="G369" s="128"/>
      <c r="H369" s="128"/>
      <c r="I369" s="128"/>
      <c r="J369" s="128"/>
      <c r="K369" s="128"/>
      <c r="L369" s="128"/>
      <c r="M369" s="128"/>
    </row>
    <row r="370">
      <c r="D370" s="129"/>
      <c r="E370" s="129"/>
      <c r="F370" s="42"/>
      <c r="G370" s="128"/>
      <c r="H370" s="128"/>
      <c r="I370" s="128"/>
      <c r="J370" s="128"/>
      <c r="K370" s="128"/>
      <c r="L370" s="128"/>
      <c r="M370" s="128"/>
    </row>
    <row r="371">
      <c r="D371" s="129"/>
      <c r="E371" s="129"/>
      <c r="F371" s="42"/>
      <c r="G371" s="128"/>
      <c r="H371" s="128"/>
      <c r="I371" s="128"/>
      <c r="J371" s="128"/>
      <c r="K371" s="128"/>
      <c r="L371" s="128"/>
      <c r="M371" s="128"/>
    </row>
    <row r="372">
      <c r="D372" s="129"/>
      <c r="E372" s="129"/>
      <c r="F372" s="42"/>
      <c r="G372" s="128"/>
      <c r="H372" s="128"/>
      <c r="I372" s="128"/>
      <c r="J372" s="128"/>
      <c r="K372" s="128"/>
      <c r="L372" s="128"/>
      <c r="M372" s="128"/>
    </row>
    <row r="373">
      <c r="D373" s="129"/>
      <c r="E373" s="129"/>
      <c r="F373" s="42"/>
      <c r="G373" s="128"/>
      <c r="H373" s="128"/>
      <c r="I373" s="128"/>
      <c r="J373" s="128"/>
      <c r="K373" s="128"/>
      <c r="L373" s="128"/>
      <c r="M373" s="128"/>
    </row>
    <row r="374">
      <c r="D374" s="129"/>
      <c r="E374" s="129"/>
      <c r="F374" s="42"/>
      <c r="G374" s="128"/>
      <c r="H374" s="128"/>
      <c r="I374" s="128"/>
      <c r="J374" s="128"/>
      <c r="K374" s="128"/>
      <c r="L374" s="128"/>
      <c r="M374" s="128"/>
    </row>
    <row r="375">
      <c r="D375" s="129"/>
      <c r="E375" s="129"/>
      <c r="F375" s="42"/>
      <c r="G375" s="128"/>
      <c r="H375" s="128"/>
      <c r="I375" s="128"/>
      <c r="J375" s="128"/>
      <c r="K375" s="128"/>
      <c r="L375" s="128"/>
      <c r="M375" s="128"/>
    </row>
    <row r="376">
      <c r="D376" s="129"/>
      <c r="E376" s="129"/>
      <c r="F376" s="42"/>
      <c r="G376" s="128"/>
      <c r="H376" s="128"/>
      <c r="I376" s="128"/>
      <c r="J376" s="128"/>
      <c r="K376" s="128"/>
      <c r="L376" s="128"/>
      <c r="M376" s="128"/>
    </row>
    <row r="377">
      <c r="D377" s="129"/>
      <c r="E377" s="129"/>
      <c r="F377" s="42"/>
      <c r="G377" s="128"/>
      <c r="H377" s="128"/>
      <c r="I377" s="128"/>
      <c r="J377" s="128"/>
      <c r="K377" s="128"/>
      <c r="L377" s="128"/>
      <c r="M377" s="128"/>
    </row>
    <row r="378">
      <c r="D378" s="129"/>
      <c r="E378" s="129"/>
      <c r="F378" s="42"/>
      <c r="G378" s="128"/>
      <c r="H378" s="128"/>
      <c r="I378" s="128"/>
      <c r="J378" s="128"/>
      <c r="K378" s="128"/>
      <c r="L378" s="128"/>
      <c r="M378" s="128"/>
    </row>
    <row r="379">
      <c r="D379" s="129"/>
      <c r="E379" s="129"/>
      <c r="F379" s="42"/>
      <c r="G379" s="128"/>
      <c r="H379" s="128"/>
      <c r="I379" s="128"/>
      <c r="J379" s="128"/>
      <c r="K379" s="128"/>
      <c r="L379" s="128"/>
      <c r="M379" s="128"/>
    </row>
    <row r="380">
      <c r="D380" s="129"/>
      <c r="E380" s="129"/>
      <c r="F380" s="42"/>
      <c r="G380" s="128"/>
      <c r="H380" s="128"/>
      <c r="I380" s="128"/>
      <c r="J380" s="128"/>
      <c r="K380" s="128"/>
      <c r="L380" s="128"/>
      <c r="M380" s="128"/>
    </row>
    <row r="381">
      <c r="D381" s="129"/>
      <c r="E381" s="129"/>
      <c r="F381" s="42"/>
      <c r="G381" s="128"/>
      <c r="H381" s="128"/>
      <c r="I381" s="128"/>
      <c r="J381" s="128"/>
      <c r="K381" s="128"/>
      <c r="L381" s="128"/>
      <c r="M381" s="128"/>
    </row>
    <row r="382">
      <c r="D382" s="129"/>
      <c r="E382" s="129"/>
      <c r="F382" s="42"/>
      <c r="G382" s="128"/>
      <c r="H382" s="128"/>
      <c r="I382" s="128"/>
      <c r="J382" s="128"/>
      <c r="K382" s="128"/>
      <c r="L382" s="128"/>
      <c r="M382" s="128"/>
    </row>
    <row r="383">
      <c r="D383" s="129"/>
      <c r="E383" s="129"/>
      <c r="F383" s="42"/>
      <c r="G383" s="128"/>
      <c r="H383" s="128"/>
      <c r="I383" s="128"/>
      <c r="J383" s="128"/>
      <c r="K383" s="128"/>
      <c r="L383" s="128"/>
      <c r="M383" s="128"/>
    </row>
    <row r="384">
      <c r="D384" s="129"/>
      <c r="E384" s="129"/>
      <c r="F384" s="42"/>
      <c r="G384" s="128"/>
      <c r="H384" s="128"/>
      <c r="I384" s="128"/>
      <c r="J384" s="128"/>
      <c r="K384" s="128"/>
      <c r="L384" s="128"/>
      <c r="M384" s="128"/>
    </row>
    <row r="385">
      <c r="D385" s="129"/>
      <c r="E385" s="129"/>
      <c r="F385" s="42"/>
      <c r="G385" s="128"/>
      <c r="H385" s="128"/>
      <c r="I385" s="128"/>
      <c r="J385" s="128"/>
      <c r="K385" s="128"/>
      <c r="L385" s="128"/>
      <c r="M385" s="128"/>
    </row>
    <row r="386">
      <c r="D386" s="129"/>
      <c r="E386" s="129"/>
      <c r="F386" s="42"/>
      <c r="G386" s="128"/>
      <c r="H386" s="128"/>
      <c r="I386" s="128"/>
      <c r="J386" s="128"/>
      <c r="K386" s="128"/>
      <c r="L386" s="128"/>
      <c r="M386" s="128"/>
    </row>
    <row r="387">
      <c r="D387" s="129"/>
      <c r="E387" s="129"/>
      <c r="F387" s="42"/>
      <c r="G387" s="128"/>
      <c r="H387" s="128"/>
      <c r="I387" s="128"/>
      <c r="J387" s="128"/>
      <c r="K387" s="128"/>
      <c r="L387" s="128"/>
      <c r="M387" s="128"/>
    </row>
    <row r="388">
      <c r="D388" s="129"/>
      <c r="E388" s="129"/>
      <c r="F388" s="42"/>
      <c r="G388" s="128"/>
      <c r="H388" s="128"/>
      <c r="I388" s="128"/>
      <c r="J388" s="128"/>
      <c r="K388" s="128"/>
      <c r="L388" s="128"/>
      <c r="M388" s="128"/>
    </row>
    <row r="389">
      <c r="D389" s="129"/>
      <c r="E389" s="129"/>
      <c r="F389" s="42"/>
      <c r="G389" s="128"/>
      <c r="H389" s="128"/>
      <c r="I389" s="128"/>
      <c r="J389" s="128"/>
      <c r="K389" s="128"/>
      <c r="L389" s="128"/>
      <c r="M389" s="128"/>
    </row>
    <row r="390">
      <c r="D390" s="129"/>
      <c r="E390" s="129"/>
      <c r="F390" s="42"/>
      <c r="G390" s="128"/>
      <c r="H390" s="128"/>
      <c r="I390" s="128"/>
      <c r="J390" s="128"/>
      <c r="K390" s="128"/>
      <c r="L390" s="128"/>
      <c r="M390" s="128"/>
    </row>
    <row r="391">
      <c r="D391" s="129"/>
      <c r="E391" s="129"/>
      <c r="F391" s="42"/>
      <c r="G391" s="128"/>
      <c r="H391" s="128"/>
      <c r="I391" s="128"/>
      <c r="J391" s="128"/>
      <c r="K391" s="128"/>
      <c r="L391" s="128"/>
      <c r="M391" s="128"/>
    </row>
    <row r="392">
      <c r="D392" s="129"/>
      <c r="E392" s="129"/>
      <c r="F392" s="42"/>
      <c r="G392" s="128"/>
      <c r="H392" s="128"/>
      <c r="I392" s="128"/>
      <c r="J392" s="128"/>
      <c r="K392" s="128"/>
      <c r="L392" s="128"/>
      <c r="M392" s="128"/>
    </row>
    <row r="393">
      <c r="D393" s="129"/>
      <c r="E393" s="129"/>
      <c r="F393" s="42"/>
      <c r="G393" s="128"/>
      <c r="H393" s="128"/>
      <c r="I393" s="128"/>
      <c r="J393" s="128"/>
      <c r="K393" s="128"/>
      <c r="L393" s="128"/>
      <c r="M393" s="128"/>
    </row>
    <row r="394">
      <c r="D394" s="129"/>
      <c r="E394" s="129"/>
      <c r="F394" s="42"/>
      <c r="G394" s="128"/>
      <c r="H394" s="128"/>
      <c r="I394" s="128"/>
      <c r="J394" s="128"/>
      <c r="K394" s="128"/>
      <c r="L394" s="128"/>
      <c r="M394" s="128"/>
    </row>
    <row r="395">
      <c r="D395" s="129"/>
      <c r="E395" s="129"/>
      <c r="F395" s="42"/>
      <c r="G395" s="128"/>
      <c r="H395" s="128"/>
      <c r="I395" s="128"/>
      <c r="J395" s="128"/>
      <c r="K395" s="128"/>
      <c r="L395" s="128"/>
      <c r="M395" s="128"/>
    </row>
    <row r="396">
      <c r="D396" s="129"/>
      <c r="E396" s="129"/>
      <c r="F396" s="42"/>
      <c r="G396" s="128"/>
      <c r="H396" s="128"/>
      <c r="I396" s="128"/>
      <c r="J396" s="128"/>
      <c r="K396" s="128"/>
      <c r="L396" s="128"/>
      <c r="M396" s="128"/>
    </row>
    <row r="397">
      <c r="D397" s="129"/>
      <c r="E397" s="129"/>
      <c r="F397" s="42"/>
      <c r="G397" s="128"/>
      <c r="H397" s="128"/>
      <c r="I397" s="128"/>
      <c r="J397" s="128"/>
      <c r="K397" s="128"/>
      <c r="L397" s="128"/>
      <c r="M397" s="128"/>
    </row>
    <row r="398">
      <c r="D398" s="129"/>
      <c r="E398" s="129"/>
      <c r="F398" s="42"/>
      <c r="G398" s="128"/>
      <c r="H398" s="128"/>
      <c r="I398" s="128"/>
      <c r="J398" s="128"/>
      <c r="K398" s="128"/>
      <c r="L398" s="128"/>
      <c r="M398" s="128"/>
    </row>
    <row r="399">
      <c r="D399" s="129"/>
      <c r="E399" s="129"/>
      <c r="F399" s="42"/>
      <c r="G399" s="128"/>
      <c r="H399" s="128"/>
      <c r="I399" s="128"/>
      <c r="J399" s="128"/>
      <c r="K399" s="128"/>
      <c r="L399" s="128"/>
      <c r="M399" s="128"/>
    </row>
    <row r="400">
      <c r="D400" s="129"/>
      <c r="E400" s="129"/>
      <c r="F400" s="42"/>
      <c r="G400" s="128"/>
      <c r="H400" s="128"/>
      <c r="I400" s="128"/>
      <c r="J400" s="128"/>
      <c r="K400" s="128"/>
      <c r="L400" s="128"/>
      <c r="M400" s="128"/>
    </row>
    <row r="401">
      <c r="D401" s="129"/>
      <c r="E401" s="129"/>
      <c r="F401" s="42"/>
      <c r="G401" s="128"/>
      <c r="H401" s="128"/>
      <c r="I401" s="128"/>
      <c r="J401" s="128"/>
      <c r="K401" s="128"/>
      <c r="L401" s="128"/>
      <c r="M401" s="128"/>
    </row>
    <row r="402">
      <c r="D402" s="129"/>
      <c r="E402" s="129"/>
      <c r="F402" s="42"/>
      <c r="G402" s="128"/>
      <c r="H402" s="128"/>
      <c r="I402" s="128"/>
      <c r="J402" s="128"/>
      <c r="K402" s="128"/>
      <c r="L402" s="128"/>
      <c r="M402" s="128"/>
    </row>
    <row r="403">
      <c r="D403" s="129"/>
      <c r="E403" s="129"/>
      <c r="F403" s="42"/>
      <c r="G403" s="128"/>
      <c r="H403" s="128"/>
      <c r="I403" s="128"/>
      <c r="J403" s="128"/>
      <c r="K403" s="128"/>
      <c r="L403" s="128"/>
      <c r="M403" s="128"/>
    </row>
    <row r="404">
      <c r="D404" s="129"/>
      <c r="E404" s="129"/>
      <c r="F404" s="42"/>
      <c r="G404" s="128"/>
      <c r="H404" s="128"/>
      <c r="I404" s="128"/>
      <c r="J404" s="128"/>
      <c r="K404" s="128"/>
      <c r="L404" s="128"/>
      <c r="M404" s="128"/>
    </row>
    <row r="405">
      <c r="D405" s="129"/>
      <c r="E405" s="129"/>
      <c r="F405" s="42"/>
      <c r="G405" s="128"/>
      <c r="H405" s="128"/>
      <c r="I405" s="128"/>
      <c r="J405" s="128"/>
      <c r="K405" s="128"/>
      <c r="L405" s="128"/>
      <c r="M405" s="128"/>
    </row>
    <row r="406">
      <c r="D406" s="129"/>
      <c r="E406" s="129"/>
      <c r="F406" s="42"/>
      <c r="G406" s="128"/>
      <c r="H406" s="128"/>
      <c r="I406" s="128"/>
      <c r="J406" s="128"/>
      <c r="K406" s="128"/>
      <c r="L406" s="128"/>
      <c r="M406" s="128"/>
    </row>
    <row r="407">
      <c r="D407" s="129"/>
      <c r="E407" s="129"/>
      <c r="F407" s="42"/>
      <c r="G407" s="128"/>
      <c r="H407" s="128"/>
      <c r="I407" s="128"/>
      <c r="J407" s="128"/>
      <c r="K407" s="128"/>
      <c r="L407" s="128"/>
      <c r="M407" s="128"/>
    </row>
    <row r="408">
      <c r="D408" s="129"/>
      <c r="E408" s="129"/>
      <c r="F408" s="42"/>
      <c r="G408" s="128"/>
      <c r="H408" s="128"/>
      <c r="I408" s="128"/>
      <c r="J408" s="128"/>
      <c r="K408" s="128"/>
      <c r="L408" s="128"/>
      <c r="M408" s="128"/>
    </row>
    <row r="409">
      <c r="D409" s="129"/>
      <c r="E409" s="129"/>
      <c r="F409" s="42"/>
      <c r="G409" s="128"/>
      <c r="H409" s="128"/>
      <c r="I409" s="128"/>
      <c r="J409" s="128"/>
      <c r="K409" s="128"/>
      <c r="L409" s="128"/>
      <c r="M409" s="128"/>
    </row>
    <row r="410">
      <c r="D410" s="129"/>
      <c r="E410" s="129"/>
      <c r="F410" s="42"/>
      <c r="G410" s="128"/>
      <c r="H410" s="128"/>
      <c r="I410" s="128"/>
      <c r="J410" s="128"/>
      <c r="K410" s="128"/>
      <c r="L410" s="128"/>
      <c r="M410" s="128"/>
    </row>
    <row r="411">
      <c r="D411" s="129"/>
      <c r="E411" s="129"/>
      <c r="F411" s="42"/>
      <c r="G411" s="128"/>
      <c r="H411" s="128"/>
      <c r="I411" s="128"/>
      <c r="J411" s="128"/>
      <c r="K411" s="128"/>
      <c r="L411" s="128"/>
      <c r="M411" s="128"/>
    </row>
    <row r="412">
      <c r="D412" s="129"/>
      <c r="E412" s="129"/>
      <c r="F412" s="42"/>
      <c r="G412" s="128"/>
      <c r="H412" s="128"/>
      <c r="I412" s="128"/>
      <c r="J412" s="128"/>
      <c r="K412" s="128"/>
      <c r="L412" s="128"/>
      <c r="M412" s="128"/>
    </row>
    <row r="413">
      <c r="D413" s="129"/>
      <c r="E413" s="129"/>
      <c r="F413" s="42"/>
      <c r="G413" s="128"/>
      <c r="H413" s="128"/>
      <c r="I413" s="128"/>
      <c r="J413" s="128"/>
      <c r="K413" s="128"/>
      <c r="L413" s="128"/>
      <c r="M413" s="128"/>
    </row>
    <row r="414">
      <c r="D414" s="129"/>
      <c r="E414" s="129"/>
      <c r="F414" s="42"/>
      <c r="G414" s="128"/>
      <c r="H414" s="128"/>
      <c r="I414" s="128"/>
      <c r="J414" s="128"/>
      <c r="K414" s="128"/>
      <c r="L414" s="128"/>
      <c r="M414" s="128"/>
    </row>
    <row r="415">
      <c r="D415" s="129"/>
      <c r="E415" s="129"/>
      <c r="F415" s="42"/>
      <c r="G415" s="128"/>
      <c r="H415" s="128"/>
      <c r="I415" s="128"/>
      <c r="J415" s="128"/>
      <c r="K415" s="128"/>
      <c r="L415" s="128"/>
      <c r="M415" s="128"/>
    </row>
    <row r="416">
      <c r="D416" s="129"/>
      <c r="E416" s="129"/>
      <c r="F416" s="42"/>
      <c r="G416" s="128"/>
      <c r="H416" s="128"/>
      <c r="I416" s="128"/>
      <c r="J416" s="128"/>
      <c r="K416" s="128"/>
      <c r="L416" s="128"/>
      <c r="M416" s="128"/>
    </row>
    <row r="417">
      <c r="D417" s="129"/>
      <c r="E417" s="129"/>
      <c r="F417" s="42"/>
      <c r="G417" s="128"/>
      <c r="H417" s="128"/>
      <c r="I417" s="128"/>
      <c r="J417" s="128"/>
      <c r="K417" s="128"/>
      <c r="L417" s="128"/>
      <c r="M417" s="128"/>
    </row>
    <row r="418">
      <c r="D418" s="129"/>
      <c r="E418" s="129"/>
      <c r="F418" s="42"/>
      <c r="G418" s="128"/>
      <c r="H418" s="128"/>
      <c r="I418" s="128"/>
      <c r="J418" s="128"/>
      <c r="K418" s="128"/>
      <c r="L418" s="128"/>
      <c r="M418" s="128"/>
    </row>
    <row r="419">
      <c r="D419" s="129"/>
      <c r="E419" s="129"/>
      <c r="F419" s="42"/>
      <c r="G419" s="128"/>
      <c r="H419" s="128"/>
      <c r="I419" s="128"/>
      <c r="J419" s="128"/>
      <c r="K419" s="128"/>
      <c r="L419" s="128"/>
      <c r="M419" s="128"/>
    </row>
    <row r="420">
      <c r="D420" s="129"/>
      <c r="E420" s="129"/>
      <c r="F420" s="42"/>
      <c r="G420" s="128"/>
      <c r="H420" s="128"/>
      <c r="I420" s="128"/>
      <c r="J420" s="128"/>
      <c r="K420" s="128"/>
      <c r="L420" s="128"/>
      <c r="M420" s="128"/>
    </row>
    <row r="421">
      <c r="D421" s="129"/>
      <c r="E421" s="129"/>
      <c r="F421" s="42"/>
      <c r="G421" s="128"/>
      <c r="H421" s="128"/>
      <c r="I421" s="128"/>
      <c r="J421" s="128"/>
      <c r="K421" s="128"/>
      <c r="L421" s="128"/>
      <c r="M421" s="128"/>
    </row>
    <row r="422">
      <c r="D422" s="129"/>
      <c r="E422" s="129"/>
      <c r="F422" s="42"/>
      <c r="G422" s="128"/>
      <c r="H422" s="128"/>
      <c r="I422" s="128"/>
      <c r="J422" s="128"/>
      <c r="K422" s="128"/>
      <c r="L422" s="128"/>
      <c r="M422" s="128"/>
    </row>
    <row r="423">
      <c r="D423" s="129"/>
      <c r="E423" s="129"/>
      <c r="F423" s="42"/>
      <c r="G423" s="128"/>
      <c r="H423" s="128"/>
      <c r="I423" s="128"/>
      <c r="J423" s="128"/>
      <c r="K423" s="128"/>
      <c r="L423" s="128"/>
      <c r="M423" s="128"/>
    </row>
    <row r="424">
      <c r="D424" s="129"/>
      <c r="E424" s="129"/>
      <c r="F424" s="42"/>
      <c r="G424" s="128"/>
      <c r="H424" s="128"/>
      <c r="I424" s="128"/>
      <c r="J424" s="128"/>
      <c r="K424" s="128"/>
      <c r="L424" s="128"/>
      <c r="M424" s="128"/>
    </row>
    <row r="425">
      <c r="D425" s="129"/>
      <c r="E425" s="129"/>
      <c r="F425" s="42"/>
      <c r="G425" s="128"/>
      <c r="H425" s="128"/>
      <c r="I425" s="128"/>
      <c r="J425" s="128"/>
      <c r="K425" s="128"/>
      <c r="L425" s="128"/>
      <c r="M425" s="128"/>
    </row>
    <row r="426">
      <c r="D426" s="129"/>
      <c r="E426" s="129"/>
      <c r="F426" s="42"/>
      <c r="G426" s="128"/>
      <c r="H426" s="128"/>
      <c r="I426" s="128"/>
      <c r="J426" s="128"/>
      <c r="K426" s="128"/>
      <c r="L426" s="128"/>
      <c r="M426" s="128"/>
    </row>
    <row r="427">
      <c r="D427" s="129"/>
      <c r="E427" s="129"/>
      <c r="F427" s="42"/>
      <c r="G427" s="128"/>
      <c r="H427" s="128"/>
      <c r="I427" s="128"/>
      <c r="J427" s="128"/>
      <c r="K427" s="128"/>
      <c r="L427" s="128"/>
      <c r="M427" s="128"/>
    </row>
    <row r="428">
      <c r="D428" s="129"/>
      <c r="E428" s="129"/>
      <c r="F428" s="42"/>
      <c r="G428" s="128"/>
      <c r="H428" s="128"/>
      <c r="I428" s="128"/>
      <c r="J428" s="128"/>
      <c r="K428" s="128"/>
      <c r="L428" s="128"/>
      <c r="M428" s="128"/>
    </row>
    <row r="429">
      <c r="D429" s="129"/>
      <c r="E429" s="129"/>
      <c r="F429" s="42"/>
      <c r="G429" s="128"/>
      <c r="H429" s="128"/>
      <c r="I429" s="128"/>
      <c r="J429" s="128"/>
      <c r="K429" s="128"/>
      <c r="L429" s="128"/>
      <c r="M429" s="128"/>
    </row>
    <row r="430">
      <c r="D430" s="129"/>
      <c r="E430" s="129"/>
      <c r="F430" s="42"/>
      <c r="G430" s="128"/>
      <c r="H430" s="128"/>
      <c r="I430" s="128"/>
      <c r="J430" s="128"/>
      <c r="K430" s="128"/>
      <c r="L430" s="128"/>
      <c r="M430" s="128"/>
    </row>
    <row r="431">
      <c r="D431" s="129"/>
      <c r="E431" s="129"/>
      <c r="F431" s="42"/>
      <c r="G431" s="128"/>
      <c r="H431" s="128"/>
      <c r="I431" s="128"/>
      <c r="J431" s="128"/>
      <c r="K431" s="128"/>
      <c r="L431" s="128"/>
      <c r="M431" s="128"/>
    </row>
    <row r="432">
      <c r="D432" s="129"/>
      <c r="E432" s="129"/>
      <c r="F432" s="42"/>
      <c r="G432" s="128"/>
      <c r="H432" s="128"/>
      <c r="I432" s="128"/>
      <c r="J432" s="128"/>
      <c r="K432" s="128"/>
      <c r="L432" s="128"/>
      <c r="M432" s="128"/>
    </row>
    <row r="433">
      <c r="D433" s="129"/>
      <c r="E433" s="129"/>
      <c r="F433" s="42"/>
      <c r="G433" s="128"/>
      <c r="H433" s="128"/>
      <c r="I433" s="128"/>
      <c r="J433" s="128"/>
      <c r="K433" s="128"/>
      <c r="L433" s="128"/>
      <c r="M433" s="128"/>
    </row>
    <row r="434">
      <c r="D434" s="129"/>
      <c r="E434" s="129"/>
      <c r="F434" s="42"/>
      <c r="G434" s="128"/>
      <c r="H434" s="128"/>
      <c r="I434" s="128"/>
      <c r="J434" s="128"/>
      <c r="K434" s="128"/>
      <c r="L434" s="128"/>
      <c r="M434" s="128"/>
    </row>
    <row r="435">
      <c r="D435" s="129"/>
      <c r="E435" s="129"/>
      <c r="F435" s="42"/>
      <c r="G435" s="128"/>
      <c r="H435" s="128"/>
      <c r="I435" s="128"/>
      <c r="J435" s="128"/>
      <c r="K435" s="128"/>
      <c r="L435" s="128"/>
      <c r="M435" s="128"/>
    </row>
    <row r="436">
      <c r="D436" s="129"/>
      <c r="E436" s="129"/>
      <c r="F436" s="42"/>
      <c r="G436" s="128"/>
      <c r="H436" s="128"/>
      <c r="I436" s="128"/>
      <c r="J436" s="128"/>
      <c r="K436" s="128"/>
      <c r="L436" s="128"/>
      <c r="M436" s="128"/>
    </row>
    <row r="437">
      <c r="D437" s="129"/>
      <c r="E437" s="129"/>
      <c r="F437" s="42"/>
      <c r="G437" s="128"/>
      <c r="H437" s="128"/>
      <c r="I437" s="128"/>
      <c r="J437" s="128"/>
      <c r="K437" s="128"/>
      <c r="L437" s="128"/>
      <c r="M437" s="128"/>
    </row>
    <row r="438">
      <c r="D438" s="129"/>
      <c r="E438" s="129"/>
      <c r="F438" s="42"/>
      <c r="G438" s="128"/>
      <c r="H438" s="128"/>
      <c r="I438" s="128"/>
      <c r="J438" s="128"/>
      <c r="K438" s="128"/>
      <c r="L438" s="128"/>
      <c r="M438" s="128"/>
    </row>
    <row r="439">
      <c r="D439" s="129"/>
      <c r="E439" s="129"/>
      <c r="F439" s="42"/>
      <c r="G439" s="128"/>
      <c r="H439" s="128"/>
      <c r="I439" s="128"/>
      <c r="J439" s="128"/>
      <c r="K439" s="128"/>
      <c r="L439" s="128"/>
      <c r="M439" s="128"/>
    </row>
    <row r="440">
      <c r="D440" s="129"/>
      <c r="E440" s="129"/>
      <c r="F440" s="42"/>
      <c r="G440" s="128"/>
      <c r="H440" s="128"/>
      <c r="I440" s="128"/>
      <c r="J440" s="128"/>
      <c r="K440" s="128"/>
      <c r="L440" s="128"/>
      <c r="M440" s="128"/>
    </row>
    <row r="441">
      <c r="D441" s="129"/>
      <c r="E441" s="129"/>
      <c r="F441" s="42"/>
      <c r="G441" s="128"/>
      <c r="H441" s="128"/>
      <c r="I441" s="128"/>
      <c r="J441" s="128"/>
      <c r="K441" s="128"/>
      <c r="L441" s="128"/>
      <c r="M441" s="128"/>
    </row>
    <row r="442">
      <c r="D442" s="129"/>
      <c r="E442" s="129"/>
      <c r="F442" s="42"/>
      <c r="G442" s="128"/>
      <c r="H442" s="128"/>
      <c r="I442" s="128"/>
      <c r="J442" s="128"/>
      <c r="K442" s="128"/>
      <c r="L442" s="128"/>
      <c r="M442" s="128"/>
    </row>
    <row r="443">
      <c r="D443" s="129"/>
      <c r="E443" s="129"/>
      <c r="F443" s="42"/>
      <c r="G443" s="128"/>
      <c r="H443" s="128"/>
      <c r="I443" s="128"/>
      <c r="J443" s="128"/>
      <c r="K443" s="128"/>
      <c r="L443" s="128"/>
      <c r="M443" s="128"/>
    </row>
    <row r="444">
      <c r="D444" s="129"/>
      <c r="E444" s="129"/>
      <c r="F444" s="42"/>
      <c r="G444" s="128"/>
      <c r="H444" s="128"/>
      <c r="I444" s="128"/>
      <c r="J444" s="128"/>
      <c r="K444" s="128"/>
      <c r="L444" s="128"/>
      <c r="M444" s="128"/>
    </row>
    <row r="445">
      <c r="D445" s="129"/>
      <c r="E445" s="129"/>
      <c r="F445" s="42"/>
      <c r="G445" s="128"/>
      <c r="H445" s="128"/>
      <c r="I445" s="128"/>
      <c r="J445" s="128"/>
      <c r="K445" s="128"/>
      <c r="L445" s="128"/>
      <c r="M445" s="128"/>
    </row>
    <row r="446">
      <c r="D446" s="129"/>
      <c r="E446" s="129"/>
      <c r="F446" s="42"/>
      <c r="G446" s="128"/>
      <c r="H446" s="128"/>
      <c r="I446" s="128"/>
      <c r="J446" s="128"/>
      <c r="K446" s="128"/>
      <c r="L446" s="128"/>
      <c r="M446" s="128"/>
    </row>
    <row r="447">
      <c r="D447" s="129"/>
      <c r="E447" s="129"/>
      <c r="F447" s="42"/>
      <c r="G447" s="128"/>
      <c r="H447" s="128"/>
      <c r="I447" s="128"/>
      <c r="J447" s="128"/>
      <c r="K447" s="128"/>
      <c r="L447" s="128"/>
      <c r="M447" s="128"/>
    </row>
    <row r="448">
      <c r="D448" s="129"/>
      <c r="E448" s="129"/>
      <c r="F448" s="42"/>
      <c r="G448" s="128"/>
      <c r="H448" s="128"/>
      <c r="I448" s="128"/>
      <c r="J448" s="128"/>
      <c r="K448" s="128"/>
      <c r="L448" s="128"/>
      <c r="M448" s="128"/>
    </row>
    <row r="449">
      <c r="D449" s="129"/>
      <c r="E449" s="129"/>
      <c r="F449" s="42"/>
      <c r="G449" s="128"/>
      <c r="H449" s="128"/>
      <c r="I449" s="128"/>
      <c r="J449" s="128"/>
      <c r="K449" s="128"/>
      <c r="L449" s="128"/>
      <c r="M449" s="128"/>
    </row>
    <row r="450">
      <c r="D450" s="129"/>
      <c r="E450" s="129"/>
      <c r="F450" s="42"/>
      <c r="G450" s="128"/>
      <c r="H450" s="128"/>
      <c r="I450" s="128"/>
      <c r="J450" s="128"/>
      <c r="K450" s="128"/>
      <c r="L450" s="128"/>
      <c r="M450" s="128"/>
    </row>
    <row r="451">
      <c r="D451" s="129"/>
      <c r="E451" s="129"/>
      <c r="F451" s="42"/>
      <c r="G451" s="128"/>
      <c r="H451" s="128"/>
      <c r="I451" s="128"/>
      <c r="J451" s="128"/>
      <c r="K451" s="128"/>
      <c r="L451" s="128"/>
      <c r="M451" s="128"/>
    </row>
    <row r="452">
      <c r="D452" s="129"/>
      <c r="E452" s="129"/>
      <c r="F452" s="42"/>
      <c r="G452" s="128"/>
      <c r="H452" s="128"/>
      <c r="I452" s="128"/>
      <c r="J452" s="128"/>
      <c r="K452" s="128"/>
      <c r="L452" s="128"/>
      <c r="M452" s="128"/>
    </row>
    <row r="453">
      <c r="D453" s="129"/>
      <c r="E453" s="129"/>
      <c r="F453" s="42"/>
      <c r="G453" s="128"/>
      <c r="H453" s="128"/>
      <c r="I453" s="128"/>
      <c r="J453" s="128"/>
      <c r="K453" s="128"/>
      <c r="L453" s="128"/>
      <c r="M453" s="128"/>
    </row>
    <row r="454">
      <c r="D454" s="129"/>
      <c r="E454" s="129"/>
      <c r="F454" s="42"/>
      <c r="G454" s="128"/>
      <c r="H454" s="128"/>
      <c r="I454" s="128"/>
      <c r="J454" s="128"/>
      <c r="K454" s="128"/>
      <c r="L454" s="128"/>
      <c r="M454" s="128"/>
    </row>
    <row r="455">
      <c r="D455" s="129"/>
      <c r="E455" s="129"/>
      <c r="F455" s="42"/>
      <c r="G455" s="128"/>
      <c r="H455" s="128"/>
      <c r="I455" s="128"/>
      <c r="J455" s="128"/>
      <c r="K455" s="128"/>
      <c r="L455" s="128"/>
      <c r="M455" s="128"/>
    </row>
    <row r="456">
      <c r="D456" s="129"/>
      <c r="E456" s="129"/>
      <c r="F456" s="42"/>
      <c r="G456" s="128"/>
      <c r="H456" s="128"/>
      <c r="I456" s="128"/>
      <c r="J456" s="128"/>
      <c r="K456" s="128"/>
      <c r="L456" s="128"/>
      <c r="M456" s="128"/>
    </row>
    <row r="457">
      <c r="D457" s="129"/>
      <c r="E457" s="129"/>
      <c r="F457" s="42"/>
      <c r="G457" s="128"/>
      <c r="H457" s="128"/>
      <c r="I457" s="128"/>
      <c r="J457" s="128"/>
      <c r="K457" s="128"/>
      <c r="L457" s="128"/>
      <c r="M457" s="128"/>
    </row>
    <row r="458">
      <c r="D458" s="129"/>
      <c r="E458" s="129"/>
      <c r="F458" s="42"/>
      <c r="G458" s="128"/>
      <c r="H458" s="128"/>
      <c r="I458" s="128"/>
      <c r="J458" s="128"/>
      <c r="K458" s="128"/>
      <c r="L458" s="128"/>
      <c r="M458" s="128"/>
    </row>
    <row r="459">
      <c r="D459" s="129"/>
      <c r="E459" s="129"/>
      <c r="F459" s="42"/>
      <c r="G459" s="128"/>
      <c r="H459" s="128"/>
      <c r="I459" s="128"/>
      <c r="J459" s="128"/>
      <c r="K459" s="128"/>
      <c r="L459" s="128"/>
      <c r="M459" s="128"/>
    </row>
    <row r="460">
      <c r="D460" s="129"/>
      <c r="E460" s="129"/>
      <c r="F460" s="42"/>
      <c r="G460" s="128"/>
      <c r="H460" s="128"/>
      <c r="I460" s="128"/>
      <c r="J460" s="128"/>
      <c r="K460" s="128"/>
      <c r="L460" s="128"/>
      <c r="M460" s="128"/>
    </row>
    <row r="461">
      <c r="D461" s="129"/>
      <c r="E461" s="129"/>
      <c r="F461" s="42"/>
      <c r="G461" s="128"/>
      <c r="H461" s="128"/>
      <c r="I461" s="128"/>
      <c r="J461" s="128"/>
      <c r="K461" s="128"/>
      <c r="L461" s="128"/>
      <c r="M461" s="128"/>
    </row>
    <row r="462">
      <c r="D462" s="129"/>
      <c r="E462" s="129"/>
      <c r="F462" s="42"/>
      <c r="G462" s="128"/>
      <c r="H462" s="128"/>
      <c r="I462" s="128"/>
      <c r="J462" s="128"/>
      <c r="K462" s="128"/>
      <c r="L462" s="128"/>
      <c r="M462" s="128"/>
    </row>
    <row r="463">
      <c r="D463" s="129"/>
      <c r="E463" s="129"/>
      <c r="F463" s="42"/>
      <c r="G463" s="128"/>
      <c r="H463" s="128"/>
      <c r="I463" s="128"/>
      <c r="J463" s="128"/>
      <c r="K463" s="128"/>
      <c r="L463" s="128"/>
      <c r="M463" s="128"/>
    </row>
    <row r="464">
      <c r="D464" s="129"/>
      <c r="E464" s="129"/>
      <c r="F464" s="42"/>
      <c r="G464" s="128"/>
      <c r="H464" s="128"/>
      <c r="I464" s="128"/>
      <c r="J464" s="128"/>
      <c r="K464" s="128"/>
      <c r="L464" s="128"/>
      <c r="M464" s="128"/>
    </row>
    <row r="465">
      <c r="D465" s="129"/>
      <c r="E465" s="129"/>
      <c r="F465" s="42"/>
      <c r="G465" s="128"/>
      <c r="H465" s="128"/>
      <c r="I465" s="128"/>
      <c r="J465" s="128"/>
      <c r="K465" s="128"/>
      <c r="L465" s="128"/>
      <c r="M465" s="128"/>
    </row>
    <row r="466">
      <c r="D466" s="129"/>
      <c r="E466" s="129"/>
      <c r="F466" s="42"/>
      <c r="G466" s="128"/>
      <c r="H466" s="128"/>
      <c r="I466" s="128"/>
      <c r="J466" s="128"/>
      <c r="K466" s="128"/>
      <c r="L466" s="128"/>
      <c r="M466" s="128"/>
    </row>
    <row r="467">
      <c r="D467" s="129"/>
      <c r="E467" s="129"/>
      <c r="F467" s="42"/>
      <c r="G467" s="128"/>
      <c r="H467" s="128"/>
      <c r="I467" s="128"/>
      <c r="J467" s="128"/>
      <c r="K467" s="128"/>
      <c r="L467" s="128"/>
      <c r="M467" s="128"/>
    </row>
    <row r="468">
      <c r="D468" s="129"/>
      <c r="E468" s="129"/>
      <c r="F468" s="42"/>
      <c r="G468" s="128"/>
      <c r="H468" s="128"/>
      <c r="I468" s="128"/>
      <c r="J468" s="128"/>
      <c r="K468" s="128"/>
      <c r="L468" s="128"/>
      <c r="M468" s="128"/>
    </row>
    <row r="469">
      <c r="D469" s="129"/>
      <c r="E469" s="129"/>
      <c r="F469" s="42"/>
      <c r="G469" s="128"/>
      <c r="H469" s="128"/>
      <c r="I469" s="128"/>
      <c r="J469" s="128"/>
      <c r="K469" s="128"/>
      <c r="L469" s="128"/>
      <c r="M469" s="128"/>
    </row>
    <row r="470">
      <c r="D470" s="129"/>
      <c r="E470" s="129"/>
      <c r="F470" s="42"/>
      <c r="G470" s="128"/>
      <c r="H470" s="128"/>
      <c r="I470" s="128"/>
      <c r="J470" s="128"/>
      <c r="K470" s="128"/>
      <c r="L470" s="128"/>
      <c r="M470" s="128"/>
    </row>
    <row r="471">
      <c r="D471" s="129"/>
      <c r="E471" s="129"/>
      <c r="F471" s="42"/>
      <c r="G471" s="128"/>
      <c r="H471" s="128"/>
      <c r="I471" s="128"/>
      <c r="J471" s="128"/>
      <c r="K471" s="128"/>
      <c r="L471" s="128"/>
      <c r="M471" s="128"/>
    </row>
    <row r="472">
      <c r="D472" s="129"/>
      <c r="E472" s="129"/>
      <c r="F472" s="42"/>
      <c r="G472" s="128"/>
      <c r="H472" s="128"/>
      <c r="I472" s="128"/>
      <c r="J472" s="128"/>
      <c r="K472" s="128"/>
      <c r="L472" s="128"/>
      <c r="M472" s="128"/>
    </row>
    <row r="473">
      <c r="D473" s="129"/>
      <c r="E473" s="129"/>
      <c r="F473" s="42"/>
      <c r="G473" s="128"/>
      <c r="H473" s="128"/>
      <c r="I473" s="128"/>
      <c r="J473" s="128"/>
      <c r="K473" s="128"/>
      <c r="L473" s="128"/>
      <c r="M473" s="128"/>
    </row>
    <row r="474">
      <c r="D474" s="129"/>
      <c r="E474" s="129"/>
      <c r="F474" s="42"/>
      <c r="G474" s="128"/>
      <c r="H474" s="128"/>
      <c r="I474" s="128"/>
      <c r="J474" s="128"/>
      <c r="K474" s="128"/>
      <c r="L474" s="128"/>
      <c r="M474" s="128"/>
    </row>
    <row r="475">
      <c r="D475" s="129"/>
      <c r="E475" s="129"/>
      <c r="F475" s="42"/>
      <c r="G475" s="128"/>
      <c r="H475" s="128"/>
      <c r="I475" s="128"/>
      <c r="J475" s="128"/>
      <c r="K475" s="128"/>
      <c r="L475" s="128"/>
      <c r="M475" s="128"/>
    </row>
    <row r="476">
      <c r="D476" s="129"/>
      <c r="E476" s="129"/>
      <c r="F476" s="42"/>
      <c r="G476" s="128"/>
      <c r="H476" s="128"/>
      <c r="I476" s="128"/>
      <c r="J476" s="128"/>
      <c r="K476" s="128"/>
      <c r="L476" s="128"/>
      <c r="M476" s="128"/>
    </row>
    <row r="477">
      <c r="D477" s="129"/>
      <c r="E477" s="129"/>
      <c r="F477" s="42"/>
      <c r="G477" s="128"/>
      <c r="H477" s="128"/>
      <c r="I477" s="128"/>
      <c r="J477" s="128"/>
      <c r="K477" s="128"/>
      <c r="L477" s="128"/>
      <c r="M477" s="128"/>
    </row>
    <row r="478">
      <c r="D478" s="129"/>
      <c r="E478" s="129"/>
      <c r="F478" s="42"/>
      <c r="G478" s="128"/>
      <c r="H478" s="128"/>
      <c r="I478" s="128"/>
      <c r="J478" s="128"/>
      <c r="K478" s="128"/>
      <c r="L478" s="128"/>
      <c r="M478" s="128"/>
    </row>
    <row r="479">
      <c r="D479" s="129"/>
      <c r="E479" s="129"/>
      <c r="F479" s="42"/>
      <c r="G479" s="128"/>
      <c r="H479" s="128"/>
      <c r="I479" s="128"/>
      <c r="J479" s="128"/>
      <c r="K479" s="128"/>
      <c r="L479" s="128"/>
      <c r="M479" s="128"/>
    </row>
    <row r="480">
      <c r="D480" s="129"/>
      <c r="E480" s="129"/>
      <c r="F480" s="42"/>
      <c r="G480" s="128"/>
      <c r="H480" s="128"/>
      <c r="I480" s="128"/>
      <c r="J480" s="128"/>
      <c r="K480" s="128"/>
      <c r="L480" s="128"/>
      <c r="M480" s="128"/>
    </row>
    <row r="481">
      <c r="D481" s="129"/>
      <c r="E481" s="129"/>
      <c r="F481" s="42"/>
      <c r="G481" s="128"/>
      <c r="H481" s="128"/>
      <c r="I481" s="128"/>
      <c r="J481" s="128"/>
      <c r="K481" s="128"/>
      <c r="L481" s="128"/>
      <c r="M481" s="128"/>
    </row>
    <row r="482">
      <c r="D482" s="129"/>
      <c r="E482" s="129"/>
      <c r="F482" s="42"/>
      <c r="G482" s="128"/>
      <c r="H482" s="128"/>
      <c r="I482" s="128"/>
      <c r="J482" s="128"/>
      <c r="K482" s="128"/>
      <c r="L482" s="128"/>
      <c r="M482" s="128"/>
    </row>
    <row r="483">
      <c r="D483" s="129"/>
      <c r="E483" s="129"/>
      <c r="F483" s="42"/>
      <c r="G483" s="128"/>
      <c r="H483" s="128"/>
      <c r="I483" s="128"/>
      <c r="J483" s="128"/>
      <c r="K483" s="128"/>
      <c r="L483" s="128"/>
      <c r="M483" s="128"/>
    </row>
    <row r="484">
      <c r="D484" s="129"/>
      <c r="E484" s="129"/>
      <c r="F484" s="42"/>
      <c r="G484" s="128"/>
      <c r="H484" s="128"/>
      <c r="I484" s="128"/>
      <c r="J484" s="128"/>
      <c r="K484" s="128"/>
      <c r="L484" s="128"/>
      <c r="M484" s="128"/>
    </row>
    <row r="485">
      <c r="D485" s="129"/>
      <c r="E485" s="129"/>
      <c r="F485" s="42"/>
      <c r="G485" s="128"/>
      <c r="H485" s="128"/>
      <c r="I485" s="128"/>
      <c r="J485" s="128"/>
      <c r="K485" s="128"/>
      <c r="L485" s="128"/>
      <c r="M485" s="128"/>
    </row>
    <row r="486">
      <c r="D486" s="129"/>
      <c r="E486" s="129"/>
      <c r="F486" s="42"/>
      <c r="G486" s="128"/>
      <c r="H486" s="128"/>
      <c r="I486" s="128"/>
      <c r="J486" s="128"/>
      <c r="K486" s="128"/>
      <c r="L486" s="128"/>
      <c r="M486" s="128"/>
    </row>
    <row r="487">
      <c r="D487" s="129"/>
      <c r="E487" s="129"/>
      <c r="F487" s="42"/>
      <c r="G487" s="128"/>
      <c r="H487" s="128"/>
      <c r="I487" s="128"/>
      <c r="J487" s="128"/>
      <c r="K487" s="128"/>
      <c r="L487" s="128"/>
      <c r="M487" s="128"/>
    </row>
    <row r="488">
      <c r="D488" s="129"/>
      <c r="E488" s="129"/>
      <c r="F488" s="42"/>
      <c r="G488" s="128"/>
      <c r="H488" s="128"/>
      <c r="I488" s="128"/>
      <c r="J488" s="128"/>
      <c r="K488" s="128"/>
      <c r="L488" s="128"/>
      <c r="M488" s="128"/>
    </row>
    <row r="489">
      <c r="D489" s="129"/>
      <c r="E489" s="129"/>
      <c r="F489" s="42"/>
      <c r="G489" s="128"/>
      <c r="H489" s="128"/>
      <c r="I489" s="128"/>
      <c r="J489" s="128"/>
      <c r="K489" s="128"/>
      <c r="L489" s="128"/>
      <c r="M489" s="128"/>
    </row>
    <row r="490">
      <c r="D490" s="129"/>
      <c r="E490" s="129"/>
      <c r="F490" s="42"/>
      <c r="G490" s="128"/>
      <c r="H490" s="128"/>
      <c r="I490" s="128"/>
      <c r="J490" s="128"/>
      <c r="K490" s="128"/>
      <c r="L490" s="128"/>
      <c r="M490" s="128"/>
    </row>
    <row r="491">
      <c r="D491" s="129"/>
      <c r="E491" s="129"/>
      <c r="F491" s="42"/>
      <c r="G491" s="128"/>
      <c r="H491" s="128"/>
      <c r="I491" s="128"/>
      <c r="J491" s="128"/>
      <c r="K491" s="128"/>
      <c r="L491" s="128"/>
      <c r="M491" s="128"/>
    </row>
    <row r="492">
      <c r="D492" s="129"/>
      <c r="E492" s="129"/>
      <c r="F492" s="42"/>
      <c r="G492" s="128"/>
      <c r="H492" s="128"/>
      <c r="I492" s="128"/>
      <c r="J492" s="128"/>
      <c r="K492" s="128"/>
      <c r="L492" s="128"/>
      <c r="M492" s="128"/>
    </row>
    <row r="493">
      <c r="D493" s="129"/>
      <c r="E493" s="129"/>
      <c r="F493" s="42"/>
      <c r="G493" s="128"/>
      <c r="H493" s="128"/>
      <c r="I493" s="128"/>
      <c r="J493" s="128"/>
      <c r="K493" s="128"/>
      <c r="L493" s="128"/>
      <c r="M493" s="128"/>
    </row>
    <row r="494">
      <c r="D494" s="129"/>
      <c r="E494" s="129"/>
      <c r="F494" s="42"/>
      <c r="G494" s="128"/>
      <c r="H494" s="128"/>
      <c r="I494" s="128"/>
      <c r="J494" s="128"/>
      <c r="K494" s="128"/>
      <c r="L494" s="128"/>
      <c r="M494" s="128"/>
    </row>
    <row r="495">
      <c r="D495" s="129"/>
      <c r="E495" s="129"/>
      <c r="F495" s="42"/>
      <c r="G495" s="128"/>
      <c r="H495" s="128"/>
      <c r="I495" s="128"/>
      <c r="J495" s="128"/>
      <c r="K495" s="128"/>
      <c r="L495" s="128"/>
      <c r="M495" s="128"/>
    </row>
    <row r="496">
      <c r="D496" s="129"/>
      <c r="E496" s="129"/>
      <c r="F496" s="42"/>
      <c r="G496" s="128"/>
      <c r="H496" s="128"/>
      <c r="I496" s="128"/>
      <c r="J496" s="128"/>
      <c r="K496" s="128"/>
      <c r="L496" s="128"/>
      <c r="M496" s="128"/>
    </row>
    <row r="497">
      <c r="D497" s="129"/>
      <c r="E497" s="129"/>
      <c r="F497" s="42"/>
      <c r="G497" s="128"/>
      <c r="H497" s="128"/>
      <c r="I497" s="128"/>
      <c r="J497" s="128"/>
      <c r="K497" s="128"/>
      <c r="L497" s="128"/>
      <c r="M497" s="128"/>
    </row>
    <row r="498">
      <c r="D498" s="129"/>
      <c r="E498" s="129"/>
      <c r="F498" s="42"/>
      <c r="G498" s="128"/>
      <c r="H498" s="128"/>
      <c r="I498" s="128"/>
      <c r="J498" s="128"/>
      <c r="K498" s="128"/>
      <c r="L498" s="128"/>
      <c r="M498" s="128"/>
    </row>
    <row r="499">
      <c r="D499" s="129"/>
      <c r="E499" s="129"/>
      <c r="F499" s="42"/>
      <c r="G499" s="128"/>
      <c r="H499" s="128"/>
      <c r="I499" s="128"/>
      <c r="J499" s="128"/>
      <c r="K499" s="128"/>
      <c r="L499" s="128"/>
      <c r="M499" s="128"/>
    </row>
    <row r="500">
      <c r="D500" s="129"/>
      <c r="E500" s="129"/>
      <c r="F500" s="42"/>
      <c r="G500" s="128"/>
      <c r="H500" s="128"/>
      <c r="I500" s="128"/>
      <c r="J500" s="128"/>
      <c r="K500" s="128"/>
      <c r="L500" s="128"/>
      <c r="M500" s="128"/>
    </row>
    <row r="501">
      <c r="D501" s="129"/>
      <c r="E501" s="129"/>
      <c r="F501" s="42"/>
      <c r="G501" s="128"/>
      <c r="H501" s="128"/>
      <c r="I501" s="128"/>
      <c r="J501" s="128"/>
      <c r="K501" s="128"/>
      <c r="L501" s="128"/>
      <c r="M501" s="128"/>
    </row>
    <row r="502">
      <c r="D502" s="129"/>
      <c r="E502" s="129"/>
      <c r="F502" s="42"/>
      <c r="G502" s="128"/>
      <c r="H502" s="128"/>
      <c r="I502" s="128"/>
      <c r="J502" s="128"/>
      <c r="K502" s="128"/>
      <c r="L502" s="128"/>
      <c r="M502" s="128"/>
    </row>
    <row r="503">
      <c r="D503" s="129"/>
      <c r="E503" s="129"/>
      <c r="F503" s="42"/>
      <c r="G503" s="128"/>
      <c r="H503" s="128"/>
      <c r="I503" s="128"/>
      <c r="J503" s="128"/>
      <c r="K503" s="128"/>
      <c r="L503" s="128"/>
      <c r="M503" s="128"/>
    </row>
    <row r="504">
      <c r="D504" s="129"/>
      <c r="E504" s="129"/>
      <c r="F504" s="42"/>
      <c r="G504" s="128"/>
      <c r="H504" s="128"/>
      <c r="I504" s="128"/>
      <c r="J504" s="128"/>
      <c r="K504" s="128"/>
      <c r="L504" s="128"/>
      <c r="M504" s="128"/>
    </row>
    <row r="505">
      <c r="D505" s="129"/>
      <c r="E505" s="129"/>
      <c r="F505" s="42"/>
      <c r="G505" s="128"/>
      <c r="H505" s="128"/>
      <c r="I505" s="128"/>
      <c r="J505" s="128"/>
      <c r="K505" s="128"/>
      <c r="L505" s="128"/>
      <c r="M505" s="128"/>
    </row>
    <row r="506">
      <c r="D506" s="129"/>
      <c r="E506" s="129"/>
      <c r="F506" s="42"/>
      <c r="G506" s="128"/>
      <c r="H506" s="128"/>
      <c r="I506" s="128"/>
      <c r="J506" s="128"/>
      <c r="K506" s="128"/>
      <c r="L506" s="128"/>
      <c r="M506" s="128"/>
    </row>
    <row r="507">
      <c r="D507" s="129"/>
      <c r="E507" s="129"/>
      <c r="F507" s="42"/>
      <c r="G507" s="128"/>
      <c r="H507" s="128"/>
      <c r="I507" s="128"/>
      <c r="J507" s="128"/>
      <c r="K507" s="128"/>
      <c r="L507" s="128"/>
      <c r="M507" s="128"/>
    </row>
    <row r="508">
      <c r="D508" s="129"/>
      <c r="E508" s="129"/>
      <c r="F508" s="42"/>
      <c r="G508" s="128"/>
      <c r="H508" s="128"/>
      <c r="I508" s="128"/>
      <c r="J508" s="128"/>
      <c r="K508" s="128"/>
      <c r="L508" s="128"/>
      <c r="M508" s="128"/>
    </row>
    <row r="509">
      <c r="D509" s="129"/>
      <c r="E509" s="129"/>
      <c r="F509" s="42"/>
      <c r="G509" s="128"/>
      <c r="H509" s="128"/>
      <c r="I509" s="128"/>
      <c r="J509" s="128"/>
      <c r="K509" s="128"/>
      <c r="L509" s="128"/>
      <c r="M509" s="128"/>
    </row>
    <row r="510">
      <c r="D510" s="129"/>
      <c r="E510" s="129"/>
      <c r="F510" s="42"/>
      <c r="G510" s="128"/>
      <c r="H510" s="128"/>
      <c r="I510" s="128"/>
      <c r="J510" s="128"/>
      <c r="K510" s="128"/>
      <c r="L510" s="128"/>
      <c r="M510" s="128"/>
    </row>
    <row r="511">
      <c r="D511" s="129"/>
      <c r="E511" s="129"/>
      <c r="F511" s="42"/>
      <c r="G511" s="128"/>
      <c r="H511" s="128"/>
      <c r="I511" s="128"/>
      <c r="J511" s="128"/>
      <c r="K511" s="128"/>
      <c r="L511" s="128"/>
      <c r="M511" s="128"/>
    </row>
    <row r="512">
      <c r="D512" s="129"/>
      <c r="E512" s="129"/>
      <c r="F512" s="42"/>
      <c r="G512" s="128"/>
      <c r="H512" s="128"/>
      <c r="I512" s="128"/>
      <c r="J512" s="128"/>
      <c r="K512" s="128"/>
      <c r="L512" s="128"/>
      <c r="M512" s="128"/>
    </row>
    <row r="513">
      <c r="D513" s="129"/>
      <c r="E513" s="129"/>
      <c r="F513" s="42"/>
      <c r="G513" s="128"/>
      <c r="H513" s="128"/>
      <c r="I513" s="128"/>
      <c r="J513" s="128"/>
      <c r="K513" s="128"/>
      <c r="L513" s="128"/>
      <c r="M513" s="128"/>
    </row>
    <row r="514">
      <c r="D514" s="129"/>
      <c r="E514" s="129"/>
      <c r="F514" s="42"/>
      <c r="G514" s="128"/>
      <c r="H514" s="128"/>
      <c r="I514" s="128"/>
      <c r="J514" s="128"/>
      <c r="K514" s="128"/>
      <c r="L514" s="128"/>
      <c r="M514" s="128"/>
    </row>
    <row r="515">
      <c r="D515" s="129"/>
      <c r="E515" s="129"/>
      <c r="F515" s="42"/>
      <c r="G515" s="128"/>
      <c r="H515" s="128"/>
      <c r="I515" s="128"/>
      <c r="J515" s="128"/>
      <c r="K515" s="128"/>
      <c r="L515" s="128"/>
      <c r="M515" s="128"/>
    </row>
    <row r="516">
      <c r="D516" s="129"/>
      <c r="E516" s="129"/>
      <c r="F516" s="42"/>
      <c r="G516" s="128"/>
      <c r="H516" s="128"/>
      <c r="I516" s="128"/>
      <c r="J516" s="128"/>
      <c r="K516" s="128"/>
      <c r="L516" s="128"/>
      <c r="M516" s="128"/>
    </row>
    <row r="517">
      <c r="D517" s="129"/>
      <c r="E517" s="129"/>
      <c r="F517" s="42"/>
      <c r="G517" s="128"/>
      <c r="H517" s="128"/>
      <c r="I517" s="128"/>
      <c r="J517" s="128"/>
      <c r="K517" s="128"/>
      <c r="L517" s="128"/>
      <c r="M517" s="128"/>
    </row>
    <row r="518">
      <c r="D518" s="129"/>
      <c r="E518" s="129"/>
      <c r="F518" s="42"/>
      <c r="G518" s="128"/>
      <c r="H518" s="128"/>
      <c r="I518" s="128"/>
      <c r="J518" s="128"/>
      <c r="K518" s="128"/>
      <c r="L518" s="128"/>
      <c r="M518" s="128"/>
    </row>
    <row r="519">
      <c r="D519" s="129"/>
      <c r="E519" s="129"/>
      <c r="F519" s="42"/>
      <c r="G519" s="128"/>
      <c r="H519" s="128"/>
      <c r="I519" s="128"/>
      <c r="J519" s="128"/>
      <c r="K519" s="128"/>
      <c r="L519" s="128"/>
      <c r="M519" s="128"/>
    </row>
    <row r="520">
      <c r="D520" s="129"/>
      <c r="E520" s="129"/>
      <c r="F520" s="42"/>
      <c r="G520" s="128"/>
      <c r="H520" s="128"/>
      <c r="I520" s="128"/>
      <c r="J520" s="128"/>
      <c r="K520" s="128"/>
      <c r="L520" s="128"/>
      <c r="M520" s="128"/>
    </row>
    <row r="521">
      <c r="D521" s="129"/>
      <c r="E521" s="129"/>
      <c r="F521" s="42"/>
      <c r="G521" s="128"/>
      <c r="H521" s="128"/>
      <c r="I521" s="128"/>
      <c r="J521" s="128"/>
      <c r="K521" s="128"/>
      <c r="L521" s="128"/>
      <c r="M521" s="128"/>
    </row>
    <row r="522">
      <c r="D522" s="129"/>
      <c r="E522" s="129"/>
      <c r="F522" s="42"/>
      <c r="G522" s="128"/>
      <c r="H522" s="128"/>
      <c r="I522" s="128"/>
      <c r="J522" s="128"/>
      <c r="K522" s="128"/>
      <c r="L522" s="128"/>
      <c r="M522" s="128"/>
    </row>
    <row r="523">
      <c r="D523" s="129"/>
      <c r="E523" s="129"/>
      <c r="F523" s="42"/>
      <c r="G523" s="128"/>
      <c r="H523" s="128"/>
      <c r="I523" s="128"/>
      <c r="J523" s="128"/>
      <c r="K523" s="128"/>
      <c r="L523" s="128"/>
      <c r="M523" s="128"/>
    </row>
    <row r="524">
      <c r="D524" s="129"/>
      <c r="E524" s="129"/>
      <c r="F524" s="42"/>
      <c r="G524" s="128"/>
      <c r="H524" s="128"/>
      <c r="I524" s="128"/>
      <c r="J524" s="128"/>
      <c r="K524" s="128"/>
      <c r="L524" s="128"/>
      <c r="M524" s="128"/>
    </row>
    <row r="525">
      <c r="D525" s="129"/>
      <c r="E525" s="129"/>
      <c r="F525" s="42"/>
      <c r="G525" s="128"/>
      <c r="H525" s="128"/>
      <c r="I525" s="128"/>
      <c r="J525" s="128"/>
      <c r="K525" s="128"/>
      <c r="L525" s="128"/>
      <c r="M525" s="128"/>
    </row>
    <row r="526">
      <c r="D526" s="129"/>
      <c r="E526" s="129"/>
      <c r="F526" s="42"/>
      <c r="G526" s="128"/>
      <c r="H526" s="128"/>
      <c r="I526" s="128"/>
      <c r="J526" s="128"/>
      <c r="K526" s="128"/>
      <c r="L526" s="128"/>
      <c r="M526" s="128"/>
    </row>
    <row r="527">
      <c r="D527" s="129"/>
      <c r="E527" s="129"/>
      <c r="F527" s="42"/>
      <c r="G527" s="128"/>
      <c r="H527" s="128"/>
      <c r="I527" s="128"/>
      <c r="J527" s="128"/>
      <c r="K527" s="128"/>
      <c r="L527" s="128"/>
      <c r="M527" s="128"/>
    </row>
    <row r="528">
      <c r="D528" s="129"/>
      <c r="E528" s="129"/>
      <c r="F528" s="42"/>
      <c r="G528" s="128"/>
      <c r="H528" s="128"/>
      <c r="I528" s="128"/>
      <c r="J528" s="128"/>
      <c r="K528" s="128"/>
      <c r="L528" s="128"/>
      <c r="M528" s="128"/>
    </row>
    <row r="529">
      <c r="D529" s="129"/>
      <c r="E529" s="129"/>
      <c r="F529" s="42"/>
      <c r="G529" s="128"/>
      <c r="H529" s="128"/>
      <c r="I529" s="128"/>
      <c r="J529" s="128"/>
      <c r="K529" s="128"/>
      <c r="L529" s="128"/>
      <c r="M529" s="128"/>
    </row>
    <row r="530">
      <c r="D530" s="129"/>
      <c r="E530" s="129"/>
      <c r="F530" s="42"/>
      <c r="G530" s="128"/>
      <c r="H530" s="128"/>
      <c r="I530" s="128"/>
      <c r="J530" s="128"/>
      <c r="K530" s="128"/>
      <c r="L530" s="128"/>
      <c r="M530" s="128"/>
    </row>
    <row r="531">
      <c r="D531" s="129"/>
      <c r="E531" s="129"/>
      <c r="F531" s="42"/>
      <c r="G531" s="128"/>
      <c r="H531" s="128"/>
      <c r="I531" s="128"/>
      <c r="J531" s="128"/>
      <c r="K531" s="128"/>
      <c r="L531" s="128"/>
      <c r="M531" s="128"/>
    </row>
    <row r="532">
      <c r="D532" s="129"/>
      <c r="E532" s="129"/>
      <c r="F532" s="42"/>
      <c r="G532" s="128"/>
      <c r="H532" s="128"/>
      <c r="I532" s="128"/>
      <c r="J532" s="128"/>
      <c r="K532" s="128"/>
      <c r="L532" s="128"/>
      <c r="M532" s="128"/>
    </row>
    <row r="533">
      <c r="D533" s="129"/>
      <c r="E533" s="129"/>
      <c r="F533" s="42"/>
      <c r="G533" s="128"/>
      <c r="H533" s="128"/>
      <c r="I533" s="128"/>
      <c r="J533" s="128"/>
      <c r="K533" s="128"/>
      <c r="L533" s="128"/>
      <c r="M533" s="128"/>
    </row>
    <row r="534">
      <c r="D534" s="129"/>
      <c r="E534" s="129"/>
      <c r="F534" s="42"/>
      <c r="G534" s="128"/>
      <c r="H534" s="128"/>
      <c r="I534" s="128"/>
      <c r="J534" s="128"/>
      <c r="K534" s="128"/>
      <c r="L534" s="128"/>
      <c r="M534" s="128"/>
    </row>
    <row r="535">
      <c r="D535" s="129"/>
      <c r="E535" s="129"/>
      <c r="F535" s="42"/>
      <c r="G535" s="128"/>
      <c r="H535" s="128"/>
      <c r="I535" s="128"/>
      <c r="J535" s="128"/>
      <c r="K535" s="128"/>
      <c r="L535" s="128"/>
      <c r="M535" s="128"/>
    </row>
    <row r="536">
      <c r="D536" s="129"/>
      <c r="E536" s="129"/>
      <c r="F536" s="42"/>
      <c r="G536" s="128"/>
      <c r="H536" s="128"/>
      <c r="I536" s="128"/>
      <c r="J536" s="128"/>
      <c r="K536" s="128"/>
      <c r="L536" s="128"/>
      <c r="M536" s="128"/>
    </row>
    <row r="537">
      <c r="D537" s="129"/>
      <c r="E537" s="129"/>
      <c r="F537" s="42"/>
      <c r="G537" s="128"/>
      <c r="H537" s="128"/>
      <c r="I537" s="128"/>
      <c r="J537" s="128"/>
      <c r="K537" s="128"/>
      <c r="L537" s="128"/>
      <c r="M537" s="128"/>
    </row>
    <row r="538">
      <c r="D538" s="129"/>
      <c r="E538" s="129"/>
      <c r="F538" s="42"/>
      <c r="G538" s="128"/>
      <c r="H538" s="128"/>
      <c r="I538" s="128"/>
      <c r="J538" s="128"/>
      <c r="K538" s="128"/>
      <c r="L538" s="128"/>
      <c r="M538" s="128"/>
    </row>
    <row r="539">
      <c r="D539" s="129"/>
      <c r="E539" s="129"/>
      <c r="F539" s="42"/>
      <c r="G539" s="128"/>
      <c r="H539" s="128"/>
      <c r="I539" s="128"/>
      <c r="J539" s="128"/>
      <c r="K539" s="128"/>
      <c r="L539" s="128"/>
      <c r="M539" s="128"/>
    </row>
    <row r="540">
      <c r="D540" s="129"/>
      <c r="E540" s="129"/>
      <c r="F540" s="42"/>
      <c r="G540" s="128"/>
      <c r="H540" s="128"/>
      <c r="I540" s="128"/>
      <c r="J540" s="128"/>
      <c r="K540" s="128"/>
      <c r="L540" s="128"/>
      <c r="M540" s="128"/>
    </row>
    <row r="541">
      <c r="D541" s="129"/>
      <c r="E541" s="129"/>
      <c r="F541" s="42"/>
      <c r="G541" s="128"/>
      <c r="H541" s="128"/>
      <c r="I541" s="128"/>
      <c r="J541" s="128"/>
      <c r="K541" s="128"/>
      <c r="L541" s="128"/>
      <c r="M541" s="128"/>
    </row>
    <row r="542">
      <c r="D542" s="129"/>
      <c r="E542" s="129"/>
      <c r="F542" s="42"/>
      <c r="G542" s="128"/>
      <c r="H542" s="128"/>
      <c r="I542" s="128"/>
      <c r="J542" s="128"/>
      <c r="K542" s="128"/>
      <c r="L542" s="128"/>
      <c r="M542" s="128"/>
    </row>
    <row r="543">
      <c r="D543" s="129"/>
      <c r="E543" s="129"/>
      <c r="F543" s="42"/>
      <c r="G543" s="128"/>
      <c r="H543" s="128"/>
      <c r="I543" s="128"/>
      <c r="J543" s="128"/>
      <c r="K543" s="128"/>
      <c r="L543" s="128"/>
      <c r="M543" s="128"/>
    </row>
    <row r="544">
      <c r="D544" s="129"/>
      <c r="E544" s="129"/>
      <c r="F544" s="42"/>
      <c r="G544" s="128"/>
      <c r="H544" s="128"/>
      <c r="I544" s="128"/>
      <c r="J544" s="128"/>
      <c r="K544" s="128"/>
      <c r="L544" s="128"/>
      <c r="M544" s="128"/>
    </row>
    <row r="545">
      <c r="D545" s="129"/>
      <c r="E545" s="129"/>
      <c r="F545" s="42"/>
      <c r="G545" s="128"/>
      <c r="H545" s="128"/>
      <c r="I545" s="128"/>
      <c r="J545" s="128"/>
      <c r="K545" s="128"/>
      <c r="L545" s="128"/>
      <c r="M545" s="128"/>
    </row>
    <row r="546">
      <c r="D546" s="129"/>
      <c r="E546" s="129"/>
      <c r="F546" s="42"/>
      <c r="G546" s="128"/>
      <c r="H546" s="128"/>
      <c r="I546" s="128"/>
      <c r="J546" s="128"/>
      <c r="K546" s="128"/>
      <c r="L546" s="128"/>
      <c r="M546" s="128"/>
    </row>
    <row r="547">
      <c r="D547" s="129"/>
      <c r="E547" s="129"/>
      <c r="F547" s="42"/>
      <c r="G547" s="128"/>
      <c r="H547" s="128"/>
      <c r="I547" s="128"/>
      <c r="J547" s="128"/>
      <c r="K547" s="128"/>
      <c r="L547" s="128"/>
      <c r="M547" s="128"/>
    </row>
    <row r="548">
      <c r="D548" s="129"/>
      <c r="E548" s="129"/>
      <c r="F548" s="42"/>
      <c r="G548" s="128"/>
      <c r="H548" s="128"/>
      <c r="I548" s="128"/>
      <c r="J548" s="128"/>
      <c r="K548" s="128"/>
      <c r="L548" s="128"/>
      <c r="M548" s="128"/>
    </row>
    <row r="549">
      <c r="D549" s="129"/>
      <c r="E549" s="129"/>
      <c r="F549" s="42"/>
      <c r="G549" s="128"/>
      <c r="H549" s="128"/>
      <c r="I549" s="128"/>
      <c r="J549" s="128"/>
      <c r="K549" s="128"/>
      <c r="L549" s="128"/>
      <c r="M549" s="128"/>
    </row>
    <row r="550">
      <c r="D550" s="129"/>
      <c r="E550" s="129"/>
      <c r="F550" s="42"/>
      <c r="G550" s="128"/>
      <c r="H550" s="128"/>
      <c r="I550" s="128"/>
      <c r="J550" s="128"/>
      <c r="K550" s="128"/>
      <c r="L550" s="128"/>
      <c r="M550" s="128"/>
    </row>
    <row r="551">
      <c r="D551" s="129"/>
      <c r="E551" s="129"/>
      <c r="F551" s="42"/>
      <c r="G551" s="128"/>
      <c r="H551" s="128"/>
      <c r="I551" s="128"/>
      <c r="J551" s="128"/>
      <c r="K551" s="128"/>
      <c r="L551" s="128"/>
      <c r="M551" s="128"/>
    </row>
    <row r="552">
      <c r="D552" s="129"/>
      <c r="E552" s="129"/>
      <c r="F552" s="42"/>
      <c r="G552" s="128"/>
      <c r="H552" s="128"/>
      <c r="I552" s="128"/>
      <c r="J552" s="128"/>
      <c r="K552" s="128"/>
      <c r="L552" s="128"/>
      <c r="M552" s="128"/>
    </row>
    <row r="553">
      <c r="D553" s="129"/>
      <c r="E553" s="129"/>
      <c r="F553" s="42"/>
      <c r="G553" s="128"/>
      <c r="H553" s="128"/>
      <c r="I553" s="128"/>
      <c r="J553" s="128"/>
      <c r="K553" s="128"/>
      <c r="L553" s="128"/>
      <c r="M553" s="128"/>
    </row>
    <row r="554">
      <c r="D554" s="129"/>
      <c r="E554" s="129"/>
      <c r="F554" s="42"/>
      <c r="G554" s="128"/>
      <c r="H554" s="128"/>
      <c r="I554" s="128"/>
      <c r="J554" s="128"/>
      <c r="K554" s="128"/>
      <c r="L554" s="128"/>
      <c r="M554" s="128"/>
    </row>
    <row r="555">
      <c r="D555" s="129"/>
      <c r="E555" s="129"/>
      <c r="F555" s="42"/>
      <c r="G555" s="128"/>
      <c r="H555" s="128"/>
      <c r="I555" s="128"/>
      <c r="J555" s="128"/>
      <c r="K555" s="128"/>
      <c r="L555" s="128"/>
      <c r="M555" s="128"/>
    </row>
    <row r="556">
      <c r="D556" s="129"/>
      <c r="E556" s="129"/>
      <c r="F556" s="42"/>
      <c r="G556" s="128"/>
      <c r="H556" s="128"/>
      <c r="I556" s="128"/>
      <c r="J556" s="128"/>
      <c r="K556" s="128"/>
      <c r="L556" s="128"/>
      <c r="M556" s="128"/>
    </row>
    <row r="557">
      <c r="D557" s="129"/>
      <c r="E557" s="129"/>
      <c r="F557" s="42"/>
      <c r="G557" s="128"/>
      <c r="H557" s="128"/>
      <c r="I557" s="128"/>
      <c r="J557" s="128"/>
      <c r="K557" s="128"/>
      <c r="L557" s="128"/>
      <c r="M557" s="128"/>
    </row>
    <row r="558">
      <c r="D558" s="129"/>
      <c r="E558" s="129"/>
      <c r="F558" s="42"/>
      <c r="G558" s="128"/>
      <c r="H558" s="128"/>
      <c r="I558" s="128"/>
      <c r="J558" s="128"/>
      <c r="K558" s="128"/>
      <c r="L558" s="128"/>
      <c r="M558" s="128"/>
    </row>
    <row r="559">
      <c r="D559" s="129"/>
      <c r="E559" s="129"/>
      <c r="F559" s="42"/>
      <c r="G559" s="128"/>
      <c r="H559" s="128"/>
      <c r="I559" s="128"/>
      <c r="J559" s="128"/>
      <c r="K559" s="128"/>
      <c r="L559" s="128"/>
      <c r="M559" s="128"/>
    </row>
    <row r="560">
      <c r="D560" s="129"/>
      <c r="E560" s="129"/>
      <c r="F560" s="42"/>
      <c r="G560" s="128"/>
      <c r="H560" s="128"/>
      <c r="I560" s="128"/>
      <c r="J560" s="128"/>
      <c r="K560" s="128"/>
      <c r="L560" s="128"/>
      <c r="M560" s="128"/>
    </row>
    <row r="561">
      <c r="D561" s="129"/>
      <c r="E561" s="129"/>
      <c r="F561" s="42"/>
      <c r="G561" s="128"/>
      <c r="H561" s="128"/>
      <c r="I561" s="128"/>
      <c r="J561" s="128"/>
      <c r="K561" s="128"/>
      <c r="L561" s="128"/>
      <c r="M561" s="128"/>
    </row>
    <row r="562">
      <c r="D562" s="129"/>
      <c r="E562" s="129"/>
      <c r="F562" s="42"/>
      <c r="G562" s="128"/>
      <c r="H562" s="128"/>
      <c r="I562" s="128"/>
      <c r="J562" s="128"/>
      <c r="K562" s="128"/>
      <c r="L562" s="128"/>
      <c r="M562" s="128"/>
    </row>
    <row r="563">
      <c r="D563" s="129"/>
      <c r="E563" s="129"/>
      <c r="F563" s="42"/>
      <c r="G563" s="128"/>
      <c r="H563" s="128"/>
      <c r="I563" s="128"/>
      <c r="J563" s="128"/>
      <c r="K563" s="128"/>
      <c r="L563" s="128"/>
      <c r="M563" s="128"/>
    </row>
    <row r="564">
      <c r="D564" s="129"/>
      <c r="E564" s="129"/>
      <c r="F564" s="42"/>
      <c r="G564" s="128"/>
      <c r="H564" s="128"/>
      <c r="I564" s="128"/>
      <c r="J564" s="128"/>
      <c r="K564" s="128"/>
      <c r="L564" s="128"/>
      <c r="M564" s="128"/>
    </row>
    <row r="565">
      <c r="D565" s="129"/>
      <c r="E565" s="129"/>
      <c r="F565" s="42"/>
      <c r="G565" s="128"/>
      <c r="H565" s="128"/>
      <c r="I565" s="128"/>
      <c r="J565" s="128"/>
      <c r="K565" s="128"/>
      <c r="L565" s="128"/>
      <c r="M565" s="128"/>
    </row>
    <row r="566">
      <c r="D566" s="129"/>
      <c r="E566" s="129"/>
      <c r="F566" s="42"/>
      <c r="G566" s="128"/>
      <c r="H566" s="128"/>
      <c r="I566" s="128"/>
      <c r="J566" s="128"/>
      <c r="K566" s="128"/>
      <c r="L566" s="128"/>
      <c r="M566" s="128"/>
    </row>
    <row r="567">
      <c r="D567" s="129"/>
      <c r="E567" s="129"/>
      <c r="F567" s="42"/>
      <c r="G567" s="128"/>
      <c r="H567" s="128"/>
      <c r="I567" s="128"/>
      <c r="J567" s="128"/>
      <c r="K567" s="128"/>
      <c r="L567" s="128"/>
      <c r="M567" s="128"/>
    </row>
    <row r="568">
      <c r="D568" s="129"/>
      <c r="E568" s="129"/>
      <c r="F568" s="42"/>
      <c r="G568" s="128"/>
      <c r="H568" s="128"/>
      <c r="I568" s="128"/>
      <c r="J568" s="128"/>
      <c r="K568" s="128"/>
      <c r="L568" s="128"/>
      <c r="M568" s="128"/>
    </row>
    <row r="569">
      <c r="D569" s="129"/>
      <c r="E569" s="129"/>
      <c r="F569" s="42"/>
      <c r="G569" s="128"/>
      <c r="H569" s="128"/>
      <c r="I569" s="128"/>
      <c r="J569" s="128"/>
      <c r="K569" s="128"/>
      <c r="L569" s="128"/>
      <c r="M569" s="128"/>
    </row>
    <row r="570">
      <c r="D570" s="129"/>
      <c r="E570" s="129"/>
      <c r="F570" s="42"/>
      <c r="G570" s="128"/>
      <c r="H570" s="128"/>
      <c r="I570" s="128"/>
      <c r="J570" s="128"/>
      <c r="K570" s="128"/>
      <c r="L570" s="128"/>
      <c r="M570" s="128"/>
    </row>
    <row r="571">
      <c r="D571" s="129"/>
      <c r="E571" s="129"/>
      <c r="F571" s="42"/>
      <c r="G571" s="128"/>
      <c r="H571" s="128"/>
      <c r="I571" s="128"/>
      <c r="J571" s="128"/>
      <c r="K571" s="128"/>
      <c r="L571" s="128"/>
      <c r="M571" s="128"/>
    </row>
    <row r="572">
      <c r="D572" s="129"/>
      <c r="E572" s="129"/>
      <c r="F572" s="42"/>
      <c r="G572" s="128"/>
      <c r="H572" s="128"/>
      <c r="I572" s="128"/>
      <c r="J572" s="128"/>
      <c r="K572" s="128"/>
      <c r="L572" s="128"/>
      <c r="M572" s="128"/>
    </row>
    <row r="573">
      <c r="D573" s="129"/>
      <c r="E573" s="129"/>
      <c r="F573" s="42"/>
      <c r="G573" s="128"/>
      <c r="H573" s="128"/>
      <c r="I573" s="128"/>
      <c r="J573" s="128"/>
      <c r="K573" s="128"/>
      <c r="L573" s="128"/>
      <c r="M573" s="128"/>
    </row>
    <row r="574">
      <c r="D574" s="129"/>
      <c r="E574" s="129"/>
      <c r="F574" s="42"/>
      <c r="G574" s="128"/>
      <c r="H574" s="128"/>
      <c r="I574" s="128"/>
      <c r="J574" s="128"/>
      <c r="K574" s="128"/>
      <c r="L574" s="128"/>
      <c r="M574" s="128"/>
    </row>
    <row r="575">
      <c r="D575" s="129"/>
      <c r="E575" s="129"/>
      <c r="F575" s="42"/>
      <c r="G575" s="128"/>
      <c r="H575" s="128"/>
      <c r="I575" s="128"/>
      <c r="J575" s="128"/>
      <c r="K575" s="128"/>
      <c r="L575" s="128"/>
      <c r="M575" s="128"/>
    </row>
    <row r="576">
      <c r="D576" s="129"/>
      <c r="E576" s="129"/>
      <c r="F576" s="42"/>
      <c r="G576" s="128"/>
      <c r="H576" s="128"/>
      <c r="I576" s="128"/>
      <c r="J576" s="128"/>
      <c r="K576" s="128"/>
      <c r="L576" s="128"/>
      <c r="M576" s="128"/>
    </row>
    <row r="577">
      <c r="D577" s="129"/>
      <c r="E577" s="129"/>
      <c r="F577" s="42"/>
      <c r="G577" s="128"/>
      <c r="H577" s="128"/>
      <c r="I577" s="128"/>
      <c r="J577" s="128"/>
      <c r="K577" s="128"/>
      <c r="L577" s="128"/>
      <c r="M577" s="128"/>
    </row>
    <row r="578">
      <c r="D578" s="129"/>
      <c r="E578" s="129"/>
      <c r="F578" s="42"/>
      <c r="G578" s="128"/>
      <c r="H578" s="128"/>
      <c r="I578" s="128"/>
      <c r="J578" s="128"/>
      <c r="K578" s="128"/>
      <c r="L578" s="128"/>
      <c r="M578" s="128"/>
    </row>
    <row r="579">
      <c r="D579" s="129"/>
      <c r="E579" s="129"/>
      <c r="F579" s="42"/>
      <c r="G579" s="128"/>
      <c r="H579" s="128"/>
      <c r="I579" s="128"/>
      <c r="J579" s="128"/>
      <c r="K579" s="128"/>
      <c r="L579" s="128"/>
      <c r="M579" s="128"/>
    </row>
    <row r="580">
      <c r="D580" s="129"/>
      <c r="E580" s="129"/>
      <c r="F580" s="42"/>
      <c r="G580" s="128"/>
      <c r="H580" s="128"/>
      <c r="I580" s="128"/>
      <c r="J580" s="128"/>
      <c r="K580" s="128"/>
      <c r="L580" s="128"/>
      <c r="M580" s="128"/>
    </row>
    <row r="581">
      <c r="D581" s="129"/>
      <c r="E581" s="129"/>
      <c r="F581" s="42"/>
      <c r="G581" s="128"/>
      <c r="H581" s="128"/>
      <c r="I581" s="128"/>
      <c r="J581" s="128"/>
      <c r="K581" s="128"/>
      <c r="L581" s="128"/>
      <c r="M581" s="128"/>
    </row>
    <row r="582">
      <c r="D582" s="129"/>
      <c r="E582" s="129"/>
      <c r="F582" s="42"/>
      <c r="G582" s="128"/>
      <c r="H582" s="128"/>
      <c r="I582" s="128"/>
      <c r="J582" s="128"/>
      <c r="K582" s="128"/>
      <c r="L582" s="128"/>
      <c r="M582" s="128"/>
    </row>
    <row r="583">
      <c r="D583" s="129"/>
      <c r="E583" s="129"/>
      <c r="F583" s="42"/>
      <c r="G583" s="128"/>
      <c r="H583" s="128"/>
      <c r="I583" s="128"/>
      <c r="J583" s="128"/>
      <c r="K583" s="128"/>
      <c r="L583" s="128"/>
      <c r="M583" s="128"/>
    </row>
    <row r="584">
      <c r="D584" s="129"/>
      <c r="E584" s="129"/>
      <c r="F584" s="42"/>
      <c r="G584" s="128"/>
      <c r="H584" s="128"/>
      <c r="I584" s="128"/>
      <c r="J584" s="128"/>
      <c r="K584" s="128"/>
      <c r="L584" s="128"/>
      <c r="M584" s="128"/>
    </row>
    <row r="585">
      <c r="D585" s="129"/>
      <c r="E585" s="129"/>
      <c r="F585" s="42"/>
      <c r="G585" s="128"/>
      <c r="H585" s="128"/>
      <c r="I585" s="128"/>
      <c r="J585" s="128"/>
      <c r="K585" s="128"/>
      <c r="L585" s="128"/>
      <c r="M585" s="128"/>
    </row>
    <row r="586">
      <c r="D586" s="129"/>
      <c r="E586" s="129"/>
      <c r="F586" s="42"/>
      <c r="G586" s="128"/>
      <c r="H586" s="128"/>
      <c r="I586" s="128"/>
      <c r="J586" s="128"/>
      <c r="K586" s="128"/>
      <c r="L586" s="128"/>
      <c r="M586" s="128"/>
    </row>
    <row r="587">
      <c r="D587" s="129"/>
      <c r="E587" s="129"/>
      <c r="F587" s="42"/>
      <c r="G587" s="128"/>
      <c r="H587" s="128"/>
      <c r="I587" s="128"/>
      <c r="J587" s="128"/>
      <c r="K587" s="128"/>
      <c r="L587" s="128"/>
      <c r="M587" s="128"/>
    </row>
    <row r="588">
      <c r="D588" s="129"/>
      <c r="E588" s="129"/>
      <c r="F588" s="42"/>
      <c r="G588" s="128"/>
      <c r="H588" s="128"/>
      <c r="I588" s="128"/>
      <c r="J588" s="128"/>
      <c r="K588" s="128"/>
      <c r="L588" s="128"/>
      <c r="M588" s="128"/>
    </row>
    <row r="589">
      <c r="D589" s="129"/>
      <c r="E589" s="129"/>
      <c r="F589" s="42"/>
      <c r="G589" s="128"/>
      <c r="H589" s="128"/>
      <c r="I589" s="128"/>
      <c r="J589" s="128"/>
      <c r="K589" s="128"/>
      <c r="L589" s="128"/>
      <c r="M589" s="128"/>
    </row>
    <row r="590">
      <c r="D590" s="129"/>
      <c r="E590" s="129"/>
      <c r="F590" s="42"/>
      <c r="G590" s="128"/>
      <c r="H590" s="128"/>
      <c r="I590" s="128"/>
      <c r="J590" s="128"/>
      <c r="K590" s="128"/>
      <c r="L590" s="128"/>
      <c r="M590" s="128"/>
    </row>
    <row r="591">
      <c r="D591" s="129"/>
      <c r="E591" s="129"/>
      <c r="F591" s="42"/>
      <c r="G591" s="128"/>
      <c r="H591" s="128"/>
      <c r="I591" s="128"/>
      <c r="J591" s="128"/>
      <c r="K591" s="128"/>
      <c r="L591" s="128"/>
      <c r="M591" s="128"/>
    </row>
    <row r="592">
      <c r="D592" s="129"/>
      <c r="E592" s="129"/>
      <c r="F592" s="42"/>
      <c r="G592" s="128"/>
      <c r="H592" s="128"/>
      <c r="I592" s="128"/>
      <c r="J592" s="128"/>
      <c r="K592" s="128"/>
      <c r="L592" s="128"/>
      <c r="M592" s="128"/>
    </row>
    <row r="593">
      <c r="D593" s="129"/>
      <c r="E593" s="129"/>
      <c r="F593" s="42"/>
      <c r="G593" s="128"/>
      <c r="H593" s="128"/>
      <c r="I593" s="128"/>
      <c r="J593" s="128"/>
      <c r="K593" s="128"/>
      <c r="L593" s="128"/>
      <c r="M593" s="128"/>
    </row>
    <row r="594">
      <c r="D594" s="129"/>
      <c r="E594" s="129"/>
      <c r="F594" s="42"/>
      <c r="G594" s="128"/>
      <c r="H594" s="128"/>
      <c r="I594" s="128"/>
      <c r="J594" s="128"/>
      <c r="K594" s="128"/>
      <c r="L594" s="128"/>
      <c r="M594" s="128"/>
    </row>
    <row r="595">
      <c r="D595" s="129"/>
      <c r="E595" s="129"/>
      <c r="F595" s="42"/>
      <c r="G595" s="128"/>
      <c r="H595" s="128"/>
      <c r="I595" s="128"/>
      <c r="J595" s="128"/>
      <c r="K595" s="128"/>
      <c r="L595" s="128"/>
      <c r="M595" s="128"/>
    </row>
    <row r="596">
      <c r="D596" s="129"/>
      <c r="E596" s="129"/>
      <c r="F596" s="42"/>
      <c r="G596" s="128"/>
      <c r="H596" s="128"/>
      <c r="I596" s="128"/>
      <c r="J596" s="128"/>
      <c r="K596" s="128"/>
      <c r="L596" s="128"/>
      <c r="M596" s="128"/>
    </row>
    <row r="597">
      <c r="D597" s="129"/>
      <c r="E597" s="129"/>
      <c r="F597" s="42"/>
      <c r="G597" s="128"/>
      <c r="H597" s="128"/>
      <c r="I597" s="128"/>
      <c r="J597" s="128"/>
      <c r="K597" s="128"/>
      <c r="L597" s="128"/>
      <c r="M597" s="128"/>
    </row>
    <row r="598">
      <c r="D598" s="129"/>
      <c r="E598" s="129"/>
      <c r="F598" s="42"/>
      <c r="G598" s="128"/>
      <c r="H598" s="128"/>
      <c r="I598" s="128"/>
      <c r="J598" s="128"/>
      <c r="K598" s="128"/>
      <c r="L598" s="128"/>
      <c r="M598" s="128"/>
    </row>
    <row r="599">
      <c r="D599" s="129"/>
      <c r="E599" s="129"/>
      <c r="F599" s="42"/>
      <c r="G599" s="128"/>
      <c r="H599" s="128"/>
      <c r="I599" s="128"/>
      <c r="J599" s="128"/>
      <c r="K599" s="128"/>
      <c r="L599" s="128"/>
      <c r="M599" s="128"/>
    </row>
    <row r="600">
      <c r="D600" s="129"/>
      <c r="E600" s="129"/>
      <c r="F600" s="42"/>
      <c r="G600" s="128"/>
      <c r="H600" s="128"/>
      <c r="I600" s="128"/>
      <c r="J600" s="128"/>
      <c r="K600" s="128"/>
      <c r="L600" s="128"/>
      <c r="M600" s="128"/>
    </row>
    <row r="601">
      <c r="D601" s="129"/>
      <c r="E601" s="129"/>
      <c r="F601" s="42"/>
      <c r="G601" s="128"/>
      <c r="H601" s="128"/>
      <c r="I601" s="128"/>
      <c r="J601" s="128"/>
      <c r="K601" s="128"/>
      <c r="L601" s="128"/>
      <c r="M601" s="128"/>
    </row>
    <row r="602">
      <c r="D602" s="129"/>
      <c r="E602" s="129"/>
      <c r="F602" s="42"/>
      <c r="G602" s="128"/>
      <c r="H602" s="128"/>
      <c r="I602" s="128"/>
      <c r="J602" s="128"/>
      <c r="K602" s="128"/>
      <c r="L602" s="128"/>
      <c r="M602" s="128"/>
    </row>
    <row r="603">
      <c r="D603" s="129"/>
      <c r="E603" s="129"/>
      <c r="F603" s="42"/>
      <c r="G603" s="128"/>
      <c r="H603" s="128"/>
      <c r="I603" s="128"/>
      <c r="J603" s="128"/>
      <c r="K603" s="128"/>
      <c r="L603" s="128"/>
      <c r="M603" s="128"/>
    </row>
    <row r="604">
      <c r="D604" s="129"/>
      <c r="E604" s="129"/>
      <c r="F604" s="42"/>
      <c r="G604" s="128"/>
      <c r="H604" s="128"/>
      <c r="I604" s="128"/>
      <c r="J604" s="128"/>
      <c r="K604" s="128"/>
      <c r="L604" s="128"/>
      <c r="M604" s="128"/>
    </row>
    <row r="605">
      <c r="D605" s="129"/>
      <c r="E605" s="129"/>
      <c r="F605" s="42"/>
      <c r="G605" s="128"/>
      <c r="H605" s="128"/>
      <c r="I605" s="128"/>
      <c r="J605" s="128"/>
      <c r="K605" s="128"/>
      <c r="L605" s="128"/>
      <c r="M605" s="128"/>
    </row>
    <row r="606">
      <c r="D606" s="129"/>
      <c r="E606" s="129"/>
      <c r="F606" s="42"/>
      <c r="G606" s="128"/>
      <c r="H606" s="128"/>
      <c r="I606" s="128"/>
      <c r="J606" s="128"/>
      <c r="K606" s="128"/>
      <c r="L606" s="128"/>
      <c r="M606" s="128"/>
    </row>
    <row r="607">
      <c r="D607" s="129"/>
      <c r="E607" s="129"/>
      <c r="F607" s="42"/>
      <c r="G607" s="128"/>
      <c r="H607" s="128"/>
      <c r="I607" s="128"/>
      <c r="J607" s="128"/>
      <c r="K607" s="128"/>
      <c r="L607" s="128"/>
      <c r="M607" s="128"/>
    </row>
    <row r="608">
      <c r="D608" s="129"/>
      <c r="E608" s="129"/>
      <c r="F608" s="42"/>
      <c r="G608" s="128"/>
      <c r="H608" s="128"/>
      <c r="I608" s="128"/>
      <c r="J608" s="128"/>
      <c r="K608" s="128"/>
      <c r="L608" s="128"/>
      <c r="M608" s="128"/>
    </row>
    <row r="609">
      <c r="D609" s="129"/>
      <c r="E609" s="129"/>
      <c r="F609" s="42"/>
      <c r="G609" s="128"/>
      <c r="H609" s="128"/>
      <c r="I609" s="128"/>
      <c r="J609" s="128"/>
      <c r="K609" s="128"/>
      <c r="L609" s="128"/>
      <c r="M609" s="128"/>
    </row>
    <row r="610">
      <c r="D610" s="129"/>
      <c r="E610" s="129"/>
      <c r="F610" s="42"/>
      <c r="G610" s="128"/>
      <c r="H610" s="128"/>
      <c r="I610" s="128"/>
      <c r="J610" s="128"/>
      <c r="K610" s="128"/>
      <c r="L610" s="128"/>
      <c r="M610" s="128"/>
    </row>
    <row r="611">
      <c r="D611" s="129"/>
      <c r="E611" s="129"/>
      <c r="F611" s="42"/>
      <c r="G611" s="128"/>
      <c r="H611" s="128"/>
      <c r="I611" s="128"/>
      <c r="J611" s="128"/>
      <c r="K611" s="128"/>
      <c r="L611" s="128"/>
      <c r="M611" s="128"/>
    </row>
    <row r="612">
      <c r="D612" s="129"/>
      <c r="E612" s="129"/>
      <c r="F612" s="42"/>
      <c r="G612" s="128"/>
      <c r="H612" s="128"/>
      <c r="I612" s="128"/>
      <c r="J612" s="128"/>
      <c r="K612" s="128"/>
      <c r="L612" s="128"/>
      <c r="M612" s="128"/>
    </row>
    <row r="613">
      <c r="D613" s="129"/>
      <c r="E613" s="129"/>
      <c r="F613" s="42"/>
      <c r="G613" s="128"/>
      <c r="H613" s="128"/>
      <c r="I613" s="128"/>
      <c r="J613" s="128"/>
      <c r="K613" s="128"/>
      <c r="L613" s="128"/>
      <c r="M613" s="128"/>
    </row>
    <row r="614">
      <c r="D614" s="129"/>
      <c r="E614" s="129"/>
      <c r="F614" s="42"/>
      <c r="G614" s="128"/>
      <c r="H614" s="128"/>
      <c r="I614" s="128"/>
      <c r="J614" s="128"/>
      <c r="K614" s="128"/>
      <c r="L614" s="128"/>
      <c r="M614" s="128"/>
    </row>
    <row r="615">
      <c r="D615" s="129"/>
      <c r="E615" s="129"/>
      <c r="F615" s="42"/>
      <c r="G615" s="128"/>
      <c r="H615" s="128"/>
      <c r="I615" s="128"/>
      <c r="J615" s="128"/>
      <c r="K615" s="128"/>
      <c r="L615" s="128"/>
      <c r="M615" s="128"/>
    </row>
    <row r="616">
      <c r="D616" s="129"/>
      <c r="E616" s="129"/>
      <c r="F616" s="42"/>
      <c r="G616" s="128"/>
      <c r="H616" s="128"/>
      <c r="I616" s="128"/>
      <c r="J616" s="128"/>
      <c r="K616" s="128"/>
      <c r="L616" s="128"/>
      <c r="M616" s="128"/>
    </row>
    <row r="617">
      <c r="D617" s="129"/>
      <c r="E617" s="129"/>
      <c r="F617" s="42"/>
      <c r="G617" s="128"/>
      <c r="H617" s="128"/>
      <c r="I617" s="128"/>
      <c r="J617" s="128"/>
      <c r="K617" s="128"/>
      <c r="L617" s="128"/>
      <c r="M617" s="128"/>
    </row>
    <row r="618">
      <c r="D618" s="129"/>
      <c r="E618" s="129"/>
      <c r="F618" s="42"/>
      <c r="G618" s="128"/>
      <c r="H618" s="128"/>
      <c r="I618" s="128"/>
      <c r="J618" s="128"/>
      <c r="K618" s="128"/>
      <c r="L618" s="128"/>
      <c r="M618" s="128"/>
    </row>
    <row r="619">
      <c r="D619" s="129"/>
      <c r="E619" s="129"/>
      <c r="F619" s="42"/>
      <c r="G619" s="128"/>
      <c r="H619" s="128"/>
      <c r="I619" s="128"/>
      <c r="J619" s="128"/>
      <c r="K619" s="128"/>
      <c r="L619" s="128"/>
      <c r="M619" s="128"/>
    </row>
    <row r="620">
      <c r="D620" s="129"/>
      <c r="E620" s="129"/>
      <c r="F620" s="42"/>
      <c r="G620" s="128"/>
      <c r="H620" s="128"/>
      <c r="I620" s="128"/>
      <c r="J620" s="128"/>
      <c r="K620" s="128"/>
      <c r="L620" s="128"/>
      <c r="M620" s="128"/>
    </row>
    <row r="621">
      <c r="D621" s="129"/>
      <c r="E621" s="129"/>
      <c r="F621" s="42"/>
      <c r="G621" s="128"/>
      <c r="H621" s="128"/>
      <c r="I621" s="128"/>
      <c r="J621" s="128"/>
      <c r="K621" s="128"/>
      <c r="L621" s="128"/>
      <c r="M621" s="128"/>
    </row>
    <row r="622">
      <c r="D622" s="129"/>
      <c r="E622" s="129"/>
      <c r="F622" s="42"/>
      <c r="G622" s="128"/>
      <c r="H622" s="128"/>
      <c r="I622" s="128"/>
      <c r="J622" s="128"/>
      <c r="K622" s="128"/>
      <c r="L622" s="128"/>
      <c r="M622" s="128"/>
    </row>
    <row r="623">
      <c r="D623" s="129"/>
      <c r="E623" s="129"/>
      <c r="F623" s="42"/>
      <c r="G623" s="128"/>
      <c r="H623" s="128"/>
      <c r="I623" s="128"/>
      <c r="J623" s="128"/>
      <c r="K623" s="128"/>
      <c r="L623" s="128"/>
      <c r="M623" s="128"/>
    </row>
    <row r="624">
      <c r="D624" s="129"/>
      <c r="E624" s="129"/>
      <c r="F624" s="42"/>
      <c r="G624" s="128"/>
      <c r="H624" s="128"/>
      <c r="I624" s="128"/>
      <c r="J624" s="128"/>
      <c r="K624" s="128"/>
      <c r="L624" s="128"/>
      <c r="M624" s="128"/>
    </row>
    <row r="625">
      <c r="D625" s="129"/>
      <c r="E625" s="129"/>
      <c r="F625" s="42"/>
      <c r="G625" s="128"/>
      <c r="H625" s="128"/>
      <c r="I625" s="128"/>
      <c r="J625" s="128"/>
      <c r="K625" s="128"/>
      <c r="L625" s="128"/>
      <c r="M625" s="128"/>
    </row>
    <row r="626">
      <c r="D626" s="129"/>
      <c r="E626" s="129"/>
      <c r="F626" s="42"/>
      <c r="G626" s="128"/>
      <c r="H626" s="128"/>
      <c r="I626" s="128"/>
      <c r="J626" s="128"/>
      <c r="K626" s="128"/>
      <c r="L626" s="128"/>
      <c r="M626" s="128"/>
    </row>
    <row r="627">
      <c r="D627" s="129"/>
      <c r="E627" s="129"/>
      <c r="F627" s="42"/>
      <c r="G627" s="128"/>
      <c r="H627" s="128"/>
      <c r="I627" s="128"/>
      <c r="J627" s="128"/>
      <c r="K627" s="128"/>
      <c r="L627" s="128"/>
      <c r="M627" s="128"/>
    </row>
    <row r="628">
      <c r="D628" s="129"/>
      <c r="E628" s="129"/>
      <c r="F628" s="42"/>
      <c r="G628" s="128"/>
      <c r="H628" s="128"/>
      <c r="I628" s="128"/>
      <c r="J628" s="128"/>
      <c r="K628" s="128"/>
      <c r="L628" s="128"/>
      <c r="M628" s="128"/>
    </row>
    <row r="629">
      <c r="D629" s="129"/>
      <c r="E629" s="129"/>
      <c r="F629" s="42"/>
      <c r="G629" s="128"/>
      <c r="H629" s="128"/>
      <c r="I629" s="128"/>
      <c r="J629" s="128"/>
      <c r="K629" s="128"/>
      <c r="L629" s="128"/>
      <c r="M629" s="128"/>
    </row>
    <row r="630">
      <c r="D630" s="129"/>
      <c r="E630" s="129"/>
      <c r="F630" s="42"/>
      <c r="G630" s="128"/>
      <c r="H630" s="128"/>
      <c r="I630" s="128"/>
      <c r="J630" s="128"/>
      <c r="K630" s="128"/>
      <c r="L630" s="128"/>
      <c r="M630" s="128"/>
    </row>
    <row r="631">
      <c r="D631" s="129"/>
      <c r="E631" s="129"/>
      <c r="F631" s="42"/>
      <c r="G631" s="128"/>
      <c r="H631" s="128"/>
      <c r="I631" s="128"/>
      <c r="J631" s="128"/>
      <c r="K631" s="128"/>
      <c r="L631" s="128"/>
      <c r="M631" s="128"/>
    </row>
    <row r="632">
      <c r="D632" s="129"/>
      <c r="E632" s="129"/>
      <c r="F632" s="42"/>
      <c r="G632" s="128"/>
      <c r="H632" s="128"/>
      <c r="I632" s="128"/>
      <c r="J632" s="128"/>
      <c r="K632" s="128"/>
      <c r="L632" s="128"/>
      <c r="M632" s="128"/>
    </row>
    <row r="633">
      <c r="D633" s="129"/>
      <c r="E633" s="129"/>
      <c r="F633" s="42"/>
      <c r="G633" s="128"/>
      <c r="H633" s="128"/>
      <c r="I633" s="128"/>
      <c r="J633" s="128"/>
      <c r="K633" s="128"/>
      <c r="L633" s="128"/>
      <c r="M633" s="128"/>
    </row>
    <row r="634">
      <c r="D634" s="129"/>
      <c r="E634" s="129"/>
      <c r="F634" s="42"/>
      <c r="G634" s="128"/>
      <c r="H634" s="128"/>
      <c r="I634" s="128"/>
      <c r="J634" s="128"/>
      <c r="K634" s="128"/>
      <c r="L634" s="128"/>
      <c r="M634" s="128"/>
    </row>
    <row r="635">
      <c r="D635" s="129"/>
      <c r="E635" s="129"/>
      <c r="F635" s="42"/>
      <c r="G635" s="128"/>
      <c r="H635" s="128"/>
      <c r="I635" s="128"/>
      <c r="J635" s="128"/>
      <c r="K635" s="128"/>
      <c r="L635" s="128"/>
      <c r="M635" s="128"/>
    </row>
    <row r="636">
      <c r="D636" s="129"/>
      <c r="E636" s="129"/>
      <c r="F636" s="42"/>
      <c r="G636" s="128"/>
      <c r="H636" s="128"/>
      <c r="I636" s="128"/>
      <c r="J636" s="128"/>
      <c r="K636" s="128"/>
      <c r="L636" s="128"/>
      <c r="M636" s="128"/>
    </row>
    <row r="637">
      <c r="D637" s="129"/>
      <c r="E637" s="129"/>
      <c r="F637" s="42"/>
      <c r="G637" s="128"/>
      <c r="H637" s="128"/>
      <c r="I637" s="128"/>
      <c r="J637" s="128"/>
      <c r="K637" s="128"/>
      <c r="L637" s="128"/>
      <c r="M637" s="128"/>
    </row>
    <row r="638">
      <c r="D638" s="129"/>
      <c r="E638" s="129"/>
      <c r="F638" s="42"/>
      <c r="G638" s="128"/>
      <c r="H638" s="128"/>
      <c r="I638" s="128"/>
      <c r="J638" s="128"/>
      <c r="K638" s="128"/>
      <c r="L638" s="128"/>
      <c r="M638" s="128"/>
    </row>
    <row r="639">
      <c r="D639" s="129"/>
      <c r="E639" s="129"/>
      <c r="F639" s="42"/>
      <c r="G639" s="128"/>
      <c r="H639" s="128"/>
      <c r="I639" s="128"/>
      <c r="J639" s="128"/>
      <c r="K639" s="128"/>
      <c r="L639" s="128"/>
      <c r="M639" s="128"/>
    </row>
    <row r="640">
      <c r="D640" s="129"/>
      <c r="E640" s="129"/>
      <c r="F640" s="42"/>
      <c r="G640" s="128"/>
      <c r="H640" s="128"/>
      <c r="I640" s="128"/>
      <c r="J640" s="128"/>
      <c r="K640" s="128"/>
      <c r="L640" s="128"/>
      <c r="M640" s="128"/>
    </row>
    <row r="641">
      <c r="D641" s="129"/>
      <c r="E641" s="129"/>
      <c r="F641" s="42"/>
      <c r="G641" s="128"/>
      <c r="H641" s="128"/>
      <c r="I641" s="128"/>
      <c r="J641" s="128"/>
      <c r="K641" s="128"/>
      <c r="L641" s="128"/>
      <c r="M641" s="128"/>
    </row>
    <row r="642">
      <c r="D642" s="129"/>
      <c r="E642" s="129"/>
      <c r="F642" s="42"/>
      <c r="G642" s="128"/>
      <c r="H642" s="128"/>
      <c r="I642" s="128"/>
      <c r="J642" s="128"/>
      <c r="K642" s="128"/>
      <c r="L642" s="128"/>
      <c r="M642" s="128"/>
    </row>
    <row r="643">
      <c r="D643" s="129"/>
      <c r="E643" s="129"/>
      <c r="F643" s="42"/>
      <c r="G643" s="128"/>
      <c r="H643" s="128"/>
      <c r="I643" s="128"/>
      <c r="J643" s="128"/>
      <c r="K643" s="128"/>
      <c r="L643" s="128"/>
      <c r="M643" s="128"/>
    </row>
    <row r="644">
      <c r="D644" s="129"/>
      <c r="E644" s="129"/>
      <c r="F644" s="42"/>
      <c r="G644" s="128"/>
      <c r="H644" s="128"/>
      <c r="I644" s="128"/>
      <c r="J644" s="128"/>
      <c r="K644" s="128"/>
      <c r="L644" s="128"/>
      <c r="M644" s="128"/>
    </row>
    <row r="645">
      <c r="D645" s="129"/>
      <c r="E645" s="129"/>
      <c r="F645" s="42"/>
      <c r="G645" s="128"/>
      <c r="H645" s="128"/>
      <c r="I645" s="128"/>
      <c r="J645" s="128"/>
      <c r="K645" s="128"/>
      <c r="L645" s="128"/>
      <c r="M645" s="128"/>
    </row>
    <row r="646">
      <c r="D646" s="129"/>
      <c r="E646" s="129"/>
      <c r="F646" s="42"/>
      <c r="G646" s="128"/>
      <c r="H646" s="128"/>
      <c r="I646" s="128"/>
      <c r="J646" s="128"/>
      <c r="K646" s="128"/>
      <c r="L646" s="128"/>
      <c r="M646" s="128"/>
    </row>
    <row r="647">
      <c r="D647" s="129"/>
      <c r="E647" s="129"/>
      <c r="F647" s="42"/>
      <c r="G647" s="128"/>
      <c r="H647" s="128"/>
      <c r="I647" s="128"/>
      <c r="J647" s="128"/>
      <c r="K647" s="128"/>
      <c r="L647" s="128"/>
      <c r="M647" s="128"/>
    </row>
    <row r="648">
      <c r="D648" s="129"/>
      <c r="E648" s="129"/>
      <c r="F648" s="42"/>
      <c r="G648" s="128"/>
      <c r="H648" s="128"/>
      <c r="I648" s="128"/>
      <c r="J648" s="128"/>
      <c r="K648" s="128"/>
      <c r="L648" s="128"/>
      <c r="M648" s="128"/>
    </row>
    <row r="649">
      <c r="D649" s="129"/>
      <c r="E649" s="129"/>
      <c r="F649" s="42"/>
      <c r="G649" s="128"/>
      <c r="H649" s="128"/>
      <c r="I649" s="128"/>
      <c r="J649" s="128"/>
      <c r="K649" s="128"/>
      <c r="L649" s="128"/>
      <c r="M649" s="128"/>
    </row>
    <row r="650">
      <c r="D650" s="129"/>
      <c r="E650" s="129"/>
      <c r="F650" s="42"/>
      <c r="G650" s="128"/>
      <c r="H650" s="128"/>
      <c r="I650" s="128"/>
      <c r="J650" s="128"/>
      <c r="K650" s="128"/>
      <c r="L650" s="128"/>
      <c r="M650" s="128"/>
    </row>
    <row r="651">
      <c r="D651" s="129"/>
      <c r="E651" s="129"/>
      <c r="F651" s="42"/>
      <c r="G651" s="128"/>
      <c r="H651" s="128"/>
      <c r="I651" s="128"/>
      <c r="J651" s="128"/>
      <c r="K651" s="128"/>
      <c r="L651" s="128"/>
      <c r="M651" s="128"/>
    </row>
    <row r="652">
      <c r="D652" s="129"/>
      <c r="E652" s="129"/>
      <c r="F652" s="42"/>
      <c r="G652" s="128"/>
      <c r="H652" s="128"/>
      <c r="I652" s="128"/>
      <c r="J652" s="128"/>
      <c r="K652" s="128"/>
      <c r="L652" s="128"/>
      <c r="M652" s="128"/>
    </row>
    <row r="653">
      <c r="D653" s="129"/>
      <c r="E653" s="129"/>
      <c r="F653" s="42"/>
      <c r="G653" s="128"/>
      <c r="H653" s="128"/>
      <c r="I653" s="128"/>
      <c r="J653" s="128"/>
      <c r="K653" s="128"/>
      <c r="L653" s="128"/>
      <c r="M653" s="128"/>
    </row>
    <row r="654">
      <c r="D654" s="129"/>
      <c r="E654" s="129"/>
      <c r="F654" s="42"/>
      <c r="G654" s="128"/>
      <c r="H654" s="128"/>
      <c r="I654" s="128"/>
      <c r="J654" s="128"/>
      <c r="K654" s="128"/>
      <c r="L654" s="128"/>
      <c r="M654" s="128"/>
    </row>
    <row r="655">
      <c r="D655" s="129"/>
      <c r="E655" s="129"/>
      <c r="F655" s="42"/>
      <c r="G655" s="128"/>
      <c r="H655" s="128"/>
      <c r="I655" s="128"/>
      <c r="J655" s="128"/>
      <c r="K655" s="128"/>
      <c r="L655" s="128"/>
      <c r="M655" s="128"/>
    </row>
    <row r="656">
      <c r="D656" s="129"/>
      <c r="E656" s="129"/>
      <c r="F656" s="42"/>
      <c r="G656" s="128"/>
      <c r="H656" s="128"/>
      <c r="I656" s="128"/>
      <c r="J656" s="128"/>
      <c r="K656" s="128"/>
      <c r="L656" s="128"/>
      <c r="M656" s="128"/>
    </row>
    <row r="657">
      <c r="D657" s="129"/>
      <c r="E657" s="129"/>
      <c r="F657" s="42"/>
      <c r="G657" s="128"/>
      <c r="H657" s="128"/>
      <c r="I657" s="128"/>
      <c r="J657" s="128"/>
      <c r="K657" s="128"/>
      <c r="L657" s="128"/>
      <c r="M657" s="128"/>
    </row>
    <row r="658">
      <c r="D658" s="129"/>
      <c r="E658" s="129"/>
      <c r="F658" s="42"/>
      <c r="G658" s="128"/>
      <c r="H658" s="128"/>
      <c r="I658" s="128"/>
      <c r="J658" s="128"/>
      <c r="K658" s="128"/>
      <c r="L658" s="128"/>
      <c r="M658" s="128"/>
    </row>
    <row r="659">
      <c r="D659" s="129"/>
      <c r="E659" s="129"/>
      <c r="F659" s="42"/>
      <c r="G659" s="128"/>
      <c r="H659" s="128"/>
      <c r="I659" s="128"/>
      <c r="J659" s="128"/>
      <c r="K659" s="128"/>
      <c r="L659" s="128"/>
      <c r="M659" s="128"/>
    </row>
    <row r="660">
      <c r="D660" s="129"/>
      <c r="E660" s="129"/>
      <c r="F660" s="42"/>
      <c r="G660" s="128"/>
      <c r="H660" s="128"/>
      <c r="I660" s="128"/>
      <c r="J660" s="128"/>
      <c r="K660" s="128"/>
      <c r="L660" s="128"/>
      <c r="M660" s="128"/>
    </row>
    <row r="661">
      <c r="D661" s="129"/>
      <c r="E661" s="129"/>
      <c r="F661" s="42"/>
      <c r="G661" s="128"/>
      <c r="H661" s="128"/>
      <c r="I661" s="128"/>
      <c r="J661" s="128"/>
      <c r="K661" s="128"/>
      <c r="L661" s="128"/>
      <c r="M661" s="128"/>
    </row>
    <row r="662">
      <c r="D662" s="129"/>
      <c r="E662" s="129"/>
      <c r="F662" s="42"/>
      <c r="G662" s="128"/>
      <c r="H662" s="128"/>
      <c r="I662" s="128"/>
      <c r="J662" s="128"/>
      <c r="K662" s="128"/>
      <c r="L662" s="128"/>
      <c r="M662" s="128"/>
    </row>
    <row r="663">
      <c r="D663" s="129"/>
      <c r="E663" s="129"/>
      <c r="F663" s="42"/>
      <c r="G663" s="128"/>
      <c r="H663" s="128"/>
      <c r="I663" s="128"/>
      <c r="J663" s="128"/>
      <c r="K663" s="128"/>
      <c r="L663" s="128"/>
      <c r="M663" s="128"/>
    </row>
    <row r="664">
      <c r="D664" s="129"/>
      <c r="E664" s="129"/>
      <c r="F664" s="42"/>
      <c r="G664" s="128"/>
      <c r="H664" s="128"/>
      <c r="I664" s="128"/>
      <c r="J664" s="128"/>
      <c r="K664" s="128"/>
      <c r="L664" s="128"/>
      <c r="M664" s="128"/>
    </row>
    <row r="665">
      <c r="D665" s="129"/>
      <c r="E665" s="129"/>
      <c r="F665" s="42"/>
      <c r="G665" s="128"/>
      <c r="H665" s="128"/>
      <c r="I665" s="128"/>
      <c r="J665" s="128"/>
      <c r="K665" s="128"/>
      <c r="L665" s="128"/>
      <c r="M665" s="128"/>
    </row>
    <row r="666">
      <c r="D666" s="129"/>
      <c r="E666" s="129"/>
      <c r="F666" s="42"/>
      <c r="G666" s="128"/>
      <c r="H666" s="128"/>
      <c r="I666" s="128"/>
      <c r="J666" s="128"/>
      <c r="K666" s="128"/>
      <c r="L666" s="128"/>
      <c r="M666" s="128"/>
    </row>
    <row r="667">
      <c r="D667" s="129"/>
      <c r="E667" s="129"/>
      <c r="F667" s="42"/>
      <c r="G667" s="128"/>
      <c r="H667" s="128"/>
      <c r="I667" s="128"/>
      <c r="J667" s="128"/>
      <c r="K667" s="128"/>
      <c r="L667" s="128"/>
      <c r="M667" s="128"/>
    </row>
    <row r="668">
      <c r="D668" s="129"/>
      <c r="E668" s="129"/>
      <c r="F668" s="42"/>
      <c r="G668" s="128"/>
      <c r="H668" s="128"/>
      <c r="I668" s="128"/>
      <c r="J668" s="128"/>
      <c r="K668" s="128"/>
      <c r="L668" s="128"/>
      <c r="M668" s="128"/>
    </row>
    <row r="669">
      <c r="D669" s="129"/>
      <c r="E669" s="129"/>
      <c r="F669" s="42"/>
      <c r="G669" s="128"/>
      <c r="H669" s="128"/>
      <c r="I669" s="128"/>
      <c r="J669" s="128"/>
      <c r="K669" s="128"/>
      <c r="L669" s="128"/>
      <c r="M669" s="128"/>
    </row>
    <row r="670">
      <c r="D670" s="129"/>
      <c r="E670" s="129"/>
      <c r="F670" s="42"/>
      <c r="G670" s="128"/>
      <c r="H670" s="128"/>
      <c r="I670" s="128"/>
      <c r="J670" s="128"/>
      <c r="K670" s="128"/>
      <c r="L670" s="128"/>
      <c r="M670" s="128"/>
    </row>
    <row r="671">
      <c r="D671" s="129"/>
      <c r="E671" s="129"/>
      <c r="F671" s="42"/>
      <c r="G671" s="128"/>
      <c r="H671" s="128"/>
      <c r="I671" s="128"/>
      <c r="J671" s="128"/>
      <c r="K671" s="128"/>
      <c r="L671" s="128"/>
      <c r="M671" s="128"/>
    </row>
    <row r="672">
      <c r="D672" s="129"/>
      <c r="E672" s="129"/>
      <c r="F672" s="42"/>
      <c r="G672" s="128"/>
      <c r="H672" s="128"/>
      <c r="I672" s="128"/>
      <c r="J672" s="128"/>
      <c r="K672" s="128"/>
      <c r="L672" s="128"/>
      <c r="M672" s="128"/>
    </row>
    <row r="673">
      <c r="D673" s="129"/>
      <c r="E673" s="129"/>
      <c r="F673" s="42"/>
      <c r="G673" s="128"/>
      <c r="H673" s="128"/>
      <c r="I673" s="128"/>
      <c r="J673" s="128"/>
      <c r="K673" s="128"/>
      <c r="L673" s="128"/>
      <c r="M673" s="128"/>
    </row>
    <row r="674">
      <c r="D674" s="129"/>
      <c r="E674" s="129"/>
      <c r="F674" s="42"/>
      <c r="G674" s="128"/>
      <c r="H674" s="128"/>
      <c r="I674" s="128"/>
      <c r="J674" s="128"/>
      <c r="K674" s="128"/>
      <c r="L674" s="128"/>
      <c r="M674" s="128"/>
    </row>
    <row r="675">
      <c r="D675" s="129"/>
      <c r="E675" s="129"/>
      <c r="F675" s="42"/>
      <c r="G675" s="128"/>
      <c r="H675" s="128"/>
      <c r="I675" s="128"/>
      <c r="J675" s="128"/>
      <c r="K675" s="128"/>
      <c r="L675" s="128"/>
      <c r="M675" s="128"/>
    </row>
    <row r="676">
      <c r="D676" s="129"/>
      <c r="E676" s="129"/>
      <c r="F676" s="42"/>
      <c r="G676" s="128"/>
      <c r="H676" s="128"/>
      <c r="I676" s="128"/>
      <c r="J676" s="128"/>
      <c r="K676" s="128"/>
      <c r="L676" s="128"/>
      <c r="M676" s="128"/>
    </row>
    <row r="677">
      <c r="D677" s="129"/>
      <c r="E677" s="129"/>
      <c r="F677" s="42"/>
      <c r="G677" s="128"/>
      <c r="H677" s="128"/>
      <c r="I677" s="128"/>
      <c r="J677" s="128"/>
      <c r="K677" s="128"/>
      <c r="L677" s="128"/>
      <c r="M677" s="128"/>
    </row>
    <row r="678">
      <c r="D678" s="129"/>
      <c r="E678" s="129"/>
      <c r="F678" s="42"/>
      <c r="G678" s="128"/>
      <c r="H678" s="128"/>
      <c r="I678" s="128"/>
      <c r="J678" s="128"/>
      <c r="K678" s="128"/>
      <c r="L678" s="128"/>
      <c r="M678" s="128"/>
    </row>
    <row r="679">
      <c r="D679" s="129"/>
      <c r="E679" s="129"/>
      <c r="F679" s="42"/>
      <c r="G679" s="128"/>
      <c r="H679" s="128"/>
      <c r="I679" s="128"/>
      <c r="J679" s="128"/>
      <c r="K679" s="128"/>
      <c r="L679" s="128"/>
      <c r="M679" s="128"/>
    </row>
    <row r="680">
      <c r="D680" s="129"/>
      <c r="E680" s="129"/>
      <c r="F680" s="42"/>
      <c r="G680" s="128"/>
      <c r="H680" s="128"/>
      <c r="I680" s="128"/>
      <c r="J680" s="128"/>
      <c r="K680" s="128"/>
      <c r="L680" s="128"/>
      <c r="M680" s="128"/>
    </row>
    <row r="681">
      <c r="D681" s="129"/>
      <c r="E681" s="129"/>
      <c r="F681" s="42"/>
      <c r="G681" s="128"/>
      <c r="H681" s="128"/>
      <c r="I681" s="128"/>
      <c r="J681" s="128"/>
      <c r="K681" s="128"/>
      <c r="L681" s="128"/>
      <c r="M681" s="128"/>
    </row>
    <row r="682">
      <c r="D682" s="129"/>
      <c r="E682" s="129"/>
      <c r="F682" s="42"/>
      <c r="G682" s="128"/>
      <c r="H682" s="128"/>
      <c r="I682" s="128"/>
      <c r="J682" s="128"/>
      <c r="K682" s="128"/>
      <c r="L682" s="128"/>
      <c r="M682" s="128"/>
    </row>
    <row r="683">
      <c r="D683" s="129"/>
      <c r="E683" s="129"/>
      <c r="F683" s="42"/>
      <c r="G683" s="128"/>
      <c r="H683" s="128"/>
      <c r="I683" s="128"/>
      <c r="J683" s="128"/>
      <c r="K683" s="128"/>
      <c r="L683" s="128"/>
      <c r="M683" s="128"/>
    </row>
    <row r="684">
      <c r="D684" s="129"/>
      <c r="E684" s="129"/>
      <c r="F684" s="42"/>
      <c r="G684" s="128"/>
      <c r="H684" s="128"/>
      <c r="I684" s="128"/>
      <c r="J684" s="128"/>
      <c r="K684" s="128"/>
      <c r="L684" s="128"/>
      <c r="M684" s="128"/>
    </row>
    <row r="685">
      <c r="D685" s="129"/>
      <c r="E685" s="129"/>
      <c r="F685" s="42"/>
      <c r="G685" s="128"/>
      <c r="H685" s="128"/>
      <c r="I685" s="128"/>
      <c r="J685" s="128"/>
      <c r="K685" s="128"/>
      <c r="L685" s="128"/>
      <c r="M685" s="128"/>
    </row>
    <row r="686">
      <c r="D686" s="129"/>
      <c r="E686" s="129"/>
      <c r="F686" s="42"/>
      <c r="G686" s="128"/>
      <c r="H686" s="128"/>
      <c r="I686" s="128"/>
      <c r="J686" s="128"/>
      <c r="K686" s="128"/>
      <c r="L686" s="128"/>
      <c r="M686" s="128"/>
    </row>
    <row r="687">
      <c r="D687" s="129"/>
      <c r="E687" s="129"/>
      <c r="F687" s="42"/>
      <c r="G687" s="128"/>
      <c r="H687" s="128"/>
      <c r="I687" s="128"/>
      <c r="J687" s="128"/>
      <c r="K687" s="128"/>
      <c r="L687" s="128"/>
      <c r="M687" s="128"/>
    </row>
    <row r="688">
      <c r="D688" s="129"/>
      <c r="E688" s="129"/>
      <c r="F688" s="42"/>
      <c r="G688" s="128"/>
      <c r="H688" s="128"/>
      <c r="I688" s="128"/>
      <c r="J688" s="128"/>
      <c r="K688" s="128"/>
      <c r="L688" s="128"/>
      <c r="M688" s="128"/>
    </row>
    <row r="689">
      <c r="D689" s="129"/>
      <c r="E689" s="129"/>
      <c r="F689" s="42"/>
      <c r="G689" s="128"/>
      <c r="H689" s="128"/>
      <c r="I689" s="128"/>
      <c r="J689" s="128"/>
      <c r="K689" s="128"/>
      <c r="L689" s="128"/>
      <c r="M689" s="128"/>
    </row>
    <row r="690">
      <c r="D690" s="129"/>
      <c r="E690" s="129"/>
      <c r="F690" s="42"/>
      <c r="G690" s="128"/>
      <c r="H690" s="128"/>
      <c r="I690" s="128"/>
      <c r="J690" s="128"/>
      <c r="K690" s="128"/>
      <c r="L690" s="128"/>
      <c r="M690" s="128"/>
    </row>
    <row r="691">
      <c r="D691" s="129"/>
      <c r="E691" s="129"/>
      <c r="F691" s="42"/>
      <c r="G691" s="128"/>
      <c r="H691" s="128"/>
      <c r="I691" s="128"/>
      <c r="J691" s="128"/>
      <c r="K691" s="128"/>
      <c r="L691" s="128"/>
      <c r="M691" s="128"/>
    </row>
    <row r="692">
      <c r="D692" s="129"/>
      <c r="E692" s="129"/>
      <c r="F692" s="42"/>
      <c r="G692" s="128"/>
      <c r="H692" s="128"/>
      <c r="I692" s="128"/>
      <c r="J692" s="128"/>
      <c r="K692" s="128"/>
      <c r="L692" s="128"/>
      <c r="M692" s="128"/>
    </row>
    <row r="693">
      <c r="D693" s="129"/>
      <c r="E693" s="129"/>
      <c r="F693" s="42"/>
      <c r="G693" s="128"/>
      <c r="H693" s="128"/>
      <c r="I693" s="128"/>
      <c r="J693" s="128"/>
      <c r="K693" s="128"/>
      <c r="L693" s="128"/>
      <c r="M693" s="128"/>
    </row>
    <row r="694">
      <c r="D694" s="129"/>
      <c r="E694" s="129"/>
      <c r="F694" s="42"/>
      <c r="G694" s="128"/>
      <c r="H694" s="128"/>
      <c r="I694" s="128"/>
      <c r="J694" s="128"/>
      <c r="K694" s="128"/>
      <c r="L694" s="128"/>
      <c r="M694" s="128"/>
    </row>
    <row r="695">
      <c r="D695" s="129"/>
      <c r="E695" s="129"/>
      <c r="F695" s="42"/>
      <c r="G695" s="128"/>
      <c r="H695" s="128"/>
      <c r="I695" s="128"/>
      <c r="J695" s="128"/>
      <c r="K695" s="128"/>
      <c r="L695" s="128"/>
      <c r="M695" s="128"/>
    </row>
    <row r="696">
      <c r="D696" s="129"/>
      <c r="E696" s="129"/>
      <c r="F696" s="42"/>
      <c r="G696" s="128"/>
      <c r="H696" s="128"/>
      <c r="I696" s="128"/>
      <c r="J696" s="128"/>
      <c r="K696" s="128"/>
      <c r="L696" s="128"/>
      <c r="M696" s="128"/>
    </row>
    <row r="697">
      <c r="D697" s="129"/>
      <c r="E697" s="129"/>
      <c r="F697" s="42"/>
      <c r="G697" s="128"/>
      <c r="H697" s="128"/>
      <c r="I697" s="128"/>
      <c r="J697" s="128"/>
      <c r="K697" s="128"/>
      <c r="L697" s="128"/>
      <c r="M697" s="128"/>
    </row>
    <row r="698">
      <c r="D698" s="129"/>
      <c r="E698" s="129"/>
      <c r="F698" s="42"/>
      <c r="G698" s="128"/>
      <c r="H698" s="128"/>
      <c r="I698" s="128"/>
      <c r="J698" s="128"/>
      <c r="K698" s="128"/>
      <c r="L698" s="128"/>
      <c r="M698" s="128"/>
    </row>
    <row r="699">
      <c r="D699" s="129"/>
      <c r="E699" s="129"/>
      <c r="F699" s="42"/>
      <c r="G699" s="128"/>
      <c r="H699" s="128"/>
      <c r="I699" s="128"/>
      <c r="J699" s="128"/>
      <c r="K699" s="128"/>
      <c r="L699" s="128"/>
      <c r="M699" s="128"/>
    </row>
    <row r="700">
      <c r="D700" s="129"/>
      <c r="E700" s="129"/>
      <c r="F700" s="42"/>
      <c r="G700" s="128"/>
      <c r="H700" s="128"/>
      <c r="I700" s="128"/>
      <c r="J700" s="128"/>
      <c r="K700" s="128"/>
      <c r="L700" s="128"/>
      <c r="M700" s="128"/>
    </row>
    <row r="701">
      <c r="D701" s="129"/>
      <c r="E701" s="129"/>
      <c r="F701" s="42"/>
      <c r="G701" s="128"/>
      <c r="H701" s="128"/>
      <c r="I701" s="128"/>
      <c r="J701" s="128"/>
      <c r="K701" s="128"/>
      <c r="L701" s="128"/>
      <c r="M701" s="128"/>
    </row>
    <row r="702">
      <c r="D702" s="129"/>
      <c r="E702" s="129"/>
      <c r="F702" s="42"/>
      <c r="G702" s="128"/>
      <c r="H702" s="128"/>
      <c r="I702" s="128"/>
      <c r="J702" s="128"/>
      <c r="K702" s="128"/>
      <c r="L702" s="128"/>
      <c r="M702" s="128"/>
    </row>
    <row r="703">
      <c r="D703" s="129"/>
      <c r="E703" s="129"/>
      <c r="F703" s="42"/>
      <c r="G703" s="128"/>
      <c r="H703" s="128"/>
      <c r="I703" s="128"/>
      <c r="J703" s="128"/>
      <c r="K703" s="128"/>
      <c r="L703" s="128"/>
      <c r="M703" s="128"/>
    </row>
    <row r="704">
      <c r="D704" s="129"/>
      <c r="E704" s="129"/>
      <c r="F704" s="42"/>
      <c r="G704" s="128"/>
      <c r="H704" s="128"/>
      <c r="I704" s="128"/>
      <c r="J704" s="128"/>
      <c r="K704" s="128"/>
      <c r="L704" s="128"/>
      <c r="M704" s="128"/>
    </row>
    <row r="705">
      <c r="D705" s="129"/>
      <c r="E705" s="129"/>
      <c r="F705" s="42"/>
      <c r="G705" s="128"/>
      <c r="H705" s="128"/>
      <c r="I705" s="128"/>
      <c r="J705" s="128"/>
      <c r="K705" s="128"/>
      <c r="L705" s="128"/>
      <c r="M705" s="128"/>
    </row>
    <row r="706">
      <c r="D706" s="129"/>
      <c r="E706" s="129"/>
      <c r="F706" s="42"/>
      <c r="G706" s="128"/>
      <c r="H706" s="128"/>
      <c r="I706" s="128"/>
      <c r="J706" s="128"/>
      <c r="K706" s="128"/>
      <c r="L706" s="128"/>
      <c r="M706" s="128"/>
    </row>
    <row r="707">
      <c r="D707" s="129"/>
      <c r="E707" s="129"/>
      <c r="F707" s="42"/>
      <c r="G707" s="128"/>
      <c r="H707" s="128"/>
      <c r="I707" s="128"/>
      <c r="J707" s="128"/>
      <c r="K707" s="128"/>
      <c r="L707" s="128"/>
      <c r="M707" s="128"/>
    </row>
    <row r="708">
      <c r="D708" s="129"/>
      <c r="E708" s="129"/>
      <c r="F708" s="42"/>
      <c r="G708" s="128"/>
      <c r="H708" s="128"/>
      <c r="I708" s="128"/>
      <c r="J708" s="128"/>
      <c r="K708" s="128"/>
      <c r="L708" s="128"/>
      <c r="M708" s="128"/>
    </row>
    <row r="709">
      <c r="D709" s="129"/>
      <c r="E709" s="129"/>
      <c r="F709" s="42"/>
      <c r="G709" s="128"/>
      <c r="H709" s="128"/>
      <c r="I709" s="128"/>
      <c r="J709" s="128"/>
      <c r="K709" s="128"/>
      <c r="L709" s="128"/>
      <c r="M709" s="128"/>
    </row>
    <row r="710">
      <c r="D710" s="129"/>
      <c r="E710" s="129"/>
      <c r="F710" s="42"/>
      <c r="G710" s="128"/>
      <c r="H710" s="128"/>
      <c r="I710" s="128"/>
      <c r="J710" s="128"/>
      <c r="K710" s="128"/>
      <c r="L710" s="128"/>
      <c r="M710" s="128"/>
    </row>
    <row r="711">
      <c r="D711" s="129"/>
      <c r="E711" s="129"/>
      <c r="F711" s="42"/>
      <c r="G711" s="128"/>
      <c r="H711" s="128"/>
      <c r="I711" s="128"/>
      <c r="J711" s="128"/>
      <c r="K711" s="128"/>
      <c r="L711" s="128"/>
      <c r="M711" s="128"/>
    </row>
    <row r="712">
      <c r="D712" s="129"/>
      <c r="E712" s="129"/>
      <c r="F712" s="42"/>
      <c r="G712" s="128"/>
      <c r="H712" s="128"/>
      <c r="I712" s="128"/>
      <c r="J712" s="128"/>
      <c r="K712" s="128"/>
      <c r="L712" s="128"/>
      <c r="M712" s="128"/>
    </row>
    <row r="713">
      <c r="D713" s="129"/>
      <c r="E713" s="129"/>
      <c r="F713" s="42"/>
      <c r="G713" s="128"/>
      <c r="H713" s="128"/>
      <c r="I713" s="128"/>
      <c r="J713" s="128"/>
      <c r="K713" s="128"/>
      <c r="L713" s="128"/>
      <c r="M713" s="128"/>
    </row>
    <row r="714">
      <c r="D714" s="129"/>
      <c r="E714" s="129"/>
      <c r="F714" s="42"/>
      <c r="G714" s="128"/>
      <c r="H714" s="128"/>
      <c r="I714" s="128"/>
      <c r="J714" s="128"/>
      <c r="K714" s="128"/>
      <c r="L714" s="128"/>
      <c r="M714" s="128"/>
    </row>
    <row r="715">
      <c r="D715" s="129"/>
      <c r="E715" s="129"/>
      <c r="F715" s="42"/>
      <c r="G715" s="128"/>
      <c r="H715" s="128"/>
      <c r="I715" s="128"/>
      <c r="J715" s="128"/>
      <c r="K715" s="128"/>
      <c r="L715" s="128"/>
      <c r="M715" s="128"/>
    </row>
    <row r="716">
      <c r="D716" s="129"/>
      <c r="E716" s="129"/>
      <c r="F716" s="42"/>
      <c r="G716" s="128"/>
      <c r="H716" s="128"/>
      <c r="I716" s="128"/>
      <c r="J716" s="128"/>
      <c r="K716" s="128"/>
      <c r="L716" s="128"/>
      <c r="M716" s="128"/>
    </row>
    <row r="717">
      <c r="D717" s="129"/>
      <c r="E717" s="129"/>
      <c r="F717" s="42"/>
      <c r="G717" s="128"/>
      <c r="H717" s="128"/>
      <c r="I717" s="128"/>
      <c r="J717" s="128"/>
      <c r="K717" s="128"/>
      <c r="L717" s="128"/>
      <c r="M717" s="128"/>
    </row>
    <row r="718">
      <c r="D718" s="129"/>
      <c r="E718" s="129"/>
      <c r="F718" s="42"/>
      <c r="G718" s="128"/>
      <c r="H718" s="128"/>
      <c r="I718" s="128"/>
      <c r="J718" s="128"/>
      <c r="K718" s="128"/>
      <c r="L718" s="128"/>
      <c r="M718" s="128"/>
    </row>
    <row r="719">
      <c r="D719" s="129"/>
      <c r="E719" s="129"/>
      <c r="F719" s="42"/>
      <c r="G719" s="128"/>
      <c r="H719" s="128"/>
      <c r="I719" s="128"/>
      <c r="J719" s="128"/>
      <c r="K719" s="128"/>
      <c r="L719" s="128"/>
      <c r="M719" s="128"/>
    </row>
    <row r="720">
      <c r="D720" s="129"/>
      <c r="E720" s="129"/>
      <c r="F720" s="42"/>
      <c r="G720" s="128"/>
      <c r="H720" s="128"/>
      <c r="I720" s="128"/>
      <c r="J720" s="128"/>
      <c r="K720" s="128"/>
      <c r="L720" s="128"/>
      <c r="M720" s="128"/>
    </row>
    <row r="721">
      <c r="D721" s="129"/>
      <c r="E721" s="129"/>
      <c r="F721" s="42"/>
      <c r="G721" s="128"/>
      <c r="H721" s="128"/>
      <c r="I721" s="128"/>
      <c r="J721" s="128"/>
      <c r="K721" s="128"/>
      <c r="L721" s="128"/>
      <c r="M721" s="128"/>
    </row>
    <row r="722">
      <c r="D722" s="129"/>
      <c r="E722" s="129"/>
      <c r="F722" s="42"/>
      <c r="G722" s="128"/>
      <c r="H722" s="128"/>
      <c r="I722" s="128"/>
      <c r="J722" s="128"/>
      <c r="K722" s="128"/>
      <c r="L722" s="128"/>
      <c r="M722" s="128"/>
    </row>
    <row r="723">
      <c r="D723" s="129"/>
      <c r="E723" s="129"/>
      <c r="F723" s="42"/>
      <c r="G723" s="128"/>
      <c r="H723" s="128"/>
      <c r="I723" s="128"/>
      <c r="J723" s="128"/>
      <c r="K723" s="128"/>
      <c r="L723" s="128"/>
      <c r="M723" s="128"/>
    </row>
    <row r="724">
      <c r="D724" s="129"/>
      <c r="E724" s="129"/>
      <c r="F724" s="42"/>
      <c r="G724" s="128"/>
      <c r="H724" s="128"/>
      <c r="I724" s="128"/>
      <c r="J724" s="128"/>
      <c r="K724" s="128"/>
      <c r="L724" s="128"/>
      <c r="M724" s="128"/>
    </row>
    <row r="725">
      <c r="D725" s="129"/>
      <c r="E725" s="129"/>
      <c r="F725" s="42"/>
      <c r="G725" s="128"/>
      <c r="H725" s="128"/>
      <c r="I725" s="128"/>
      <c r="J725" s="128"/>
      <c r="K725" s="128"/>
      <c r="L725" s="128"/>
      <c r="M725" s="128"/>
    </row>
    <row r="726">
      <c r="D726" s="129"/>
      <c r="E726" s="129"/>
      <c r="F726" s="42"/>
      <c r="G726" s="128"/>
      <c r="H726" s="128"/>
      <c r="I726" s="128"/>
      <c r="J726" s="128"/>
      <c r="K726" s="128"/>
      <c r="L726" s="128"/>
      <c r="M726" s="128"/>
    </row>
    <row r="727">
      <c r="D727" s="129"/>
      <c r="E727" s="129"/>
      <c r="F727" s="42"/>
      <c r="G727" s="128"/>
      <c r="H727" s="128"/>
      <c r="I727" s="128"/>
      <c r="J727" s="128"/>
      <c r="K727" s="128"/>
      <c r="L727" s="128"/>
      <c r="M727" s="128"/>
    </row>
    <row r="728">
      <c r="D728" s="129"/>
      <c r="E728" s="129"/>
      <c r="F728" s="42"/>
      <c r="G728" s="128"/>
      <c r="H728" s="128"/>
      <c r="I728" s="128"/>
      <c r="J728" s="128"/>
      <c r="K728" s="128"/>
      <c r="L728" s="128"/>
      <c r="M728" s="128"/>
    </row>
    <row r="729">
      <c r="D729" s="129"/>
      <c r="E729" s="129"/>
      <c r="F729" s="42"/>
      <c r="G729" s="128"/>
      <c r="H729" s="128"/>
      <c r="I729" s="128"/>
      <c r="J729" s="128"/>
      <c r="K729" s="128"/>
      <c r="L729" s="128"/>
      <c r="M729" s="128"/>
    </row>
    <row r="730">
      <c r="D730" s="129"/>
      <c r="E730" s="129"/>
      <c r="F730" s="42"/>
      <c r="G730" s="128"/>
      <c r="H730" s="128"/>
      <c r="I730" s="128"/>
      <c r="J730" s="128"/>
      <c r="K730" s="128"/>
      <c r="L730" s="128"/>
      <c r="M730" s="128"/>
    </row>
    <row r="731">
      <c r="D731" s="129"/>
      <c r="E731" s="129"/>
      <c r="F731" s="42"/>
      <c r="G731" s="128"/>
      <c r="H731" s="128"/>
      <c r="I731" s="128"/>
      <c r="J731" s="128"/>
      <c r="K731" s="128"/>
      <c r="L731" s="128"/>
      <c r="M731" s="128"/>
    </row>
    <row r="732">
      <c r="D732" s="129"/>
      <c r="E732" s="129"/>
      <c r="F732" s="42"/>
      <c r="G732" s="128"/>
      <c r="H732" s="128"/>
      <c r="I732" s="128"/>
      <c r="J732" s="128"/>
      <c r="K732" s="128"/>
      <c r="L732" s="128"/>
      <c r="M732" s="128"/>
    </row>
    <row r="733">
      <c r="D733" s="129"/>
      <c r="E733" s="129"/>
      <c r="F733" s="42"/>
      <c r="G733" s="128"/>
      <c r="H733" s="128"/>
      <c r="I733" s="128"/>
      <c r="J733" s="128"/>
      <c r="K733" s="128"/>
      <c r="L733" s="128"/>
      <c r="M733" s="128"/>
    </row>
    <row r="734">
      <c r="D734" s="129"/>
      <c r="E734" s="129"/>
      <c r="F734" s="42"/>
      <c r="G734" s="128"/>
      <c r="H734" s="128"/>
      <c r="I734" s="128"/>
      <c r="J734" s="128"/>
      <c r="K734" s="128"/>
      <c r="L734" s="128"/>
      <c r="M734" s="128"/>
    </row>
    <row r="735">
      <c r="D735" s="129"/>
      <c r="E735" s="129"/>
      <c r="F735" s="42"/>
      <c r="G735" s="128"/>
      <c r="H735" s="128"/>
      <c r="I735" s="128"/>
      <c r="J735" s="128"/>
      <c r="K735" s="128"/>
      <c r="L735" s="128"/>
      <c r="M735" s="128"/>
    </row>
    <row r="736">
      <c r="D736" s="129"/>
      <c r="E736" s="129"/>
      <c r="F736" s="42"/>
      <c r="G736" s="128"/>
      <c r="H736" s="128"/>
      <c r="I736" s="128"/>
      <c r="J736" s="128"/>
      <c r="K736" s="128"/>
      <c r="L736" s="128"/>
      <c r="M736" s="128"/>
    </row>
    <row r="737">
      <c r="D737" s="129"/>
      <c r="E737" s="129"/>
      <c r="F737" s="42"/>
      <c r="G737" s="128"/>
      <c r="H737" s="128"/>
      <c r="I737" s="128"/>
      <c r="J737" s="128"/>
      <c r="K737" s="128"/>
      <c r="L737" s="128"/>
      <c r="M737" s="128"/>
    </row>
    <row r="738">
      <c r="D738" s="129"/>
      <c r="E738" s="129"/>
      <c r="F738" s="42"/>
      <c r="G738" s="128"/>
      <c r="H738" s="128"/>
      <c r="I738" s="128"/>
      <c r="J738" s="128"/>
      <c r="K738" s="128"/>
      <c r="L738" s="128"/>
      <c r="M738" s="128"/>
    </row>
    <row r="739">
      <c r="D739" s="129"/>
      <c r="E739" s="129"/>
      <c r="F739" s="42"/>
      <c r="G739" s="128"/>
      <c r="H739" s="128"/>
      <c r="I739" s="128"/>
      <c r="J739" s="128"/>
      <c r="K739" s="128"/>
      <c r="L739" s="128"/>
      <c r="M739" s="128"/>
    </row>
    <row r="740">
      <c r="D740" s="129"/>
      <c r="E740" s="129"/>
      <c r="F740" s="42"/>
      <c r="G740" s="128"/>
      <c r="H740" s="128"/>
      <c r="I740" s="128"/>
      <c r="J740" s="128"/>
      <c r="K740" s="128"/>
      <c r="L740" s="128"/>
      <c r="M740" s="128"/>
    </row>
    <row r="741">
      <c r="D741" s="129"/>
      <c r="E741" s="129"/>
      <c r="F741" s="42"/>
      <c r="G741" s="128"/>
      <c r="H741" s="128"/>
      <c r="I741" s="128"/>
      <c r="J741" s="128"/>
      <c r="K741" s="128"/>
      <c r="L741" s="128"/>
      <c r="M741" s="128"/>
    </row>
    <row r="742">
      <c r="D742" s="129"/>
      <c r="E742" s="129"/>
      <c r="F742" s="42"/>
      <c r="G742" s="128"/>
      <c r="H742" s="128"/>
      <c r="I742" s="128"/>
      <c r="J742" s="128"/>
      <c r="K742" s="128"/>
      <c r="L742" s="128"/>
      <c r="M742" s="128"/>
    </row>
    <row r="743">
      <c r="D743" s="129"/>
      <c r="E743" s="129"/>
      <c r="F743" s="42"/>
      <c r="G743" s="128"/>
      <c r="H743" s="128"/>
      <c r="I743" s="128"/>
      <c r="J743" s="128"/>
      <c r="K743" s="128"/>
      <c r="L743" s="128"/>
      <c r="M743" s="128"/>
    </row>
    <row r="744">
      <c r="D744" s="129"/>
      <c r="E744" s="129"/>
      <c r="F744" s="42"/>
      <c r="G744" s="128"/>
      <c r="H744" s="128"/>
      <c r="I744" s="128"/>
      <c r="J744" s="128"/>
      <c r="K744" s="128"/>
      <c r="L744" s="128"/>
      <c r="M744" s="128"/>
    </row>
    <row r="745">
      <c r="D745" s="129"/>
      <c r="E745" s="129"/>
      <c r="F745" s="42"/>
      <c r="G745" s="128"/>
      <c r="H745" s="128"/>
      <c r="I745" s="128"/>
      <c r="J745" s="128"/>
      <c r="K745" s="128"/>
      <c r="L745" s="128"/>
      <c r="M745" s="128"/>
    </row>
    <row r="746">
      <c r="D746" s="129"/>
      <c r="E746" s="129"/>
      <c r="F746" s="42"/>
      <c r="G746" s="128"/>
      <c r="H746" s="128"/>
      <c r="I746" s="128"/>
      <c r="J746" s="128"/>
      <c r="K746" s="128"/>
      <c r="L746" s="128"/>
      <c r="M746" s="128"/>
    </row>
    <row r="747">
      <c r="D747" s="129"/>
      <c r="E747" s="129"/>
      <c r="F747" s="42"/>
      <c r="G747" s="128"/>
      <c r="H747" s="128"/>
      <c r="I747" s="128"/>
      <c r="J747" s="128"/>
      <c r="K747" s="128"/>
      <c r="L747" s="128"/>
      <c r="M747" s="128"/>
    </row>
    <row r="748">
      <c r="D748" s="129"/>
      <c r="E748" s="129"/>
      <c r="F748" s="42"/>
      <c r="G748" s="128"/>
      <c r="H748" s="128"/>
      <c r="I748" s="128"/>
      <c r="J748" s="128"/>
      <c r="K748" s="128"/>
      <c r="L748" s="128"/>
      <c r="M748" s="128"/>
    </row>
    <row r="749">
      <c r="D749" s="129"/>
      <c r="E749" s="129"/>
      <c r="F749" s="42"/>
      <c r="G749" s="128"/>
      <c r="H749" s="128"/>
      <c r="I749" s="128"/>
      <c r="J749" s="128"/>
      <c r="K749" s="128"/>
      <c r="L749" s="128"/>
      <c r="M749" s="128"/>
    </row>
    <row r="750">
      <c r="D750" s="129"/>
      <c r="E750" s="129"/>
      <c r="F750" s="42"/>
      <c r="G750" s="128"/>
      <c r="H750" s="128"/>
      <c r="I750" s="128"/>
      <c r="J750" s="128"/>
      <c r="K750" s="128"/>
      <c r="L750" s="128"/>
      <c r="M750" s="128"/>
    </row>
    <row r="751">
      <c r="D751" s="129"/>
      <c r="E751" s="129"/>
      <c r="F751" s="42"/>
      <c r="G751" s="128"/>
      <c r="H751" s="128"/>
      <c r="I751" s="128"/>
      <c r="J751" s="128"/>
      <c r="K751" s="128"/>
      <c r="L751" s="128"/>
      <c r="M751" s="128"/>
    </row>
    <row r="752">
      <c r="D752" s="129"/>
      <c r="E752" s="129"/>
      <c r="F752" s="42"/>
      <c r="G752" s="128"/>
      <c r="H752" s="128"/>
      <c r="I752" s="128"/>
      <c r="J752" s="128"/>
      <c r="K752" s="128"/>
      <c r="L752" s="128"/>
      <c r="M752" s="128"/>
    </row>
    <row r="753">
      <c r="D753" s="129"/>
      <c r="E753" s="129"/>
      <c r="F753" s="42"/>
      <c r="G753" s="128"/>
      <c r="H753" s="128"/>
      <c r="I753" s="128"/>
      <c r="J753" s="128"/>
      <c r="K753" s="128"/>
      <c r="L753" s="128"/>
      <c r="M753" s="128"/>
    </row>
    <row r="754">
      <c r="D754" s="129"/>
      <c r="E754" s="129"/>
      <c r="F754" s="42"/>
      <c r="G754" s="128"/>
      <c r="H754" s="128"/>
      <c r="I754" s="128"/>
      <c r="J754" s="128"/>
      <c r="K754" s="128"/>
      <c r="L754" s="128"/>
      <c r="M754" s="128"/>
    </row>
    <row r="755">
      <c r="D755" s="129"/>
      <c r="E755" s="129"/>
      <c r="F755" s="42"/>
      <c r="G755" s="128"/>
      <c r="H755" s="128"/>
      <c r="I755" s="128"/>
      <c r="J755" s="128"/>
      <c r="K755" s="128"/>
      <c r="L755" s="128"/>
      <c r="M755" s="128"/>
    </row>
    <row r="756">
      <c r="D756" s="129"/>
      <c r="E756" s="129"/>
      <c r="F756" s="42"/>
      <c r="G756" s="128"/>
      <c r="H756" s="128"/>
      <c r="I756" s="128"/>
      <c r="J756" s="128"/>
      <c r="K756" s="128"/>
      <c r="L756" s="128"/>
      <c r="M756" s="128"/>
    </row>
    <row r="757">
      <c r="D757" s="129"/>
      <c r="E757" s="129"/>
      <c r="F757" s="42"/>
      <c r="G757" s="128"/>
      <c r="H757" s="128"/>
      <c r="I757" s="128"/>
      <c r="J757" s="128"/>
      <c r="K757" s="128"/>
      <c r="L757" s="128"/>
      <c r="M757" s="128"/>
    </row>
    <row r="758">
      <c r="D758" s="129"/>
      <c r="E758" s="129"/>
      <c r="F758" s="42"/>
      <c r="G758" s="128"/>
      <c r="H758" s="128"/>
      <c r="I758" s="128"/>
      <c r="J758" s="128"/>
      <c r="K758" s="128"/>
      <c r="L758" s="128"/>
      <c r="M758" s="128"/>
    </row>
    <row r="759">
      <c r="D759" s="129"/>
      <c r="E759" s="129"/>
      <c r="F759" s="42"/>
      <c r="G759" s="128"/>
      <c r="H759" s="128"/>
      <c r="I759" s="128"/>
      <c r="J759" s="128"/>
      <c r="K759" s="128"/>
      <c r="L759" s="128"/>
      <c r="M759" s="128"/>
    </row>
    <row r="760">
      <c r="D760" s="129"/>
      <c r="E760" s="129"/>
      <c r="F760" s="42"/>
      <c r="G760" s="128"/>
      <c r="H760" s="128"/>
      <c r="I760" s="128"/>
      <c r="J760" s="128"/>
      <c r="K760" s="128"/>
      <c r="L760" s="128"/>
      <c r="M760" s="128"/>
    </row>
    <row r="761">
      <c r="D761" s="129"/>
      <c r="E761" s="129"/>
      <c r="F761" s="42"/>
      <c r="G761" s="128"/>
      <c r="H761" s="128"/>
      <c r="I761" s="128"/>
      <c r="J761" s="128"/>
      <c r="K761" s="128"/>
      <c r="L761" s="128"/>
      <c r="M761" s="128"/>
    </row>
    <row r="762">
      <c r="D762" s="129"/>
      <c r="E762" s="129"/>
      <c r="F762" s="42"/>
      <c r="G762" s="128"/>
      <c r="H762" s="128"/>
      <c r="I762" s="128"/>
      <c r="J762" s="128"/>
      <c r="K762" s="128"/>
      <c r="L762" s="128"/>
      <c r="M762" s="128"/>
    </row>
    <row r="763">
      <c r="D763" s="129"/>
      <c r="E763" s="129"/>
      <c r="F763" s="42"/>
      <c r="G763" s="128"/>
      <c r="H763" s="128"/>
      <c r="I763" s="128"/>
      <c r="J763" s="128"/>
      <c r="K763" s="128"/>
      <c r="L763" s="128"/>
      <c r="M763" s="128"/>
    </row>
    <row r="764">
      <c r="D764" s="129"/>
      <c r="E764" s="129"/>
      <c r="F764" s="42"/>
      <c r="G764" s="128"/>
      <c r="H764" s="128"/>
      <c r="I764" s="128"/>
      <c r="J764" s="128"/>
      <c r="K764" s="128"/>
      <c r="L764" s="128"/>
      <c r="M764" s="128"/>
    </row>
    <row r="765">
      <c r="D765" s="129"/>
      <c r="E765" s="129"/>
      <c r="F765" s="42"/>
      <c r="G765" s="128"/>
      <c r="H765" s="128"/>
      <c r="I765" s="128"/>
      <c r="J765" s="128"/>
      <c r="K765" s="128"/>
      <c r="L765" s="128"/>
      <c r="M765" s="128"/>
    </row>
    <row r="766">
      <c r="D766" s="129"/>
      <c r="E766" s="129"/>
      <c r="F766" s="42"/>
      <c r="G766" s="128"/>
      <c r="H766" s="128"/>
      <c r="I766" s="128"/>
      <c r="J766" s="128"/>
      <c r="K766" s="128"/>
      <c r="L766" s="128"/>
      <c r="M766" s="128"/>
    </row>
    <row r="767">
      <c r="D767" s="129"/>
      <c r="E767" s="129"/>
      <c r="F767" s="42"/>
      <c r="G767" s="128"/>
      <c r="H767" s="128"/>
      <c r="I767" s="128"/>
      <c r="J767" s="128"/>
      <c r="K767" s="128"/>
      <c r="L767" s="128"/>
      <c r="M767" s="128"/>
    </row>
    <row r="768">
      <c r="D768" s="129"/>
      <c r="E768" s="129"/>
      <c r="F768" s="42"/>
      <c r="G768" s="128"/>
      <c r="H768" s="128"/>
      <c r="I768" s="128"/>
      <c r="J768" s="128"/>
      <c r="K768" s="128"/>
      <c r="L768" s="128"/>
      <c r="M768" s="128"/>
    </row>
    <row r="769">
      <c r="D769" s="129"/>
      <c r="E769" s="129"/>
      <c r="F769" s="42"/>
      <c r="G769" s="128"/>
      <c r="H769" s="128"/>
      <c r="I769" s="128"/>
      <c r="J769" s="128"/>
      <c r="K769" s="128"/>
      <c r="L769" s="128"/>
      <c r="M769" s="128"/>
    </row>
    <row r="770">
      <c r="D770" s="129"/>
      <c r="E770" s="129"/>
      <c r="F770" s="42"/>
      <c r="G770" s="128"/>
      <c r="H770" s="128"/>
      <c r="I770" s="128"/>
      <c r="J770" s="128"/>
      <c r="K770" s="128"/>
      <c r="L770" s="128"/>
      <c r="M770" s="128"/>
    </row>
    <row r="771">
      <c r="D771" s="129"/>
      <c r="E771" s="129"/>
      <c r="F771" s="42"/>
      <c r="G771" s="128"/>
      <c r="H771" s="128"/>
      <c r="I771" s="128"/>
      <c r="J771" s="128"/>
      <c r="K771" s="128"/>
      <c r="L771" s="128"/>
      <c r="M771" s="128"/>
    </row>
    <row r="772">
      <c r="D772" s="129"/>
      <c r="E772" s="129"/>
      <c r="F772" s="42"/>
      <c r="G772" s="128"/>
      <c r="H772" s="128"/>
      <c r="I772" s="128"/>
      <c r="J772" s="128"/>
      <c r="K772" s="128"/>
      <c r="L772" s="128"/>
      <c r="M772" s="128"/>
    </row>
    <row r="773">
      <c r="D773" s="129"/>
      <c r="E773" s="129"/>
      <c r="F773" s="42"/>
      <c r="G773" s="128"/>
      <c r="H773" s="128"/>
      <c r="I773" s="128"/>
      <c r="J773" s="128"/>
      <c r="K773" s="128"/>
      <c r="L773" s="128"/>
      <c r="M773" s="128"/>
    </row>
    <row r="774">
      <c r="D774" s="129"/>
      <c r="E774" s="129"/>
      <c r="F774" s="42"/>
      <c r="G774" s="128"/>
      <c r="H774" s="128"/>
      <c r="I774" s="128"/>
      <c r="J774" s="128"/>
      <c r="K774" s="128"/>
      <c r="L774" s="128"/>
      <c r="M774" s="128"/>
    </row>
    <row r="775">
      <c r="D775" s="129"/>
      <c r="E775" s="129"/>
      <c r="F775" s="42"/>
      <c r="G775" s="128"/>
      <c r="H775" s="128"/>
      <c r="I775" s="128"/>
      <c r="J775" s="128"/>
      <c r="K775" s="128"/>
      <c r="L775" s="128"/>
      <c r="M775" s="128"/>
    </row>
    <row r="776">
      <c r="D776" s="129"/>
      <c r="E776" s="129"/>
      <c r="F776" s="42"/>
      <c r="G776" s="128"/>
      <c r="H776" s="128"/>
      <c r="I776" s="128"/>
      <c r="J776" s="128"/>
      <c r="K776" s="128"/>
      <c r="L776" s="128"/>
      <c r="M776" s="128"/>
    </row>
    <row r="777">
      <c r="D777" s="129"/>
      <c r="E777" s="129"/>
      <c r="F777" s="42"/>
      <c r="G777" s="128"/>
      <c r="H777" s="128"/>
      <c r="I777" s="128"/>
      <c r="J777" s="128"/>
      <c r="K777" s="128"/>
      <c r="L777" s="128"/>
      <c r="M777" s="128"/>
    </row>
    <row r="778">
      <c r="D778" s="129"/>
      <c r="E778" s="129"/>
      <c r="F778" s="42"/>
      <c r="G778" s="128"/>
      <c r="H778" s="128"/>
      <c r="I778" s="128"/>
      <c r="J778" s="128"/>
      <c r="K778" s="128"/>
      <c r="L778" s="128"/>
      <c r="M778" s="128"/>
    </row>
    <row r="779">
      <c r="D779" s="129"/>
      <c r="E779" s="129"/>
      <c r="F779" s="42"/>
      <c r="G779" s="128"/>
      <c r="H779" s="128"/>
      <c r="I779" s="128"/>
      <c r="J779" s="128"/>
      <c r="K779" s="128"/>
      <c r="L779" s="128"/>
      <c r="M779" s="128"/>
    </row>
    <row r="780">
      <c r="D780" s="129"/>
      <c r="E780" s="129"/>
      <c r="F780" s="42"/>
      <c r="G780" s="128"/>
      <c r="H780" s="128"/>
      <c r="I780" s="128"/>
      <c r="J780" s="128"/>
      <c r="K780" s="128"/>
      <c r="L780" s="128"/>
      <c r="M780" s="128"/>
    </row>
    <row r="781">
      <c r="D781" s="129"/>
      <c r="E781" s="129"/>
      <c r="F781" s="42"/>
      <c r="G781" s="128"/>
      <c r="H781" s="128"/>
      <c r="I781" s="128"/>
      <c r="J781" s="128"/>
      <c r="K781" s="128"/>
      <c r="L781" s="128"/>
      <c r="M781" s="128"/>
    </row>
    <row r="782">
      <c r="D782" s="129"/>
      <c r="E782" s="129"/>
      <c r="F782" s="42"/>
      <c r="G782" s="128"/>
      <c r="H782" s="128"/>
      <c r="I782" s="128"/>
      <c r="J782" s="128"/>
      <c r="K782" s="128"/>
      <c r="L782" s="128"/>
      <c r="M782" s="128"/>
    </row>
    <row r="783">
      <c r="D783" s="129"/>
      <c r="E783" s="129"/>
      <c r="F783" s="42"/>
      <c r="G783" s="128"/>
      <c r="H783" s="128"/>
      <c r="I783" s="128"/>
      <c r="J783" s="128"/>
      <c r="K783" s="128"/>
      <c r="L783" s="128"/>
      <c r="M783" s="128"/>
    </row>
    <row r="784">
      <c r="D784" s="129"/>
      <c r="E784" s="129"/>
      <c r="F784" s="42"/>
      <c r="G784" s="128"/>
      <c r="H784" s="128"/>
      <c r="I784" s="128"/>
      <c r="J784" s="128"/>
      <c r="K784" s="128"/>
      <c r="L784" s="128"/>
      <c r="M784" s="128"/>
    </row>
    <row r="785">
      <c r="D785" s="129"/>
      <c r="E785" s="129"/>
      <c r="F785" s="42"/>
      <c r="G785" s="128"/>
      <c r="H785" s="128"/>
      <c r="I785" s="128"/>
      <c r="J785" s="128"/>
      <c r="K785" s="128"/>
      <c r="L785" s="128"/>
      <c r="M785" s="128"/>
    </row>
    <row r="786">
      <c r="D786" s="129"/>
      <c r="E786" s="129"/>
      <c r="F786" s="42"/>
      <c r="G786" s="128"/>
      <c r="H786" s="128"/>
      <c r="I786" s="128"/>
      <c r="J786" s="128"/>
      <c r="K786" s="128"/>
      <c r="L786" s="128"/>
      <c r="M786" s="128"/>
    </row>
    <row r="787">
      <c r="D787" s="129"/>
      <c r="E787" s="129"/>
      <c r="F787" s="42"/>
      <c r="G787" s="128"/>
      <c r="H787" s="128"/>
      <c r="I787" s="128"/>
      <c r="J787" s="128"/>
      <c r="K787" s="128"/>
      <c r="L787" s="128"/>
      <c r="M787" s="128"/>
    </row>
    <row r="788">
      <c r="D788" s="129"/>
      <c r="E788" s="129"/>
      <c r="F788" s="42"/>
      <c r="G788" s="128"/>
      <c r="H788" s="128"/>
      <c r="I788" s="128"/>
      <c r="J788" s="128"/>
      <c r="K788" s="128"/>
      <c r="L788" s="128"/>
      <c r="M788" s="128"/>
    </row>
    <row r="789">
      <c r="D789" s="129"/>
      <c r="E789" s="129"/>
      <c r="F789" s="42"/>
      <c r="G789" s="128"/>
      <c r="H789" s="128"/>
      <c r="I789" s="128"/>
      <c r="J789" s="128"/>
      <c r="K789" s="128"/>
      <c r="L789" s="128"/>
      <c r="M789" s="128"/>
    </row>
    <row r="790">
      <c r="D790" s="129"/>
      <c r="E790" s="129"/>
      <c r="F790" s="42"/>
      <c r="G790" s="128"/>
      <c r="H790" s="128"/>
      <c r="I790" s="128"/>
      <c r="J790" s="128"/>
      <c r="K790" s="128"/>
      <c r="L790" s="128"/>
      <c r="M790" s="128"/>
    </row>
    <row r="791">
      <c r="D791" s="129"/>
      <c r="E791" s="129"/>
      <c r="F791" s="42"/>
      <c r="G791" s="128"/>
      <c r="H791" s="128"/>
      <c r="I791" s="128"/>
      <c r="J791" s="128"/>
      <c r="K791" s="128"/>
      <c r="L791" s="128"/>
      <c r="M791" s="128"/>
    </row>
    <row r="792">
      <c r="D792" s="129"/>
      <c r="E792" s="129"/>
      <c r="F792" s="42"/>
      <c r="G792" s="128"/>
      <c r="H792" s="128"/>
      <c r="I792" s="128"/>
      <c r="J792" s="128"/>
      <c r="K792" s="128"/>
      <c r="L792" s="128"/>
      <c r="M792" s="128"/>
    </row>
    <row r="793">
      <c r="D793" s="129"/>
      <c r="E793" s="129"/>
      <c r="F793" s="42"/>
      <c r="G793" s="128"/>
      <c r="H793" s="128"/>
      <c r="I793" s="128"/>
      <c r="J793" s="128"/>
      <c r="K793" s="128"/>
      <c r="L793" s="128"/>
      <c r="M793" s="128"/>
    </row>
    <row r="794">
      <c r="D794" s="129"/>
      <c r="E794" s="129"/>
      <c r="F794" s="42"/>
      <c r="G794" s="128"/>
      <c r="H794" s="128"/>
      <c r="I794" s="128"/>
      <c r="J794" s="128"/>
      <c r="K794" s="128"/>
      <c r="L794" s="128"/>
      <c r="M794" s="128"/>
    </row>
    <row r="795">
      <c r="D795" s="129"/>
      <c r="E795" s="129"/>
      <c r="F795" s="42"/>
      <c r="G795" s="128"/>
      <c r="H795" s="128"/>
      <c r="I795" s="128"/>
      <c r="J795" s="128"/>
      <c r="K795" s="128"/>
      <c r="L795" s="128"/>
      <c r="M795" s="128"/>
    </row>
    <row r="796">
      <c r="D796" s="129"/>
      <c r="E796" s="129"/>
      <c r="F796" s="42"/>
      <c r="G796" s="128"/>
      <c r="H796" s="128"/>
      <c r="I796" s="128"/>
      <c r="J796" s="128"/>
      <c r="K796" s="128"/>
      <c r="L796" s="128"/>
      <c r="M796" s="128"/>
    </row>
    <row r="797">
      <c r="D797" s="129"/>
      <c r="E797" s="129"/>
      <c r="F797" s="42"/>
      <c r="G797" s="128"/>
      <c r="H797" s="128"/>
      <c r="I797" s="128"/>
      <c r="J797" s="128"/>
      <c r="K797" s="128"/>
      <c r="L797" s="128"/>
      <c r="M797" s="128"/>
    </row>
    <row r="798">
      <c r="D798" s="129"/>
      <c r="E798" s="129"/>
      <c r="F798" s="42"/>
      <c r="G798" s="128"/>
      <c r="H798" s="128"/>
      <c r="I798" s="128"/>
      <c r="J798" s="128"/>
      <c r="K798" s="128"/>
      <c r="L798" s="128"/>
      <c r="M798" s="128"/>
    </row>
    <row r="799">
      <c r="D799" s="129"/>
      <c r="E799" s="129"/>
      <c r="F799" s="42"/>
      <c r="G799" s="128"/>
      <c r="H799" s="128"/>
      <c r="I799" s="128"/>
      <c r="J799" s="128"/>
      <c r="K799" s="128"/>
      <c r="L799" s="128"/>
      <c r="M799" s="128"/>
    </row>
    <row r="800">
      <c r="D800" s="129"/>
      <c r="E800" s="129"/>
      <c r="F800" s="42"/>
      <c r="G800" s="128"/>
      <c r="H800" s="128"/>
      <c r="I800" s="128"/>
      <c r="J800" s="128"/>
      <c r="K800" s="128"/>
      <c r="L800" s="128"/>
      <c r="M800" s="128"/>
    </row>
    <row r="801">
      <c r="D801" s="129"/>
      <c r="E801" s="129"/>
      <c r="F801" s="42"/>
      <c r="G801" s="128"/>
      <c r="H801" s="128"/>
      <c r="I801" s="128"/>
      <c r="J801" s="128"/>
      <c r="K801" s="128"/>
      <c r="L801" s="128"/>
      <c r="M801" s="128"/>
    </row>
    <row r="802">
      <c r="D802" s="129"/>
      <c r="E802" s="129"/>
      <c r="F802" s="42"/>
      <c r="G802" s="128"/>
      <c r="H802" s="128"/>
      <c r="I802" s="128"/>
      <c r="J802" s="128"/>
      <c r="K802" s="128"/>
      <c r="L802" s="128"/>
      <c r="M802" s="128"/>
    </row>
    <row r="803">
      <c r="D803" s="129"/>
      <c r="E803" s="129"/>
      <c r="F803" s="42"/>
      <c r="G803" s="128"/>
      <c r="H803" s="128"/>
      <c r="I803" s="128"/>
      <c r="J803" s="128"/>
      <c r="K803" s="128"/>
      <c r="L803" s="128"/>
      <c r="M803" s="128"/>
    </row>
    <row r="804">
      <c r="D804" s="129"/>
      <c r="E804" s="129"/>
      <c r="F804" s="42"/>
      <c r="G804" s="128"/>
      <c r="H804" s="128"/>
      <c r="I804" s="128"/>
      <c r="J804" s="128"/>
      <c r="K804" s="128"/>
      <c r="L804" s="128"/>
      <c r="M804" s="128"/>
    </row>
    <row r="805">
      <c r="D805" s="129"/>
      <c r="E805" s="129"/>
      <c r="F805" s="42"/>
      <c r="G805" s="128"/>
      <c r="H805" s="128"/>
      <c r="I805" s="128"/>
      <c r="J805" s="128"/>
      <c r="K805" s="128"/>
      <c r="L805" s="128"/>
      <c r="M805" s="128"/>
    </row>
    <row r="806">
      <c r="D806" s="129"/>
      <c r="E806" s="129"/>
      <c r="F806" s="42"/>
      <c r="G806" s="128"/>
      <c r="H806" s="128"/>
      <c r="I806" s="128"/>
      <c r="J806" s="128"/>
      <c r="K806" s="128"/>
      <c r="L806" s="128"/>
      <c r="M806" s="128"/>
    </row>
    <row r="807">
      <c r="D807" s="129"/>
      <c r="E807" s="129"/>
      <c r="F807" s="42"/>
      <c r="G807" s="128"/>
      <c r="H807" s="128"/>
      <c r="I807" s="128"/>
      <c r="J807" s="128"/>
      <c r="K807" s="128"/>
      <c r="L807" s="128"/>
      <c r="M807" s="128"/>
    </row>
    <row r="808">
      <c r="D808" s="129"/>
      <c r="E808" s="129"/>
      <c r="F808" s="42"/>
      <c r="G808" s="128"/>
      <c r="H808" s="128"/>
      <c r="I808" s="128"/>
      <c r="J808" s="128"/>
      <c r="K808" s="128"/>
      <c r="L808" s="128"/>
      <c r="M808" s="128"/>
    </row>
    <row r="809">
      <c r="D809" s="129"/>
      <c r="E809" s="129"/>
      <c r="F809" s="42"/>
      <c r="G809" s="128"/>
      <c r="H809" s="128"/>
      <c r="I809" s="128"/>
      <c r="J809" s="128"/>
      <c r="K809" s="128"/>
      <c r="L809" s="128"/>
      <c r="M809" s="128"/>
    </row>
    <row r="810">
      <c r="D810" s="129"/>
      <c r="E810" s="129"/>
      <c r="F810" s="42"/>
      <c r="G810" s="128"/>
      <c r="H810" s="128"/>
      <c r="I810" s="128"/>
      <c r="J810" s="128"/>
      <c r="K810" s="128"/>
      <c r="L810" s="128"/>
      <c r="M810" s="128"/>
    </row>
    <row r="811">
      <c r="D811" s="129"/>
      <c r="E811" s="129"/>
      <c r="F811" s="42"/>
      <c r="G811" s="128"/>
      <c r="H811" s="128"/>
      <c r="I811" s="128"/>
      <c r="J811" s="128"/>
      <c r="K811" s="128"/>
      <c r="L811" s="128"/>
      <c r="M811" s="128"/>
    </row>
    <row r="812">
      <c r="D812" s="129"/>
      <c r="E812" s="129"/>
      <c r="F812" s="42"/>
      <c r="G812" s="128"/>
      <c r="H812" s="128"/>
      <c r="I812" s="128"/>
      <c r="J812" s="128"/>
      <c r="K812" s="128"/>
      <c r="L812" s="128"/>
      <c r="M812" s="128"/>
    </row>
    <row r="813">
      <c r="D813" s="129"/>
      <c r="E813" s="129"/>
      <c r="F813" s="42"/>
      <c r="G813" s="128"/>
      <c r="H813" s="128"/>
      <c r="I813" s="128"/>
      <c r="J813" s="128"/>
      <c r="K813" s="128"/>
      <c r="L813" s="128"/>
      <c r="M813" s="128"/>
    </row>
    <row r="814">
      <c r="D814" s="129"/>
      <c r="E814" s="129"/>
      <c r="F814" s="42"/>
      <c r="G814" s="128"/>
      <c r="H814" s="128"/>
      <c r="I814" s="128"/>
      <c r="J814" s="128"/>
      <c r="K814" s="128"/>
      <c r="L814" s="128"/>
      <c r="M814" s="128"/>
    </row>
    <row r="815">
      <c r="D815" s="129"/>
      <c r="E815" s="129"/>
      <c r="F815" s="42"/>
      <c r="G815" s="128"/>
      <c r="H815" s="128"/>
      <c r="I815" s="128"/>
      <c r="J815" s="128"/>
      <c r="K815" s="128"/>
      <c r="L815" s="128"/>
      <c r="M815" s="128"/>
    </row>
    <row r="816">
      <c r="D816" s="129"/>
      <c r="E816" s="129"/>
      <c r="F816" s="42"/>
      <c r="G816" s="128"/>
      <c r="H816" s="128"/>
      <c r="I816" s="128"/>
      <c r="J816" s="128"/>
      <c r="K816" s="128"/>
      <c r="L816" s="128"/>
      <c r="M816" s="128"/>
    </row>
    <row r="817">
      <c r="D817" s="129"/>
      <c r="E817" s="129"/>
      <c r="F817" s="42"/>
      <c r="G817" s="128"/>
      <c r="H817" s="128"/>
      <c r="I817" s="128"/>
      <c r="J817" s="128"/>
      <c r="K817" s="128"/>
      <c r="L817" s="128"/>
      <c r="M817" s="128"/>
    </row>
    <row r="818">
      <c r="D818" s="129"/>
      <c r="E818" s="129"/>
      <c r="F818" s="42"/>
      <c r="G818" s="128"/>
      <c r="H818" s="128"/>
      <c r="I818" s="128"/>
      <c r="J818" s="128"/>
      <c r="K818" s="128"/>
      <c r="L818" s="128"/>
      <c r="M818" s="128"/>
    </row>
    <row r="819">
      <c r="D819" s="129"/>
      <c r="E819" s="129"/>
      <c r="F819" s="42"/>
      <c r="G819" s="128"/>
      <c r="H819" s="128"/>
      <c r="I819" s="128"/>
      <c r="J819" s="128"/>
      <c r="K819" s="128"/>
      <c r="L819" s="128"/>
      <c r="M819" s="128"/>
    </row>
    <row r="820">
      <c r="D820" s="129"/>
      <c r="E820" s="129"/>
      <c r="F820" s="42"/>
      <c r="G820" s="128"/>
      <c r="H820" s="128"/>
      <c r="I820" s="128"/>
      <c r="J820" s="128"/>
      <c r="K820" s="128"/>
      <c r="L820" s="128"/>
      <c r="M820" s="128"/>
    </row>
    <row r="821">
      <c r="D821" s="129"/>
      <c r="E821" s="129"/>
      <c r="F821" s="42"/>
      <c r="G821" s="128"/>
      <c r="H821" s="128"/>
      <c r="I821" s="128"/>
      <c r="J821" s="128"/>
      <c r="K821" s="128"/>
      <c r="L821" s="128"/>
      <c r="M821" s="128"/>
    </row>
    <row r="822">
      <c r="D822" s="129"/>
      <c r="E822" s="129"/>
      <c r="F822" s="42"/>
      <c r="G822" s="128"/>
      <c r="H822" s="128"/>
      <c r="I822" s="128"/>
      <c r="J822" s="128"/>
      <c r="K822" s="128"/>
      <c r="L822" s="128"/>
      <c r="M822" s="128"/>
    </row>
    <row r="823">
      <c r="D823" s="129"/>
      <c r="E823" s="129"/>
      <c r="F823" s="42"/>
      <c r="G823" s="128"/>
      <c r="H823" s="128"/>
      <c r="I823" s="128"/>
      <c r="J823" s="128"/>
      <c r="K823" s="128"/>
      <c r="L823" s="128"/>
      <c r="M823" s="128"/>
    </row>
    <row r="824">
      <c r="D824" s="129"/>
      <c r="E824" s="129"/>
      <c r="F824" s="42"/>
      <c r="G824" s="128"/>
      <c r="H824" s="128"/>
      <c r="I824" s="128"/>
      <c r="J824" s="128"/>
      <c r="K824" s="128"/>
      <c r="L824" s="128"/>
      <c r="M824" s="128"/>
    </row>
    <row r="825">
      <c r="D825" s="129"/>
      <c r="E825" s="129"/>
      <c r="F825" s="42"/>
      <c r="G825" s="128"/>
      <c r="H825" s="128"/>
      <c r="I825" s="128"/>
      <c r="J825" s="128"/>
      <c r="K825" s="128"/>
      <c r="L825" s="128"/>
      <c r="M825" s="128"/>
    </row>
    <row r="826">
      <c r="D826" s="129"/>
      <c r="E826" s="129"/>
      <c r="F826" s="42"/>
      <c r="G826" s="128"/>
      <c r="H826" s="128"/>
      <c r="I826" s="128"/>
      <c r="J826" s="128"/>
      <c r="K826" s="128"/>
      <c r="L826" s="128"/>
      <c r="M826" s="128"/>
    </row>
    <row r="827">
      <c r="D827" s="129"/>
      <c r="E827" s="129"/>
      <c r="F827" s="42"/>
      <c r="G827" s="128"/>
      <c r="H827" s="128"/>
      <c r="I827" s="128"/>
      <c r="J827" s="128"/>
      <c r="K827" s="128"/>
      <c r="L827" s="128"/>
      <c r="M827" s="128"/>
    </row>
    <row r="828">
      <c r="D828" s="129"/>
      <c r="E828" s="129"/>
      <c r="F828" s="42"/>
      <c r="G828" s="128"/>
      <c r="H828" s="128"/>
      <c r="I828" s="128"/>
      <c r="J828" s="128"/>
      <c r="K828" s="128"/>
      <c r="L828" s="128"/>
      <c r="M828" s="128"/>
    </row>
    <row r="829">
      <c r="D829" s="129"/>
      <c r="E829" s="129"/>
      <c r="F829" s="42"/>
      <c r="G829" s="128"/>
      <c r="H829" s="128"/>
      <c r="I829" s="128"/>
      <c r="J829" s="128"/>
      <c r="K829" s="128"/>
      <c r="L829" s="128"/>
      <c r="M829" s="128"/>
    </row>
    <row r="830">
      <c r="D830" s="129"/>
      <c r="E830" s="129"/>
      <c r="F830" s="42"/>
      <c r="G830" s="128"/>
      <c r="H830" s="128"/>
      <c r="I830" s="128"/>
      <c r="J830" s="128"/>
      <c r="K830" s="128"/>
      <c r="L830" s="128"/>
      <c r="M830" s="128"/>
    </row>
    <row r="831">
      <c r="D831" s="129"/>
      <c r="E831" s="129"/>
      <c r="F831" s="42"/>
      <c r="G831" s="128"/>
      <c r="H831" s="128"/>
      <c r="I831" s="128"/>
      <c r="J831" s="128"/>
      <c r="K831" s="128"/>
      <c r="L831" s="128"/>
      <c r="M831" s="128"/>
    </row>
    <row r="832">
      <c r="D832" s="129"/>
      <c r="E832" s="129"/>
      <c r="F832" s="42"/>
      <c r="G832" s="128"/>
      <c r="H832" s="128"/>
      <c r="I832" s="128"/>
      <c r="J832" s="128"/>
      <c r="K832" s="128"/>
      <c r="L832" s="128"/>
      <c r="M832" s="128"/>
    </row>
    <row r="833">
      <c r="D833" s="129"/>
      <c r="E833" s="129"/>
      <c r="F833" s="42"/>
      <c r="G833" s="128"/>
      <c r="H833" s="128"/>
      <c r="I833" s="128"/>
      <c r="J833" s="128"/>
      <c r="K833" s="128"/>
      <c r="L833" s="128"/>
      <c r="M833" s="128"/>
    </row>
    <row r="834">
      <c r="D834" s="129"/>
      <c r="E834" s="129"/>
      <c r="F834" s="42"/>
      <c r="G834" s="128"/>
      <c r="H834" s="128"/>
      <c r="I834" s="128"/>
      <c r="J834" s="128"/>
      <c r="K834" s="128"/>
      <c r="L834" s="128"/>
      <c r="M834" s="128"/>
    </row>
    <row r="835">
      <c r="D835" s="129"/>
      <c r="E835" s="129"/>
      <c r="F835" s="42"/>
      <c r="G835" s="128"/>
      <c r="H835" s="128"/>
      <c r="I835" s="128"/>
      <c r="J835" s="128"/>
      <c r="K835" s="128"/>
      <c r="L835" s="128"/>
      <c r="M835" s="128"/>
    </row>
    <row r="836">
      <c r="D836" s="129"/>
      <c r="E836" s="129"/>
      <c r="F836" s="42"/>
      <c r="G836" s="128"/>
      <c r="H836" s="128"/>
      <c r="I836" s="128"/>
      <c r="J836" s="128"/>
      <c r="K836" s="128"/>
      <c r="L836" s="128"/>
      <c r="M836" s="128"/>
    </row>
    <row r="837">
      <c r="D837" s="129"/>
      <c r="E837" s="129"/>
      <c r="F837" s="42"/>
      <c r="G837" s="128"/>
      <c r="H837" s="128"/>
      <c r="I837" s="128"/>
      <c r="J837" s="128"/>
      <c r="K837" s="128"/>
      <c r="L837" s="128"/>
      <c r="M837" s="128"/>
    </row>
    <row r="838">
      <c r="D838" s="129"/>
      <c r="E838" s="129"/>
      <c r="F838" s="42"/>
      <c r="G838" s="128"/>
      <c r="H838" s="128"/>
      <c r="I838" s="128"/>
      <c r="J838" s="128"/>
      <c r="K838" s="128"/>
      <c r="L838" s="128"/>
      <c r="M838" s="128"/>
    </row>
    <row r="839">
      <c r="D839" s="129"/>
      <c r="E839" s="129"/>
      <c r="F839" s="42"/>
      <c r="G839" s="128"/>
      <c r="H839" s="128"/>
      <c r="I839" s="128"/>
      <c r="J839" s="128"/>
      <c r="K839" s="128"/>
      <c r="L839" s="128"/>
      <c r="M839" s="128"/>
    </row>
    <row r="840">
      <c r="D840" s="129"/>
      <c r="E840" s="129"/>
      <c r="F840" s="42"/>
      <c r="G840" s="128"/>
      <c r="H840" s="128"/>
      <c r="I840" s="128"/>
      <c r="J840" s="128"/>
      <c r="K840" s="128"/>
      <c r="L840" s="128"/>
      <c r="M840" s="128"/>
    </row>
    <row r="841">
      <c r="D841" s="129"/>
      <c r="E841" s="129"/>
      <c r="F841" s="42"/>
      <c r="G841" s="128"/>
      <c r="H841" s="128"/>
      <c r="I841" s="128"/>
      <c r="J841" s="128"/>
      <c r="K841" s="128"/>
      <c r="L841" s="128"/>
      <c r="M841" s="128"/>
    </row>
    <row r="842">
      <c r="D842" s="129"/>
      <c r="E842" s="129"/>
      <c r="F842" s="42"/>
      <c r="G842" s="128"/>
      <c r="H842" s="128"/>
      <c r="I842" s="128"/>
      <c r="J842" s="128"/>
      <c r="K842" s="128"/>
      <c r="L842" s="128"/>
      <c r="M842" s="128"/>
    </row>
    <row r="843">
      <c r="D843" s="129"/>
      <c r="E843" s="129"/>
      <c r="F843" s="42"/>
      <c r="G843" s="128"/>
      <c r="H843" s="128"/>
      <c r="I843" s="128"/>
      <c r="J843" s="128"/>
      <c r="K843" s="128"/>
      <c r="L843" s="128"/>
      <c r="M843" s="128"/>
    </row>
    <row r="844">
      <c r="D844" s="129"/>
      <c r="E844" s="129"/>
      <c r="F844" s="42"/>
      <c r="G844" s="128"/>
      <c r="H844" s="128"/>
      <c r="I844" s="128"/>
      <c r="J844" s="128"/>
      <c r="K844" s="128"/>
      <c r="L844" s="128"/>
      <c r="M844" s="128"/>
    </row>
    <row r="845">
      <c r="D845" s="129"/>
      <c r="E845" s="129"/>
      <c r="F845" s="42"/>
      <c r="G845" s="128"/>
      <c r="H845" s="128"/>
      <c r="I845" s="128"/>
      <c r="J845" s="128"/>
      <c r="K845" s="128"/>
      <c r="L845" s="128"/>
      <c r="M845" s="128"/>
    </row>
    <row r="846">
      <c r="D846" s="129"/>
      <c r="E846" s="129"/>
      <c r="F846" s="42"/>
      <c r="G846" s="128"/>
      <c r="H846" s="128"/>
      <c r="I846" s="128"/>
      <c r="J846" s="128"/>
      <c r="K846" s="128"/>
      <c r="L846" s="128"/>
      <c r="M846" s="128"/>
    </row>
    <row r="847">
      <c r="D847" s="129"/>
      <c r="E847" s="129"/>
      <c r="F847" s="42"/>
      <c r="G847" s="128"/>
      <c r="H847" s="128"/>
      <c r="I847" s="128"/>
      <c r="J847" s="128"/>
      <c r="K847" s="128"/>
      <c r="L847" s="128"/>
      <c r="M847" s="128"/>
    </row>
    <row r="848">
      <c r="D848" s="129"/>
      <c r="E848" s="129"/>
      <c r="F848" s="42"/>
      <c r="G848" s="128"/>
      <c r="H848" s="128"/>
      <c r="I848" s="128"/>
      <c r="J848" s="128"/>
      <c r="K848" s="128"/>
      <c r="L848" s="128"/>
      <c r="M848" s="128"/>
    </row>
    <row r="849">
      <c r="D849" s="129"/>
      <c r="E849" s="129"/>
      <c r="F849" s="42"/>
      <c r="G849" s="128"/>
      <c r="H849" s="128"/>
      <c r="I849" s="128"/>
      <c r="J849" s="128"/>
      <c r="K849" s="128"/>
      <c r="L849" s="128"/>
      <c r="M849" s="128"/>
    </row>
    <row r="850">
      <c r="D850" s="129"/>
      <c r="E850" s="129"/>
      <c r="F850" s="42"/>
      <c r="G850" s="128"/>
      <c r="H850" s="128"/>
      <c r="I850" s="128"/>
      <c r="J850" s="128"/>
      <c r="K850" s="128"/>
      <c r="L850" s="128"/>
      <c r="M850" s="128"/>
    </row>
    <row r="851">
      <c r="D851" s="129"/>
      <c r="E851" s="129"/>
      <c r="F851" s="42"/>
      <c r="G851" s="128"/>
      <c r="H851" s="128"/>
      <c r="I851" s="128"/>
      <c r="J851" s="128"/>
      <c r="K851" s="128"/>
      <c r="L851" s="128"/>
      <c r="M851" s="128"/>
    </row>
    <row r="852">
      <c r="D852" s="129"/>
      <c r="E852" s="129"/>
      <c r="F852" s="42"/>
      <c r="G852" s="128"/>
      <c r="H852" s="128"/>
      <c r="I852" s="128"/>
      <c r="J852" s="128"/>
      <c r="K852" s="128"/>
      <c r="L852" s="128"/>
      <c r="M852" s="128"/>
    </row>
    <row r="853">
      <c r="D853" s="129"/>
      <c r="E853" s="129"/>
      <c r="F853" s="42"/>
      <c r="G853" s="128"/>
      <c r="H853" s="128"/>
      <c r="I853" s="128"/>
      <c r="J853" s="128"/>
      <c r="K853" s="128"/>
      <c r="L853" s="128"/>
      <c r="M853" s="128"/>
    </row>
    <row r="854">
      <c r="D854" s="129"/>
      <c r="E854" s="129"/>
      <c r="F854" s="42"/>
      <c r="G854" s="128"/>
      <c r="H854" s="128"/>
      <c r="I854" s="128"/>
      <c r="J854" s="128"/>
      <c r="K854" s="128"/>
      <c r="L854" s="128"/>
      <c r="M854" s="128"/>
    </row>
    <row r="855">
      <c r="D855" s="129"/>
      <c r="E855" s="129"/>
      <c r="F855" s="42"/>
      <c r="G855" s="128"/>
      <c r="H855" s="128"/>
      <c r="I855" s="128"/>
      <c r="J855" s="128"/>
      <c r="K855" s="128"/>
      <c r="L855" s="128"/>
      <c r="M855" s="128"/>
    </row>
    <row r="856">
      <c r="D856" s="129"/>
      <c r="E856" s="129"/>
      <c r="F856" s="42"/>
      <c r="G856" s="128"/>
      <c r="H856" s="128"/>
      <c r="I856" s="128"/>
      <c r="J856" s="128"/>
      <c r="K856" s="128"/>
      <c r="L856" s="128"/>
      <c r="M856" s="128"/>
    </row>
    <row r="857">
      <c r="D857" s="129"/>
      <c r="E857" s="129"/>
      <c r="F857" s="42"/>
      <c r="G857" s="128"/>
      <c r="H857" s="128"/>
      <c r="I857" s="128"/>
      <c r="J857" s="128"/>
      <c r="K857" s="128"/>
      <c r="L857" s="128"/>
      <c r="M857" s="128"/>
    </row>
    <row r="858">
      <c r="D858" s="129"/>
      <c r="E858" s="129"/>
      <c r="F858" s="42"/>
      <c r="G858" s="128"/>
      <c r="H858" s="128"/>
      <c r="I858" s="128"/>
      <c r="J858" s="128"/>
      <c r="K858" s="128"/>
      <c r="L858" s="128"/>
      <c r="M858" s="128"/>
    </row>
    <row r="859">
      <c r="D859" s="129"/>
      <c r="E859" s="129"/>
      <c r="F859" s="42"/>
      <c r="G859" s="128"/>
      <c r="H859" s="128"/>
      <c r="I859" s="128"/>
      <c r="J859" s="128"/>
      <c r="K859" s="128"/>
      <c r="L859" s="128"/>
      <c r="M859" s="128"/>
    </row>
    <row r="860">
      <c r="D860" s="129"/>
      <c r="E860" s="129"/>
      <c r="F860" s="42"/>
      <c r="G860" s="128"/>
      <c r="H860" s="128"/>
      <c r="I860" s="128"/>
      <c r="J860" s="128"/>
      <c r="K860" s="128"/>
      <c r="L860" s="128"/>
      <c r="M860" s="128"/>
    </row>
    <row r="861">
      <c r="D861" s="129"/>
      <c r="E861" s="129"/>
      <c r="F861" s="42"/>
      <c r="G861" s="128"/>
      <c r="H861" s="128"/>
      <c r="I861" s="128"/>
      <c r="J861" s="128"/>
      <c r="K861" s="128"/>
      <c r="L861" s="128"/>
      <c r="M861" s="128"/>
    </row>
    <row r="862">
      <c r="D862" s="129"/>
      <c r="E862" s="129"/>
      <c r="F862" s="42"/>
      <c r="G862" s="128"/>
      <c r="H862" s="128"/>
      <c r="I862" s="128"/>
      <c r="J862" s="128"/>
      <c r="K862" s="128"/>
      <c r="L862" s="128"/>
      <c r="M862" s="128"/>
    </row>
    <row r="863">
      <c r="D863" s="129"/>
      <c r="E863" s="129"/>
      <c r="F863" s="42"/>
      <c r="G863" s="128"/>
      <c r="H863" s="128"/>
      <c r="I863" s="128"/>
      <c r="J863" s="128"/>
      <c r="K863" s="128"/>
      <c r="L863" s="128"/>
      <c r="M863" s="128"/>
    </row>
    <row r="864">
      <c r="D864" s="129"/>
      <c r="E864" s="129"/>
      <c r="F864" s="42"/>
      <c r="G864" s="128"/>
      <c r="H864" s="128"/>
      <c r="I864" s="128"/>
      <c r="J864" s="128"/>
      <c r="K864" s="128"/>
      <c r="L864" s="128"/>
      <c r="M864" s="128"/>
    </row>
    <row r="865">
      <c r="D865" s="129"/>
      <c r="E865" s="129"/>
      <c r="F865" s="42"/>
      <c r="G865" s="128"/>
      <c r="H865" s="128"/>
      <c r="I865" s="128"/>
      <c r="J865" s="128"/>
      <c r="K865" s="128"/>
      <c r="L865" s="128"/>
      <c r="M865" s="128"/>
    </row>
    <row r="866">
      <c r="D866" s="129"/>
      <c r="E866" s="129"/>
      <c r="F866" s="42"/>
      <c r="G866" s="128"/>
      <c r="H866" s="128"/>
      <c r="I866" s="128"/>
      <c r="J866" s="128"/>
      <c r="K866" s="128"/>
      <c r="L866" s="128"/>
      <c r="M866" s="128"/>
    </row>
    <row r="867">
      <c r="D867" s="129"/>
      <c r="E867" s="129"/>
      <c r="F867" s="42"/>
      <c r="G867" s="128"/>
      <c r="H867" s="128"/>
      <c r="I867" s="128"/>
      <c r="J867" s="128"/>
      <c r="K867" s="128"/>
      <c r="L867" s="128"/>
      <c r="M867" s="128"/>
    </row>
    <row r="868">
      <c r="D868" s="129"/>
      <c r="E868" s="129"/>
      <c r="F868" s="42"/>
      <c r="G868" s="128"/>
      <c r="H868" s="128"/>
      <c r="I868" s="128"/>
      <c r="J868" s="128"/>
      <c r="K868" s="128"/>
      <c r="L868" s="128"/>
      <c r="M868" s="128"/>
    </row>
    <row r="869">
      <c r="D869" s="129"/>
      <c r="E869" s="129"/>
      <c r="F869" s="42"/>
      <c r="G869" s="128"/>
      <c r="H869" s="128"/>
      <c r="I869" s="128"/>
      <c r="J869" s="128"/>
      <c r="K869" s="128"/>
      <c r="L869" s="128"/>
      <c r="M869" s="128"/>
    </row>
    <row r="870">
      <c r="D870" s="129"/>
      <c r="E870" s="129"/>
      <c r="F870" s="42"/>
      <c r="G870" s="128"/>
      <c r="H870" s="128"/>
      <c r="I870" s="128"/>
      <c r="J870" s="128"/>
      <c r="K870" s="128"/>
      <c r="L870" s="128"/>
      <c r="M870" s="128"/>
    </row>
    <row r="871">
      <c r="D871" s="129"/>
      <c r="E871" s="129"/>
      <c r="F871" s="42"/>
      <c r="G871" s="128"/>
      <c r="H871" s="128"/>
      <c r="I871" s="128"/>
      <c r="J871" s="128"/>
      <c r="K871" s="128"/>
      <c r="L871" s="128"/>
      <c r="M871" s="128"/>
    </row>
    <row r="872">
      <c r="D872" s="129"/>
      <c r="E872" s="129"/>
      <c r="F872" s="42"/>
      <c r="G872" s="128"/>
      <c r="H872" s="128"/>
      <c r="I872" s="128"/>
      <c r="J872" s="128"/>
      <c r="K872" s="128"/>
      <c r="L872" s="128"/>
      <c r="M872" s="128"/>
    </row>
    <row r="873">
      <c r="D873" s="129"/>
      <c r="E873" s="129"/>
      <c r="F873" s="42"/>
      <c r="G873" s="128"/>
      <c r="H873" s="128"/>
      <c r="I873" s="128"/>
      <c r="J873" s="128"/>
      <c r="K873" s="128"/>
      <c r="L873" s="128"/>
      <c r="M873" s="128"/>
    </row>
    <row r="874">
      <c r="D874" s="129"/>
      <c r="E874" s="129"/>
      <c r="F874" s="42"/>
      <c r="G874" s="128"/>
      <c r="H874" s="128"/>
      <c r="I874" s="128"/>
      <c r="J874" s="128"/>
      <c r="K874" s="128"/>
      <c r="L874" s="128"/>
      <c r="M874" s="128"/>
    </row>
    <row r="875">
      <c r="D875" s="129"/>
      <c r="E875" s="129"/>
      <c r="F875" s="42"/>
      <c r="G875" s="128"/>
      <c r="H875" s="128"/>
      <c r="I875" s="128"/>
      <c r="J875" s="128"/>
      <c r="K875" s="128"/>
      <c r="L875" s="128"/>
      <c r="M875" s="128"/>
    </row>
    <row r="876">
      <c r="D876" s="129"/>
      <c r="E876" s="129"/>
      <c r="F876" s="42"/>
      <c r="G876" s="128"/>
      <c r="H876" s="128"/>
      <c r="I876" s="128"/>
      <c r="J876" s="128"/>
      <c r="K876" s="128"/>
      <c r="L876" s="128"/>
      <c r="M876" s="128"/>
    </row>
    <row r="877">
      <c r="D877" s="129"/>
      <c r="E877" s="129"/>
      <c r="F877" s="42"/>
      <c r="G877" s="128"/>
      <c r="H877" s="128"/>
      <c r="I877" s="128"/>
      <c r="J877" s="128"/>
      <c r="K877" s="128"/>
      <c r="L877" s="128"/>
      <c r="M877" s="128"/>
    </row>
    <row r="878">
      <c r="D878" s="129"/>
      <c r="E878" s="129"/>
      <c r="F878" s="42"/>
      <c r="G878" s="128"/>
      <c r="H878" s="128"/>
      <c r="I878" s="128"/>
      <c r="J878" s="128"/>
      <c r="K878" s="128"/>
      <c r="L878" s="128"/>
      <c r="M878" s="128"/>
    </row>
    <row r="879">
      <c r="D879" s="129"/>
      <c r="E879" s="129"/>
      <c r="F879" s="42"/>
      <c r="G879" s="128"/>
      <c r="H879" s="128"/>
      <c r="I879" s="128"/>
      <c r="J879" s="128"/>
      <c r="K879" s="128"/>
      <c r="L879" s="128"/>
      <c r="M879" s="128"/>
    </row>
    <row r="880">
      <c r="D880" s="129"/>
      <c r="E880" s="129"/>
      <c r="F880" s="42"/>
      <c r="G880" s="128"/>
      <c r="H880" s="128"/>
      <c r="I880" s="128"/>
      <c r="J880" s="128"/>
      <c r="K880" s="128"/>
      <c r="L880" s="128"/>
      <c r="M880" s="128"/>
    </row>
    <row r="881">
      <c r="D881" s="129"/>
      <c r="E881" s="129"/>
      <c r="F881" s="42"/>
      <c r="G881" s="128"/>
      <c r="H881" s="128"/>
      <c r="I881" s="128"/>
      <c r="J881" s="128"/>
      <c r="K881" s="128"/>
      <c r="L881" s="128"/>
      <c r="M881" s="128"/>
    </row>
    <row r="882">
      <c r="D882" s="129"/>
      <c r="E882" s="129"/>
      <c r="F882" s="42"/>
      <c r="G882" s="128"/>
      <c r="H882" s="128"/>
      <c r="I882" s="128"/>
      <c r="J882" s="128"/>
      <c r="K882" s="128"/>
      <c r="L882" s="128"/>
      <c r="M882" s="128"/>
    </row>
    <row r="883">
      <c r="D883" s="129"/>
      <c r="E883" s="129"/>
      <c r="F883" s="42"/>
      <c r="G883" s="128"/>
      <c r="H883" s="128"/>
      <c r="I883" s="128"/>
      <c r="J883" s="128"/>
      <c r="K883" s="128"/>
      <c r="L883" s="128"/>
      <c r="M883" s="128"/>
    </row>
    <row r="884">
      <c r="D884" s="129"/>
      <c r="E884" s="129"/>
      <c r="F884" s="42"/>
      <c r="G884" s="128"/>
      <c r="H884" s="128"/>
      <c r="I884" s="128"/>
      <c r="J884" s="128"/>
      <c r="K884" s="128"/>
      <c r="L884" s="128"/>
      <c r="M884" s="128"/>
    </row>
    <row r="885">
      <c r="D885" s="129"/>
      <c r="E885" s="129"/>
      <c r="F885" s="42"/>
      <c r="G885" s="128"/>
      <c r="H885" s="128"/>
      <c r="I885" s="128"/>
      <c r="J885" s="128"/>
      <c r="K885" s="128"/>
      <c r="L885" s="128"/>
      <c r="M885" s="128"/>
    </row>
    <row r="886">
      <c r="D886" s="129"/>
      <c r="E886" s="129"/>
      <c r="F886" s="42"/>
      <c r="G886" s="128"/>
      <c r="H886" s="128"/>
      <c r="I886" s="128"/>
      <c r="J886" s="128"/>
      <c r="K886" s="128"/>
      <c r="L886" s="128"/>
      <c r="M886" s="128"/>
    </row>
    <row r="887">
      <c r="D887" s="129"/>
      <c r="E887" s="129"/>
      <c r="F887" s="42"/>
      <c r="G887" s="128"/>
      <c r="H887" s="128"/>
      <c r="I887" s="128"/>
      <c r="J887" s="128"/>
      <c r="K887" s="128"/>
      <c r="L887" s="128"/>
      <c r="M887" s="128"/>
    </row>
    <row r="888">
      <c r="D888" s="129"/>
      <c r="E888" s="129"/>
      <c r="F888" s="42"/>
      <c r="G888" s="128"/>
      <c r="H888" s="128"/>
      <c r="I888" s="128"/>
      <c r="J888" s="128"/>
      <c r="K888" s="128"/>
      <c r="L888" s="128"/>
      <c r="M888" s="128"/>
    </row>
    <row r="889">
      <c r="D889" s="129"/>
      <c r="E889" s="129"/>
      <c r="F889" s="42"/>
      <c r="G889" s="128"/>
      <c r="H889" s="128"/>
      <c r="I889" s="128"/>
      <c r="J889" s="128"/>
      <c r="K889" s="128"/>
      <c r="L889" s="128"/>
      <c r="M889" s="128"/>
    </row>
    <row r="890">
      <c r="D890" s="129"/>
      <c r="E890" s="129"/>
      <c r="F890" s="42"/>
      <c r="G890" s="128"/>
      <c r="H890" s="128"/>
      <c r="I890" s="128"/>
      <c r="J890" s="128"/>
      <c r="K890" s="128"/>
      <c r="L890" s="128"/>
      <c r="M890" s="128"/>
    </row>
    <row r="891">
      <c r="D891" s="129"/>
      <c r="E891" s="129"/>
      <c r="F891" s="42"/>
      <c r="G891" s="128"/>
      <c r="H891" s="128"/>
      <c r="I891" s="128"/>
      <c r="J891" s="128"/>
      <c r="K891" s="128"/>
      <c r="L891" s="128"/>
      <c r="M891" s="128"/>
    </row>
    <row r="892">
      <c r="D892" s="129"/>
      <c r="E892" s="129"/>
      <c r="F892" s="42"/>
      <c r="G892" s="128"/>
      <c r="H892" s="128"/>
      <c r="I892" s="128"/>
      <c r="J892" s="128"/>
      <c r="K892" s="128"/>
      <c r="L892" s="128"/>
      <c r="M892" s="128"/>
    </row>
    <row r="893">
      <c r="D893" s="129"/>
      <c r="E893" s="129"/>
      <c r="F893" s="42"/>
      <c r="G893" s="128"/>
      <c r="H893" s="128"/>
      <c r="I893" s="128"/>
      <c r="J893" s="128"/>
      <c r="K893" s="128"/>
      <c r="L893" s="128"/>
      <c r="M893" s="128"/>
    </row>
    <row r="894">
      <c r="D894" s="129"/>
      <c r="E894" s="129"/>
      <c r="F894" s="42"/>
      <c r="G894" s="128"/>
      <c r="H894" s="128"/>
      <c r="I894" s="128"/>
      <c r="J894" s="128"/>
      <c r="K894" s="128"/>
      <c r="L894" s="128"/>
      <c r="M894" s="128"/>
    </row>
    <row r="895">
      <c r="D895" s="129"/>
      <c r="E895" s="129"/>
      <c r="F895" s="42"/>
      <c r="G895" s="128"/>
      <c r="H895" s="128"/>
      <c r="I895" s="128"/>
      <c r="J895" s="128"/>
      <c r="K895" s="128"/>
      <c r="L895" s="128"/>
      <c r="M895" s="128"/>
    </row>
    <row r="896">
      <c r="D896" s="129"/>
      <c r="E896" s="129"/>
      <c r="F896" s="42"/>
      <c r="G896" s="128"/>
      <c r="H896" s="128"/>
      <c r="I896" s="128"/>
      <c r="J896" s="128"/>
      <c r="K896" s="128"/>
      <c r="L896" s="128"/>
      <c r="M896" s="128"/>
    </row>
    <row r="897">
      <c r="D897" s="129"/>
      <c r="E897" s="129"/>
      <c r="F897" s="42"/>
      <c r="G897" s="128"/>
      <c r="H897" s="128"/>
      <c r="I897" s="128"/>
      <c r="J897" s="128"/>
      <c r="K897" s="128"/>
      <c r="L897" s="128"/>
      <c r="M897" s="128"/>
    </row>
    <row r="898">
      <c r="D898" s="129"/>
      <c r="E898" s="129"/>
      <c r="F898" s="42"/>
      <c r="G898" s="128"/>
      <c r="H898" s="128"/>
      <c r="I898" s="128"/>
      <c r="J898" s="128"/>
      <c r="K898" s="128"/>
      <c r="L898" s="128"/>
      <c r="M898" s="128"/>
    </row>
    <row r="899">
      <c r="D899" s="129"/>
      <c r="E899" s="129"/>
      <c r="F899" s="42"/>
      <c r="G899" s="128"/>
      <c r="H899" s="128"/>
      <c r="I899" s="128"/>
      <c r="J899" s="128"/>
      <c r="K899" s="128"/>
      <c r="L899" s="128"/>
      <c r="M899" s="128"/>
    </row>
    <row r="900">
      <c r="D900" s="129"/>
      <c r="E900" s="129"/>
      <c r="F900" s="42"/>
      <c r="G900" s="128"/>
      <c r="H900" s="128"/>
      <c r="I900" s="128"/>
      <c r="J900" s="128"/>
      <c r="K900" s="128"/>
      <c r="L900" s="128"/>
      <c r="M900" s="128"/>
    </row>
    <row r="901">
      <c r="D901" s="129"/>
      <c r="E901" s="129"/>
      <c r="F901" s="42"/>
      <c r="G901" s="128"/>
      <c r="H901" s="128"/>
      <c r="I901" s="128"/>
      <c r="J901" s="128"/>
      <c r="K901" s="128"/>
      <c r="L901" s="128"/>
      <c r="M901" s="128"/>
    </row>
    <row r="902">
      <c r="D902" s="129"/>
      <c r="E902" s="129"/>
      <c r="F902" s="42"/>
      <c r="G902" s="128"/>
      <c r="H902" s="128"/>
      <c r="I902" s="128"/>
      <c r="J902" s="128"/>
      <c r="K902" s="128"/>
      <c r="L902" s="128"/>
      <c r="M902" s="128"/>
    </row>
    <row r="903">
      <c r="D903" s="129"/>
      <c r="E903" s="129"/>
      <c r="F903" s="42"/>
      <c r="G903" s="128"/>
      <c r="H903" s="128"/>
      <c r="I903" s="128"/>
      <c r="J903" s="128"/>
      <c r="K903" s="128"/>
      <c r="L903" s="128"/>
      <c r="M903" s="128"/>
    </row>
    <row r="904">
      <c r="D904" s="129"/>
      <c r="E904" s="129"/>
      <c r="F904" s="42"/>
      <c r="G904" s="128"/>
      <c r="H904" s="128"/>
      <c r="I904" s="128"/>
      <c r="J904" s="128"/>
      <c r="K904" s="128"/>
      <c r="L904" s="128"/>
      <c r="M904" s="128"/>
    </row>
    <row r="905">
      <c r="D905" s="129"/>
      <c r="E905" s="129"/>
      <c r="F905" s="42"/>
      <c r="G905" s="128"/>
      <c r="H905" s="128"/>
      <c r="I905" s="128"/>
      <c r="J905" s="128"/>
      <c r="K905" s="128"/>
      <c r="L905" s="128"/>
      <c r="M905" s="128"/>
    </row>
    <row r="906">
      <c r="D906" s="129"/>
      <c r="E906" s="129"/>
      <c r="F906" s="42"/>
      <c r="G906" s="128"/>
      <c r="H906" s="128"/>
      <c r="I906" s="128"/>
      <c r="J906" s="128"/>
      <c r="K906" s="128"/>
      <c r="L906" s="128"/>
      <c r="M906" s="128"/>
    </row>
    <row r="907">
      <c r="D907" s="129"/>
      <c r="E907" s="129"/>
      <c r="F907" s="42"/>
      <c r="G907" s="128"/>
      <c r="H907" s="128"/>
      <c r="I907" s="128"/>
      <c r="J907" s="128"/>
      <c r="K907" s="128"/>
      <c r="L907" s="128"/>
      <c r="M907" s="128"/>
    </row>
    <row r="908">
      <c r="D908" s="129"/>
      <c r="E908" s="129"/>
      <c r="F908" s="42"/>
      <c r="G908" s="128"/>
      <c r="H908" s="128"/>
      <c r="I908" s="128"/>
      <c r="J908" s="128"/>
      <c r="K908" s="128"/>
      <c r="L908" s="128"/>
      <c r="M908" s="128"/>
    </row>
    <row r="909">
      <c r="D909" s="129"/>
      <c r="E909" s="129"/>
      <c r="F909" s="42"/>
      <c r="G909" s="128"/>
      <c r="H909" s="128"/>
      <c r="I909" s="128"/>
      <c r="J909" s="128"/>
      <c r="K909" s="128"/>
      <c r="L909" s="128"/>
      <c r="M909" s="128"/>
    </row>
    <row r="910">
      <c r="D910" s="129"/>
      <c r="E910" s="129"/>
      <c r="F910" s="42"/>
      <c r="G910" s="128"/>
      <c r="H910" s="128"/>
      <c r="I910" s="128"/>
      <c r="J910" s="128"/>
      <c r="K910" s="128"/>
      <c r="L910" s="128"/>
      <c r="M910" s="128"/>
    </row>
    <row r="911">
      <c r="D911" s="129"/>
      <c r="E911" s="129"/>
      <c r="F911" s="42"/>
      <c r="G911" s="128"/>
      <c r="H911" s="128"/>
      <c r="I911" s="128"/>
      <c r="J911" s="128"/>
      <c r="K911" s="128"/>
      <c r="L911" s="128"/>
      <c r="M911" s="128"/>
    </row>
    <row r="912">
      <c r="D912" s="129"/>
      <c r="E912" s="129"/>
      <c r="F912" s="42"/>
      <c r="G912" s="128"/>
      <c r="H912" s="128"/>
      <c r="I912" s="128"/>
      <c r="J912" s="128"/>
      <c r="K912" s="128"/>
      <c r="L912" s="128"/>
      <c r="M912" s="128"/>
    </row>
    <row r="913">
      <c r="D913" s="129"/>
      <c r="E913" s="129"/>
      <c r="F913" s="42"/>
      <c r="G913" s="128"/>
      <c r="H913" s="128"/>
      <c r="I913" s="128"/>
      <c r="J913" s="128"/>
      <c r="K913" s="128"/>
      <c r="L913" s="128"/>
      <c r="M913" s="128"/>
    </row>
    <row r="914">
      <c r="D914" s="129"/>
      <c r="E914" s="129"/>
      <c r="F914" s="42"/>
      <c r="G914" s="128"/>
      <c r="H914" s="128"/>
      <c r="I914" s="128"/>
      <c r="J914" s="128"/>
      <c r="K914" s="128"/>
      <c r="L914" s="128"/>
      <c r="M914" s="128"/>
    </row>
    <row r="915">
      <c r="D915" s="129"/>
      <c r="E915" s="129"/>
      <c r="F915" s="42"/>
      <c r="G915" s="128"/>
      <c r="H915" s="128"/>
      <c r="I915" s="128"/>
      <c r="J915" s="128"/>
      <c r="K915" s="128"/>
      <c r="L915" s="128"/>
      <c r="M915" s="128"/>
    </row>
    <row r="916">
      <c r="D916" s="129"/>
      <c r="E916" s="129"/>
      <c r="F916" s="42"/>
      <c r="G916" s="128"/>
      <c r="H916" s="128"/>
      <c r="I916" s="128"/>
      <c r="J916" s="128"/>
      <c r="K916" s="128"/>
      <c r="L916" s="128"/>
      <c r="M916" s="128"/>
    </row>
    <row r="917">
      <c r="D917" s="129"/>
      <c r="E917" s="129"/>
      <c r="F917" s="42"/>
      <c r="G917" s="128"/>
      <c r="H917" s="128"/>
      <c r="I917" s="128"/>
      <c r="J917" s="128"/>
      <c r="K917" s="128"/>
      <c r="L917" s="128"/>
      <c r="M917" s="128"/>
    </row>
    <row r="918">
      <c r="D918" s="129"/>
      <c r="E918" s="129"/>
      <c r="F918" s="42"/>
      <c r="G918" s="128"/>
      <c r="H918" s="128"/>
      <c r="I918" s="128"/>
      <c r="J918" s="128"/>
      <c r="K918" s="128"/>
      <c r="L918" s="128"/>
      <c r="M918" s="128"/>
    </row>
    <row r="919">
      <c r="D919" s="129"/>
      <c r="E919" s="129"/>
      <c r="F919" s="42"/>
      <c r="G919" s="128"/>
      <c r="H919" s="128"/>
      <c r="I919" s="128"/>
      <c r="J919" s="128"/>
      <c r="K919" s="128"/>
      <c r="L919" s="128"/>
      <c r="M919" s="128"/>
    </row>
    <row r="920">
      <c r="D920" s="129"/>
      <c r="E920" s="129"/>
      <c r="F920" s="42"/>
      <c r="G920" s="128"/>
      <c r="H920" s="128"/>
      <c r="I920" s="128"/>
      <c r="J920" s="128"/>
      <c r="K920" s="128"/>
      <c r="L920" s="128"/>
      <c r="M920" s="128"/>
    </row>
    <row r="921">
      <c r="D921" s="129"/>
      <c r="E921" s="129"/>
      <c r="F921" s="42"/>
      <c r="G921" s="128"/>
      <c r="H921" s="128"/>
      <c r="I921" s="128"/>
      <c r="J921" s="128"/>
      <c r="K921" s="128"/>
      <c r="L921" s="128"/>
      <c r="M921" s="128"/>
    </row>
    <row r="922">
      <c r="D922" s="129"/>
      <c r="E922" s="129"/>
      <c r="F922" s="42"/>
      <c r="G922" s="128"/>
      <c r="H922" s="128"/>
      <c r="I922" s="128"/>
      <c r="J922" s="128"/>
      <c r="K922" s="128"/>
      <c r="L922" s="128"/>
      <c r="M922" s="128"/>
    </row>
    <row r="923">
      <c r="D923" s="129"/>
      <c r="E923" s="129"/>
      <c r="F923" s="42"/>
      <c r="G923" s="128"/>
      <c r="H923" s="128"/>
      <c r="I923" s="128"/>
      <c r="J923" s="128"/>
      <c r="K923" s="128"/>
      <c r="L923" s="128"/>
      <c r="M923" s="128"/>
    </row>
    <row r="924">
      <c r="D924" s="129"/>
      <c r="E924" s="129"/>
      <c r="F924" s="42"/>
      <c r="G924" s="128"/>
      <c r="H924" s="128"/>
      <c r="I924" s="128"/>
      <c r="J924" s="128"/>
      <c r="K924" s="128"/>
      <c r="L924" s="128"/>
      <c r="M924" s="128"/>
    </row>
    <row r="925">
      <c r="D925" s="129"/>
      <c r="E925" s="129"/>
      <c r="F925" s="42"/>
      <c r="G925" s="128"/>
      <c r="H925" s="128"/>
      <c r="I925" s="128"/>
      <c r="J925" s="128"/>
      <c r="K925" s="128"/>
      <c r="L925" s="128"/>
      <c r="M925" s="128"/>
    </row>
    <row r="926">
      <c r="D926" s="129"/>
      <c r="E926" s="129"/>
      <c r="F926" s="42"/>
      <c r="G926" s="128"/>
      <c r="H926" s="128"/>
      <c r="I926" s="128"/>
      <c r="J926" s="128"/>
      <c r="K926" s="128"/>
      <c r="L926" s="128"/>
      <c r="M926" s="128"/>
    </row>
    <row r="927">
      <c r="D927" s="129"/>
      <c r="E927" s="129"/>
      <c r="F927" s="42"/>
      <c r="G927" s="128"/>
      <c r="H927" s="128"/>
      <c r="I927" s="128"/>
      <c r="J927" s="128"/>
      <c r="K927" s="128"/>
      <c r="L927" s="128"/>
      <c r="M927" s="128"/>
    </row>
    <row r="928">
      <c r="D928" s="129"/>
      <c r="E928" s="129"/>
      <c r="F928" s="42"/>
      <c r="G928" s="128"/>
      <c r="H928" s="128"/>
      <c r="I928" s="128"/>
      <c r="J928" s="128"/>
      <c r="K928" s="128"/>
      <c r="L928" s="128"/>
      <c r="M928" s="128"/>
    </row>
    <row r="929">
      <c r="D929" s="129"/>
      <c r="E929" s="129"/>
      <c r="F929" s="42"/>
      <c r="G929" s="128"/>
      <c r="H929" s="128"/>
      <c r="I929" s="128"/>
      <c r="J929" s="128"/>
      <c r="K929" s="128"/>
      <c r="L929" s="128"/>
      <c r="M929" s="128"/>
    </row>
    <row r="930">
      <c r="D930" s="129"/>
      <c r="E930" s="129"/>
      <c r="F930" s="42"/>
      <c r="G930" s="128"/>
      <c r="H930" s="128"/>
      <c r="I930" s="128"/>
      <c r="J930" s="128"/>
      <c r="K930" s="128"/>
      <c r="L930" s="128"/>
      <c r="M930" s="128"/>
    </row>
    <row r="931">
      <c r="D931" s="129"/>
      <c r="E931" s="129"/>
      <c r="F931" s="42"/>
      <c r="G931" s="128"/>
      <c r="H931" s="128"/>
      <c r="I931" s="128"/>
      <c r="J931" s="128"/>
      <c r="K931" s="128"/>
      <c r="L931" s="128"/>
      <c r="M931" s="128"/>
    </row>
    <row r="932">
      <c r="D932" s="129"/>
      <c r="E932" s="129"/>
      <c r="F932" s="42"/>
      <c r="G932" s="128"/>
      <c r="H932" s="128"/>
      <c r="I932" s="128"/>
      <c r="J932" s="128"/>
      <c r="K932" s="128"/>
      <c r="L932" s="128"/>
      <c r="M932" s="128"/>
    </row>
    <row r="933">
      <c r="D933" s="129"/>
      <c r="E933" s="129"/>
      <c r="F933" s="42"/>
      <c r="G933" s="128"/>
      <c r="H933" s="128"/>
      <c r="I933" s="128"/>
      <c r="J933" s="128"/>
      <c r="K933" s="128"/>
      <c r="L933" s="128"/>
      <c r="M933" s="128"/>
    </row>
    <row r="934">
      <c r="D934" s="129"/>
      <c r="E934" s="129"/>
      <c r="F934" s="42"/>
      <c r="G934" s="128"/>
      <c r="H934" s="128"/>
      <c r="I934" s="128"/>
      <c r="J934" s="128"/>
      <c r="K934" s="128"/>
      <c r="L934" s="128"/>
      <c r="M934" s="128"/>
    </row>
    <row r="935">
      <c r="D935" s="129"/>
      <c r="E935" s="129"/>
      <c r="F935" s="42"/>
      <c r="G935" s="128"/>
      <c r="H935" s="128"/>
      <c r="I935" s="128"/>
      <c r="J935" s="128"/>
      <c r="K935" s="128"/>
      <c r="L935" s="128"/>
      <c r="M935" s="128"/>
    </row>
    <row r="936">
      <c r="D936" s="129"/>
      <c r="E936" s="129"/>
      <c r="F936" s="42"/>
      <c r="G936" s="128"/>
      <c r="H936" s="128"/>
      <c r="I936" s="128"/>
      <c r="J936" s="128"/>
      <c r="K936" s="128"/>
      <c r="L936" s="128"/>
      <c r="M936" s="128"/>
    </row>
    <row r="937">
      <c r="D937" s="129"/>
      <c r="E937" s="129"/>
      <c r="F937" s="42"/>
      <c r="G937" s="128"/>
      <c r="H937" s="128"/>
      <c r="I937" s="128"/>
      <c r="J937" s="128"/>
      <c r="K937" s="128"/>
      <c r="L937" s="128"/>
      <c r="M937" s="128"/>
    </row>
    <row r="938">
      <c r="D938" s="129"/>
      <c r="E938" s="129"/>
      <c r="F938" s="42"/>
      <c r="G938" s="128"/>
      <c r="H938" s="128"/>
      <c r="I938" s="128"/>
      <c r="J938" s="128"/>
      <c r="K938" s="128"/>
      <c r="L938" s="128"/>
      <c r="M938" s="128"/>
    </row>
    <row r="939">
      <c r="D939" s="129"/>
      <c r="E939" s="129"/>
      <c r="F939" s="42"/>
      <c r="G939" s="128"/>
      <c r="H939" s="128"/>
      <c r="I939" s="128"/>
      <c r="J939" s="128"/>
      <c r="K939" s="128"/>
      <c r="L939" s="128"/>
      <c r="M939" s="128"/>
    </row>
    <row r="940">
      <c r="D940" s="129"/>
      <c r="E940" s="129"/>
      <c r="F940" s="42"/>
      <c r="G940" s="128"/>
      <c r="H940" s="128"/>
      <c r="I940" s="128"/>
      <c r="J940" s="128"/>
      <c r="K940" s="128"/>
      <c r="L940" s="128"/>
      <c r="M940" s="128"/>
    </row>
    <row r="941">
      <c r="D941" s="129"/>
      <c r="E941" s="129"/>
      <c r="F941" s="42"/>
      <c r="G941" s="128"/>
      <c r="H941" s="128"/>
      <c r="I941" s="128"/>
      <c r="J941" s="128"/>
      <c r="K941" s="128"/>
      <c r="L941" s="128"/>
      <c r="M941" s="128"/>
    </row>
    <row r="942">
      <c r="D942" s="129"/>
      <c r="E942" s="129"/>
      <c r="F942" s="42"/>
      <c r="G942" s="128"/>
      <c r="H942" s="128"/>
      <c r="I942" s="128"/>
      <c r="J942" s="128"/>
      <c r="K942" s="128"/>
      <c r="L942" s="128"/>
      <c r="M942" s="128"/>
    </row>
    <row r="943">
      <c r="D943" s="129"/>
      <c r="E943" s="129"/>
      <c r="F943" s="42"/>
      <c r="G943" s="128"/>
      <c r="H943" s="128"/>
      <c r="I943" s="128"/>
      <c r="J943" s="128"/>
      <c r="K943" s="128"/>
      <c r="L943" s="128"/>
      <c r="M943" s="128"/>
    </row>
    <row r="944">
      <c r="D944" s="129"/>
      <c r="E944" s="129"/>
      <c r="F944" s="42"/>
      <c r="G944" s="128"/>
      <c r="H944" s="128"/>
      <c r="I944" s="128"/>
      <c r="J944" s="128"/>
      <c r="K944" s="128"/>
      <c r="L944" s="128"/>
      <c r="M944" s="128"/>
    </row>
    <row r="945">
      <c r="D945" s="129"/>
      <c r="E945" s="129"/>
      <c r="F945" s="42"/>
      <c r="G945" s="128"/>
      <c r="H945" s="128"/>
      <c r="I945" s="128"/>
      <c r="J945" s="128"/>
      <c r="K945" s="128"/>
      <c r="L945" s="128"/>
      <c r="M945" s="128"/>
    </row>
    <row r="946">
      <c r="D946" s="129"/>
      <c r="E946" s="129"/>
      <c r="F946" s="42"/>
      <c r="G946" s="128"/>
      <c r="H946" s="128"/>
      <c r="I946" s="128"/>
      <c r="J946" s="128"/>
      <c r="K946" s="128"/>
      <c r="L946" s="128"/>
      <c r="M946" s="128"/>
    </row>
    <row r="947">
      <c r="D947" s="129"/>
      <c r="E947" s="129"/>
      <c r="F947" s="42"/>
      <c r="G947" s="128"/>
      <c r="H947" s="128"/>
      <c r="I947" s="128"/>
      <c r="J947" s="128"/>
      <c r="K947" s="128"/>
      <c r="L947" s="128"/>
      <c r="M947" s="128"/>
    </row>
    <row r="948">
      <c r="D948" s="129"/>
      <c r="E948" s="129"/>
      <c r="F948" s="42"/>
      <c r="G948" s="128"/>
      <c r="H948" s="128"/>
      <c r="I948" s="128"/>
      <c r="J948" s="128"/>
      <c r="K948" s="128"/>
      <c r="L948" s="128"/>
      <c r="M948" s="128"/>
    </row>
    <row r="949">
      <c r="D949" s="129"/>
      <c r="E949" s="129"/>
      <c r="F949" s="42"/>
      <c r="G949" s="128"/>
      <c r="H949" s="128"/>
      <c r="I949" s="128"/>
      <c r="J949" s="128"/>
      <c r="K949" s="128"/>
      <c r="L949" s="128"/>
      <c r="M949" s="128"/>
    </row>
    <row r="950">
      <c r="D950" s="129"/>
      <c r="E950" s="129"/>
      <c r="F950" s="42"/>
      <c r="G950" s="128"/>
      <c r="H950" s="128"/>
      <c r="I950" s="128"/>
      <c r="J950" s="128"/>
      <c r="K950" s="128"/>
      <c r="L950" s="128"/>
      <c r="M950" s="128"/>
    </row>
    <row r="951">
      <c r="D951" s="129"/>
      <c r="E951" s="129"/>
      <c r="F951" s="42"/>
      <c r="G951" s="128"/>
      <c r="H951" s="128"/>
      <c r="I951" s="128"/>
      <c r="J951" s="128"/>
      <c r="K951" s="128"/>
      <c r="L951" s="128"/>
      <c r="M951" s="128"/>
    </row>
    <row r="952">
      <c r="D952" s="129"/>
      <c r="E952" s="129"/>
      <c r="F952" s="42"/>
      <c r="G952" s="128"/>
      <c r="H952" s="128"/>
      <c r="I952" s="128"/>
      <c r="J952" s="128"/>
      <c r="K952" s="128"/>
      <c r="L952" s="128"/>
      <c r="M952" s="128"/>
    </row>
    <row r="953">
      <c r="D953" s="129"/>
      <c r="E953" s="129"/>
      <c r="F953" s="42"/>
      <c r="G953" s="128"/>
      <c r="H953" s="128"/>
      <c r="I953" s="128"/>
      <c r="J953" s="128"/>
      <c r="K953" s="128"/>
      <c r="L953" s="128"/>
      <c r="M953" s="128"/>
    </row>
    <row r="954">
      <c r="D954" s="129"/>
      <c r="E954" s="129"/>
      <c r="F954" s="42"/>
      <c r="G954" s="128"/>
      <c r="H954" s="128"/>
      <c r="I954" s="128"/>
      <c r="J954" s="128"/>
      <c r="K954" s="128"/>
      <c r="L954" s="128"/>
      <c r="M954" s="128"/>
    </row>
    <row r="955">
      <c r="D955" s="129"/>
      <c r="E955" s="129"/>
      <c r="F955" s="42"/>
      <c r="G955" s="128"/>
      <c r="H955" s="128"/>
      <c r="I955" s="128"/>
      <c r="J955" s="128"/>
      <c r="K955" s="128"/>
      <c r="L955" s="128"/>
      <c r="M955" s="128"/>
    </row>
    <row r="956">
      <c r="D956" s="129"/>
      <c r="E956" s="129"/>
      <c r="F956" s="42"/>
      <c r="G956" s="128"/>
      <c r="H956" s="128"/>
      <c r="I956" s="128"/>
      <c r="J956" s="128"/>
      <c r="K956" s="128"/>
      <c r="L956" s="128"/>
      <c r="M956" s="128"/>
    </row>
    <row r="957">
      <c r="D957" s="129"/>
      <c r="E957" s="129"/>
      <c r="F957" s="42"/>
      <c r="G957" s="128"/>
      <c r="H957" s="128"/>
      <c r="I957" s="128"/>
      <c r="J957" s="128"/>
      <c r="K957" s="128"/>
      <c r="L957" s="128"/>
      <c r="M957" s="128"/>
    </row>
    <row r="958">
      <c r="D958" s="129"/>
      <c r="E958" s="129"/>
      <c r="F958" s="42"/>
      <c r="G958" s="128"/>
      <c r="H958" s="128"/>
      <c r="I958" s="128"/>
      <c r="J958" s="128"/>
      <c r="K958" s="128"/>
      <c r="L958" s="128"/>
      <c r="M958" s="128"/>
    </row>
    <row r="959">
      <c r="D959" s="129"/>
      <c r="E959" s="129"/>
      <c r="F959" s="42"/>
      <c r="G959" s="128"/>
      <c r="H959" s="128"/>
      <c r="I959" s="128"/>
      <c r="J959" s="128"/>
      <c r="K959" s="128"/>
      <c r="L959" s="128"/>
      <c r="M959" s="128"/>
    </row>
    <row r="960">
      <c r="D960" s="129"/>
      <c r="E960" s="129"/>
      <c r="F960" s="42"/>
      <c r="G960" s="128"/>
      <c r="H960" s="128"/>
      <c r="I960" s="128"/>
      <c r="J960" s="128"/>
      <c r="K960" s="128"/>
      <c r="L960" s="128"/>
      <c r="M960" s="128"/>
    </row>
    <row r="961">
      <c r="D961" s="129"/>
      <c r="E961" s="129"/>
      <c r="F961" s="42"/>
      <c r="G961" s="128"/>
      <c r="H961" s="128"/>
      <c r="I961" s="128"/>
      <c r="J961" s="128"/>
      <c r="K961" s="128"/>
      <c r="L961" s="128"/>
      <c r="M961" s="128"/>
    </row>
    <row r="962">
      <c r="D962" s="129"/>
      <c r="E962" s="129"/>
      <c r="F962" s="42"/>
      <c r="G962" s="128"/>
      <c r="H962" s="128"/>
      <c r="I962" s="128"/>
      <c r="J962" s="128"/>
      <c r="K962" s="128"/>
      <c r="L962" s="128"/>
      <c r="M962" s="128"/>
    </row>
    <row r="963">
      <c r="D963" s="129"/>
      <c r="E963" s="129"/>
      <c r="F963" s="42"/>
      <c r="G963" s="128"/>
      <c r="H963" s="128"/>
      <c r="I963" s="128"/>
      <c r="J963" s="128"/>
      <c r="K963" s="128"/>
      <c r="L963" s="128"/>
      <c r="M963" s="128"/>
    </row>
    <row r="964">
      <c r="D964" s="129"/>
      <c r="E964" s="129"/>
      <c r="F964" s="42"/>
      <c r="G964" s="128"/>
      <c r="H964" s="128"/>
      <c r="I964" s="128"/>
      <c r="J964" s="128"/>
      <c r="K964" s="128"/>
      <c r="L964" s="128"/>
      <c r="M964" s="128"/>
    </row>
    <row r="965">
      <c r="D965" s="129"/>
      <c r="E965" s="129"/>
      <c r="F965" s="42"/>
      <c r="G965" s="128"/>
      <c r="H965" s="128"/>
      <c r="I965" s="128"/>
      <c r="J965" s="128"/>
      <c r="K965" s="128"/>
      <c r="L965" s="128"/>
      <c r="M965" s="128"/>
    </row>
    <row r="966">
      <c r="D966" s="129"/>
      <c r="E966" s="129"/>
      <c r="F966" s="42"/>
      <c r="G966" s="128"/>
      <c r="H966" s="128"/>
      <c r="I966" s="128"/>
      <c r="J966" s="128"/>
      <c r="K966" s="128"/>
      <c r="L966" s="128"/>
      <c r="M966" s="128"/>
    </row>
    <row r="967">
      <c r="D967" s="129"/>
      <c r="E967" s="129"/>
      <c r="F967" s="42"/>
      <c r="G967" s="128"/>
      <c r="H967" s="128"/>
      <c r="I967" s="128"/>
      <c r="J967" s="128"/>
      <c r="K967" s="128"/>
      <c r="L967" s="128"/>
      <c r="M967" s="128"/>
    </row>
    <row r="968">
      <c r="D968" s="129"/>
      <c r="E968" s="129"/>
      <c r="F968" s="42"/>
      <c r="G968" s="128"/>
      <c r="H968" s="128"/>
      <c r="I968" s="128"/>
      <c r="J968" s="128"/>
      <c r="K968" s="128"/>
      <c r="L968" s="128"/>
      <c r="M968" s="128"/>
    </row>
    <row r="969">
      <c r="D969" s="129"/>
      <c r="E969" s="129"/>
      <c r="F969" s="42"/>
      <c r="G969" s="128"/>
      <c r="H969" s="128"/>
      <c r="I969" s="128"/>
      <c r="J969" s="128"/>
      <c r="K969" s="128"/>
      <c r="L969" s="128"/>
      <c r="M969" s="128"/>
    </row>
    <row r="970">
      <c r="D970" s="129"/>
      <c r="E970" s="129"/>
      <c r="F970" s="42"/>
      <c r="G970" s="128"/>
      <c r="H970" s="128"/>
      <c r="I970" s="128"/>
      <c r="J970" s="128"/>
      <c r="K970" s="128"/>
      <c r="L970" s="128"/>
      <c r="M970" s="128"/>
    </row>
    <row r="971">
      <c r="D971" s="129"/>
      <c r="E971" s="129"/>
      <c r="F971" s="42"/>
      <c r="G971" s="128"/>
      <c r="H971" s="128"/>
      <c r="I971" s="128"/>
      <c r="J971" s="128"/>
      <c r="K971" s="128"/>
      <c r="L971" s="128"/>
      <c r="M971" s="128"/>
    </row>
    <row r="972">
      <c r="D972" s="129"/>
      <c r="E972" s="129"/>
      <c r="F972" s="42"/>
      <c r="G972" s="128"/>
      <c r="H972" s="128"/>
      <c r="I972" s="128"/>
      <c r="J972" s="128"/>
      <c r="K972" s="128"/>
      <c r="L972" s="128"/>
      <c r="M972" s="128"/>
    </row>
    <row r="973">
      <c r="D973" s="129"/>
      <c r="E973" s="129"/>
      <c r="F973" s="42"/>
      <c r="G973" s="128"/>
      <c r="H973" s="128"/>
      <c r="I973" s="128"/>
      <c r="J973" s="128"/>
      <c r="K973" s="128"/>
      <c r="L973" s="128"/>
      <c r="M973" s="128"/>
    </row>
    <row r="974">
      <c r="D974" s="129"/>
      <c r="E974" s="129"/>
      <c r="F974" s="42"/>
      <c r="G974" s="128"/>
      <c r="H974" s="128"/>
      <c r="I974" s="128"/>
      <c r="J974" s="128"/>
      <c r="K974" s="128"/>
      <c r="L974" s="128"/>
      <c r="M974" s="128"/>
    </row>
    <row r="975">
      <c r="D975" s="129"/>
      <c r="E975" s="129"/>
      <c r="F975" s="42"/>
      <c r="G975" s="128"/>
      <c r="H975" s="128"/>
      <c r="I975" s="128"/>
      <c r="J975" s="128"/>
      <c r="K975" s="128"/>
      <c r="L975" s="128"/>
      <c r="M975" s="128"/>
    </row>
    <row r="976">
      <c r="D976" s="129"/>
      <c r="E976" s="129"/>
      <c r="F976" s="42"/>
      <c r="G976" s="128"/>
      <c r="H976" s="128"/>
      <c r="I976" s="128"/>
      <c r="J976" s="128"/>
      <c r="K976" s="128"/>
      <c r="L976" s="128"/>
      <c r="M976" s="128"/>
    </row>
    <row r="977">
      <c r="D977" s="129"/>
      <c r="E977" s="129"/>
      <c r="F977" s="42"/>
      <c r="G977" s="128"/>
      <c r="H977" s="128"/>
      <c r="I977" s="128"/>
      <c r="J977" s="128"/>
      <c r="K977" s="128"/>
      <c r="L977" s="128"/>
      <c r="M977" s="128"/>
    </row>
    <row r="978">
      <c r="D978" s="129"/>
      <c r="E978" s="129"/>
      <c r="F978" s="42"/>
      <c r="G978" s="128"/>
      <c r="H978" s="128"/>
      <c r="I978" s="128"/>
      <c r="J978" s="128"/>
      <c r="K978" s="128"/>
      <c r="L978" s="128"/>
      <c r="M978" s="128"/>
    </row>
    <row r="979">
      <c r="D979" s="129"/>
      <c r="E979" s="129"/>
      <c r="F979" s="42"/>
      <c r="G979" s="128"/>
      <c r="H979" s="128"/>
      <c r="I979" s="128"/>
      <c r="J979" s="128"/>
      <c r="K979" s="128"/>
      <c r="L979" s="128"/>
      <c r="M979" s="128"/>
    </row>
    <row r="980">
      <c r="D980" s="129"/>
      <c r="E980" s="129"/>
      <c r="F980" s="42"/>
      <c r="G980" s="128"/>
      <c r="H980" s="128"/>
      <c r="I980" s="128"/>
      <c r="J980" s="128"/>
      <c r="K980" s="128"/>
      <c r="L980" s="128"/>
      <c r="M980" s="128"/>
    </row>
    <row r="981">
      <c r="D981" s="129"/>
      <c r="E981" s="129"/>
      <c r="F981" s="42"/>
      <c r="G981" s="128"/>
      <c r="H981" s="128"/>
      <c r="I981" s="128"/>
      <c r="J981" s="128"/>
      <c r="K981" s="128"/>
      <c r="L981" s="128"/>
      <c r="M981" s="128"/>
    </row>
    <row r="982">
      <c r="D982" s="129"/>
      <c r="E982" s="129"/>
      <c r="F982" s="42"/>
      <c r="G982" s="128"/>
      <c r="H982" s="128"/>
      <c r="I982" s="128"/>
      <c r="J982" s="128"/>
      <c r="K982" s="128"/>
      <c r="L982" s="128"/>
      <c r="M982" s="128"/>
    </row>
    <row r="983">
      <c r="D983" s="129"/>
      <c r="E983" s="129"/>
      <c r="F983" s="42"/>
      <c r="G983" s="128"/>
      <c r="H983" s="128"/>
      <c r="I983" s="128"/>
      <c r="J983" s="128"/>
      <c r="K983" s="128"/>
      <c r="L983" s="128"/>
      <c r="M983" s="128"/>
    </row>
    <row r="984">
      <c r="D984" s="129"/>
      <c r="E984" s="129"/>
      <c r="F984" s="42"/>
      <c r="G984" s="128"/>
      <c r="H984" s="128"/>
      <c r="I984" s="128"/>
      <c r="J984" s="128"/>
      <c r="K984" s="128"/>
      <c r="L984" s="128"/>
      <c r="M984" s="128"/>
    </row>
    <row r="985">
      <c r="D985" s="129"/>
      <c r="E985" s="129"/>
      <c r="F985" s="42"/>
      <c r="G985" s="128"/>
      <c r="H985" s="128"/>
      <c r="I985" s="128"/>
      <c r="J985" s="128"/>
      <c r="K985" s="128"/>
      <c r="L985" s="128"/>
      <c r="M985" s="128"/>
    </row>
    <row r="986">
      <c r="D986" s="129"/>
      <c r="E986" s="129"/>
      <c r="F986" s="42"/>
      <c r="G986" s="128"/>
      <c r="H986" s="128"/>
      <c r="I986" s="128"/>
      <c r="J986" s="128"/>
      <c r="K986" s="128"/>
      <c r="L986" s="128"/>
      <c r="M986" s="128"/>
    </row>
    <row r="987">
      <c r="D987" s="129"/>
      <c r="E987" s="129"/>
      <c r="F987" s="42"/>
      <c r="G987" s="128"/>
      <c r="H987" s="128"/>
      <c r="I987" s="128"/>
      <c r="J987" s="128"/>
      <c r="K987" s="128"/>
      <c r="L987" s="128"/>
      <c r="M987" s="128"/>
    </row>
    <row r="988">
      <c r="D988" s="129"/>
      <c r="E988" s="129"/>
      <c r="F988" s="42"/>
      <c r="G988" s="128"/>
      <c r="H988" s="128"/>
      <c r="I988" s="128"/>
      <c r="J988" s="128"/>
      <c r="K988" s="128"/>
      <c r="L988" s="128"/>
      <c r="M988" s="128"/>
    </row>
    <row r="989">
      <c r="D989" s="129"/>
      <c r="E989" s="129"/>
      <c r="F989" s="42"/>
      <c r="G989" s="128"/>
      <c r="H989" s="128"/>
      <c r="I989" s="128"/>
      <c r="J989" s="128"/>
      <c r="K989" s="128"/>
      <c r="L989" s="128"/>
      <c r="M989" s="128"/>
    </row>
    <row r="990">
      <c r="D990" s="129"/>
      <c r="E990" s="129"/>
      <c r="F990" s="42"/>
      <c r="G990" s="128"/>
      <c r="H990" s="128"/>
      <c r="I990" s="128"/>
      <c r="J990" s="128"/>
      <c r="K990" s="128"/>
      <c r="L990" s="128"/>
      <c r="M990" s="128"/>
    </row>
    <row r="991">
      <c r="D991" s="129"/>
      <c r="E991" s="129"/>
      <c r="F991" s="42"/>
      <c r="G991" s="128"/>
      <c r="H991" s="128"/>
      <c r="I991" s="128"/>
      <c r="J991" s="128"/>
      <c r="K991" s="128"/>
      <c r="L991" s="128"/>
      <c r="M991" s="128"/>
    </row>
    <row r="992">
      <c r="D992" s="129"/>
      <c r="E992" s="129"/>
      <c r="F992" s="42"/>
      <c r="G992" s="128"/>
      <c r="H992" s="128"/>
      <c r="I992" s="128"/>
      <c r="J992" s="128"/>
      <c r="K992" s="128"/>
      <c r="L992" s="128"/>
      <c r="M992" s="128"/>
    </row>
    <row r="993">
      <c r="D993" s="129"/>
      <c r="E993" s="129"/>
      <c r="F993" s="42"/>
      <c r="G993" s="128"/>
      <c r="H993" s="128"/>
      <c r="I993" s="128"/>
      <c r="J993" s="128"/>
      <c r="K993" s="128"/>
      <c r="L993" s="128"/>
      <c r="M993" s="128"/>
    </row>
    <row r="994">
      <c r="D994" s="129"/>
      <c r="E994" s="129"/>
      <c r="F994" s="42"/>
      <c r="G994" s="128"/>
      <c r="H994" s="128"/>
      <c r="I994" s="128"/>
      <c r="J994" s="128"/>
      <c r="K994" s="128"/>
      <c r="L994" s="128"/>
      <c r="M994" s="128"/>
    </row>
    <row r="995">
      <c r="D995" s="129"/>
      <c r="E995" s="129"/>
      <c r="F995" s="42"/>
      <c r="G995" s="128"/>
      <c r="H995" s="128"/>
      <c r="I995" s="128"/>
      <c r="J995" s="128"/>
      <c r="K995" s="128"/>
      <c r="L995" s="128"/>
      <c r="M995" s="128"/>
    </row>
    <row r="996">
      <c r="D996" s="129"/>
      <c r="E996" s="129"/>
      <c r="F996" s="42"/>
      <c r="G996" s="128"/>
      <c r="H996" s="128"/>
      <c r="I996" s="128"/>
      <c r="J996" s="128"/>
      <c r="K996" s="128"/>
      <c r="L996" s="128"/>
      <c r="M996" s="128"/>
    </row>
    <row r="997">
      <c r="D997" s="129"/>
      <c r="E997" s="129"/>
      <c r="F997" s="42"/>
      <c r="G997" s="128"/>
      <c r="H997" s="128"/>
      <c r="I997" s="128"/>
      <c r="J997" s="128"/>
      <c r="K997" s="128"/>
      <c r="L997" s="128"/>
      <c r="M997" s="128"/>
    </row>
  </sheetData>
  <mergeCells count="3">
    <mergeCell ref="A2:B2"/>
    <mergeCell ref="A28:B28"/>
    <mergeCell ref="A51:B51"/>
  </mergeCells>
  <conditionalFormatting sqref="E3:H70 I3:M997">
    <cfRule type="expression" dxfId="0" priority="1">
      <formula>D3&lt;&gt;E3</formula>
    </cfRule>
  </conditionalFormatting>
  <hyperlinks>
    <hyperlink r:id="rId1" ref="C19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8.25"/>
    <col customWidth="1" min="3" max="3" width="40.75"/>
    <col customWidth="1" hidden="1" min="4" max="4" width="22.25"/>
    <col customWidth="1" hidden="1" min="5" max="9" width="30.0"/>
    <col customWidth="1" min="10" max="13" width="30.0"/>
  </cols>
  <sheetData>
    <row r="1">
      <c r="A1" s="130" t="s">
        <v>0</v>
      </c>
      <c r="B1" s="131" t="s">
        <v>1</v>
      </c>
      <c r="C1" s="132" t="s">
        <v>2</v>
      </c>
      <c r="D1" s="133" t="s">
        <v>1003</v>
      </c>
      <c r="E1" s="134" t="s">
        <v>1004</v>
      </c>
      <c r="F1" s="134" t="s">
        <v>1005</v>
      </c>
      <c r="G1" s="134" t="s">
        <v>1006</v>
      </c>
      <c r="H1" s="134" t="s">
        <v>1007</v>
      </c>
      <c r="I1" s="134" t="s">
        <v>1008</v>
      </c>
      <c r="J1" s="134" t="s">
        <v>1009</v>
      </c>
      <c r="K1" s="134" t="s">
        <v>1010</v>
      </c>
      <c r="L1" s="134" t="s">
        <v>1011</v>
      </c>
      <c r="M1" s="134" t="s">
        <v>1012</v>
      </c>
    </row>
    <row r="2">
      <c r="A2" s="4"/>
      <c r="B2" s="5"/>
      <c r="C2" s="5"/>
    </row>
    <row r="3">
      <c r="A3" s="90" t="s">
        <v>6</v>
      </c>
      <c r="B3" s="91"/>
      <c r="C3" s="71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>
      <c r="A4" s="18" t="s">
        <v>7</v>
      </c>
      <c r="B4" s="18" t="s">
        <v>7</v>
      </c>
      <c r="C4" s="12" t="s">
        <v>8</v>
      </c>
      <c r="D4" s="136" t="s">
        <v>1013</v>
      </c>
      <c r="E4" s="137" t="s">
        <v>1013</v>
      </c>
      <c r="F4" s="137" t="s">
        <v>1013</v>
      </c>
      <c r="G4" s="137" t="s">
        <v>1014</v>
      </c>
      <c r="H4" s="137" t="s">
        <v>1014</v>
      </c>
      <c r="I4" s="137" t="s">
        <v>1014</v>
      </c>
      <c r="J4" s="137" t="s">
        <v>1014</v>
      </c>
      <c r="K4" s="137" t="s">
        <v>1014</v>
      </c>
      <c r="L4" s="137" t="s">
        <v>1014</v>
      </c>
      <c r="M4" s="137" t="s">
        <v>1014</v>
      </c>
    </row>
    <row r="5">
      <c r="A5" s="18" t="s">
        <v>12</v>
      </c>
      <c r="B5" s="99" t="s">
        <v>13</v>
      </c>
      <c r="C5" s="12" t="s">
        <v>14</v>
      </c>
      <c r="D5" s="136">
        <v>2.0047500301E11</v>
      </c>
      <c r="E5" s="137" t="s">
        <v>1015</v>
      </c>
      <c r="F5" s="137" t="s">
        <v>1015</v>
      </c>
      <c r="G5" s="137" t="s">
        <v>1015</v>
      </c>
      <c r="H5" s="137" t="s">
        <v>1015</v>
      </c>
      <c r="I5" s="137" t="s">
        <v>1015</v>
      </c>
      <c r="J5" s="137" t="s">
        <v>1015</v>
      </c>
      <c r="K5" s="137" t="s">
        <v>1015</v>
      </c>
      <c r="L5" s="137" t="s">
        <v>1015</v>
      </c>
      <c r="M5" s="137" t="s">
        <v>1015</v>
      </c>
    </row>
    <row r="6">
      <c r="A6" s="18" t="s">
        <v>17</v>
      </c>
      <c r="B6" s="18" t="s">
        <v>18</v>
      </c>
      <c r="C6" s="100" t="str">
        <f>HYPERLINK("https://android-cret.corp.google.com/#fusion:id=com.google.android.gms","com.google.android.gms")</f>
        <v>com.google.android.gms</v>
      </c>
      <c r="D6" s="136" t="s">
        <v>1016</v>
      </c>
      <c r="E6" s="137" t="s">
        <v>1017</v>
      </c>
      <c r="F6" s="137" t="s">
        <v>1017</v>
      </c>
      <c r="G6" s="137" t="s">
        <v>1018</v>
      </c>
      <c r="H6" s="137" t="s">
        <v>1018</v>
      </c>
      <c r="I6" s="137" t="s">
        <v>1019</v>
      </c>
      <c r="J6" s="137" t="s">
        <v>1020</v>
      </c>
      <c r="K6" s="137" t="s">
        <v>1021</v>
      </c>
      <c r="L6" s="137" t="s">
        <v>1021</v>
      </c>
      <c r="M6" s="138" t="s">
        <v>1022</v>
      </c>
    </row>
    <row r="7">
      <c r="A7" s="18" t="s">
        <v>21</v>
      </c>
      <c r="B7" s="18" t="s">
        <v>22</v>
      </c>
      <c r="C7" s="12" t="s">
        <v>23</v>
      </c>
      <c r="D7" s="136" t="s">
        <v>1013</v>
      </c>
      <c r="E7" s="137" t="s">
        <v>1013</v>
      </c>
      <c r="F7" s="137" t="s">
        <v>1013</v>
      </c>
      <c r="G7" s="137" t="s">
        <v>1014</v>
      </c>
      <c r="H7" s="137" t="s">
        <v>1014</v>
      </c>
      <c r="I7" s="137" t="s">
        <v>1023</v>
      </c>
      <c r="J7" s="137" t="s">
        <v>1023</v>
      </c>
      <c r="K7" s="137" t="s">
        <v>1024</v>
      </c>
      <c r="L7" s="137" t="s">
        <v>1025</v>
      </c>
      <c r="M7" s="137" t="s">
        <v>1025</v>
      </c>
    </row>
    <row r="8">
      <c r="A8" s="18" t="s">
        <v>261</v>
      </c>
      <c r="B8" s="18" t="s">
        <v>262</v>
      </c>
      <c r="C8" s="12" t="s">
        <v>263</v>
      </c>
      <c r="D8" s="136" t="s">
        <v>1013</v>
      </c>
      <c r="E8" s="137" t="s">
        <v>1013</v>
      </c>
      <c r="F8" s="137" t="s">
        <v>1013</v>
      </c>
      <c r="G8" s="137" t="s">
        <v>1013</v>
      </c>
      <c r="H8" s="137" t="s">
        <v>1013</v>
      </c>
      <c r="I8" s="137" t="s">
        <v>1013</v>
      </c>
      <c r="J8" s="137" t="s">
        <v>1013</v>
      </c>
      <c r="K8" s="137" t="s">
        <v>1013</v>
      </c>
      <c r="L8" s="137" t="s">
        <v>1013</v>
      </c>
      <c r="M8" s="137" t="s">
        <v>1013</v>
      </c>
    </row>
    <row r="9">
      <c r="A9" s="18" t="s">
        <v>26</v>
      </c>
      <c r="B9" s="18" t="s">
        <v>27</v>
      </c>
      <c r="C9" s="12" t="s">
        <v>28</v>
      </c>
      <c r="D9" s="136">
        <v>100.342916144</v>
      </c>
      <c r="E9" s="137">
        <v>100.404341199</v>
      </c>
      <c r="F9" s="137">
        <v>100.404341199</v>
      </c>
      <c r="G9" s="137">
        <v>100.404341199</v>
      </c>
      <c r="H9" s="137">
        <v>100.404341199</v>
      </c>
      <c r="I9" s="137" t="s">
        <v>1026</v>
      </c>
      <c r="J9" s="137">
        <v>100.404341199</v>
      </c>
      <c r="K9" s="137">
        <v>100.404341199</v>
      </c>
      <c r="L9" s="137">
        <v>233.485296332</v>
      </c>
      <c r="M9" s="137">
        <v>233.485296332</v>
      </c>
    </row>
    <row r="10">
      <c r="A10" s="18" t="s">
        <v>31</v>
      </c>
      <c r="B10" s="18" t="s">
        <v>32</v>
      </c>
      <c r="C10" s="12" t="s">
        <v>33</v>
      </c>
      <c r="D10" s="136" t="s">
        <v>1027</v>
      </c>
      <c r="E10" s="137" t="s">
        <v>1028</v>
      </c>
      <c r="F10" s="137" t="s">
        <v>1028</v>
      </c>
      <c r="G10" s="137" t="s">
        <v>1029</v>
      </c>
      <c r="H10" s="137" t="s">
        <v>1029</v>
      </c>
      <c r="I10" s="137" t="s">
        <v>1030</v>
      </c>
      <c r="J10" s="137" t="s">
        <v>1031</v>
      </c>
      <c r="K10" s="137" t="s">
        <v>1031</v>
      </c>
      <c r="L10" s="137" t="s">
        <v>1031</v>
      </c>
      <c r="M10" s="137" t="s">
        <v>1031</v>
      </c>
    </row>
    <row r="11">
      <c r="A11" s="18" t="s">
        <v>36</v>
      </c>
      <c r="B11" s="18" t="s">
        <v>37</v>
      </c>
      <c r="C11" s="12" t="s">
        <v>38</v>
      </c>
      <c r="D11" s="136" t="s">
        <v>1013</v>
      </c>
      <c r="E11" s="137" t="s">
        <v>1013</v>
      </c>
      <c r="F11" s="137" t="s">
        <v>1013</v>
      </c>
      <c r="G11" s="137" t="s">
        <v>1013</v>
      </c>
      <c r="H11" s="137" t="s">
        <v>1013</v>
      </c>
      <c r="I11" s="137" t="s">
        <v>1013</v>
      </c>
      <c r="J11" s="137" t="s">
        <v>1013</v>
      </c>
      <c r="K11" s="137" t="s">
        <v>1013</v>
      </c>
      <c r="L11" s="137" t="s">
        <v>1013</v>
      </c>
      <c r="M11" s="137" t="s">
        <v>1013</v>
      </c>
    </row>
    <row r="12">
      <c r="A12" s="18" t="s">
        <v>39</v>
      </c>
      <c r="B12" s="18" t="s">
        <v>40</v>
      </c>
      <c r="C12" s="12" t="s">
        <v>41</v>
      </c>
      <c r="D12" s="136">
        <v>1.2</v>
      </c>
      <c r="E12" s="137">
        <v>1.2</v>
      </c>
      <c r="F12" s="137">
        <v>1.2</v>
      </c>
      <c r="G12" s="137">
        <v>1.2</v>
      </c>
      <c r="H12" s="137">
        <v>1.2</v>
      </c>
      <c r="I12" s="137" t="s">
        <v>816</v>
      </c>
      <c r="J12" s="137">
        <v>1.2</v>
      </c>
      <c r="K12" s="137">
        <v>1.2</v>
      </c>
      <c r="L12" s="137">
        <v>1.2</v>
      </c>
      <c r="M12" s="137">
        <v>1.2</v>
      </c>
    </row>
    <row r="13">
      <c r="A13" s="18" t="s">
        <v>43</v>
      </c>
      <c r="B13" s="18" t="s">
        <v>44</v>
      </c>
      <c r="C13" s="12" t="s">
        <v>45</v>
      </c>
      <c r="D13" s="136" t="s">
        <v>1032</v>
      </c>
      <c r="E13" s="137" t="s">
        <v>1032</v>
      </c>
      <c r="F13" s="137" t="s">
        <v>1032</v>
      </c>
      <c r="G13" s="137" t="s">
        <v>658</v>
      </c>
      <c r="H13" s="137" t="s">
        <v>658</v>
      </c>
      <c r="I13" s="137" t="s">
        <v>658</v>
      </c>
      <c r="J13" s="137" t="s">
        <v>658</v>
      </c>
      <c r="K13" s="137" t="s">
        <v>658</v>
      </c>
      <c r="L13" s="137" t="s">
        <v>658</v>
      </c>
      <c r="M13" s="137" t="s">
        <v>658</v>
      </c>
    </row>
    <row r="14">
      <c r="A14" s="18" t="s">
        <v>48</v>
      </c>
      <c r="B14" s="18" t="s">
        <v>49</v>
      </c>
      <c r="C14" s="12" t="s">
        <v>50</v>
      </c>
      <c r="D14" s="136" t="s">
        <v>1033</v>
      </c>
      <c r="E14" s="137" t="s">
        <v>1034</v>
      </c>
      <c r="F14" s="137" t="s">
        <v>1034</v>
      </c>
      <c r="G14" s="137" t="s">
        <v>1035</v>
      </c>
      <c r="H14" s="137" t="s">
        <v>1035</v>
      </c>
      <c r="I14" s="137" t="s">
        <v>1036</v>
      </c>
      <c r="J14" s="137" t="s">
        <v>1037</v>
      </c>
      <c r="K14" s="137" t="s">
        <v>1038</v>
      </c>
      <c r="L14" s="137" t="s">
        <v>1038</v>
      </c>
      <c r="M14" s="138" t="s">
        <v>1039</v>
      </c>
    </row>
    <row r="15">
      <c r="A15" s="18" t="s">
        <v>53</v>
      </c>
      <c r="B15" s="18" t="s">
        <v>54</v>
      </c>
      <c r="C15" s="12" t="s">
        <v>55</v>
      </c>
      <c r="D15" s="136">
        <v>231.395015923</v>
      </c>
      <c r="E15" s="137">
        <v>231.406079674</v>
      </c>
      <c r="F15" s="137">
        <v>231.406079674</v>
      </c>
      <c r="G15" s="137">
        <v>232.414357486</v>
      </c>
      <c r="H15" s="137">
        <v>232.42900466</v>
      </c>
      <c r="I15" s="137" t="s">
        <v>1040</v>
      </c>
      <c r="J15" s="137">
        <v>232.439984409</v>
      </c>
      <c r="K15" s="137">
        <v>232.439984409</v>
      </c>
      <c r="L15" s="137">
        <v>232.439984409</v>
      </c>
      <c r="M15" s="137">
        <v>232.439984409</v>
      </c>
    </row>
    <row r="16">
      <c r="A16" s="18" t="s">
        <v>58</v>
      </c>
      <c r="B16" s="18" t="s">
        <v>59</v>
      </c>
      <c r="C16" s="12" t="s">
        <v>60</v>
      </c>
      <c r="D16" s="136" t="s">
        <v>1041</v>
      </c>
      <c r="E16" s="137" t="s">
        <v>1041</v>
      </c>
      <c r="F16" s="139" t="s">
        <v>1042</v>
      </c>
      <c r="G16" s="139" t="s">
        <v>1042</v>
      </c>
      <c r="H16" s="139" t="s">
        <v>1043</v>
      </c>
      <c r="I16" s="139" t="s">
        <v>1043</v>
      </c>
      <c r="J16" s="140" t="s">
        <v>1043</v>
      </c>
      <c r="K16" s="140" t="s">
        <v>1043</v>
      </c>
      <c r="L16" s="140" t="s">
        <v>1043</v>
      </c>
      <c r="M16" s="140" t="s">
        <v>670</v>
      </c>
    </row>
    <row r="17">
      <c r="A17" s="18" t="s">
        <v>62</v>
      </c>
      <c r="B17" s="18" t="s">
        <v>63</v>
      </c>
      <c r="C17" s="100" t="str">
        <f>HYPERLINK("https://android-cret.corp.google.com/#fusion:id=com.google.android.googlequicksearchbox","com.google.android.googlequicksearchbox")</f>
        <v>com.google.android.googlequicksearchbox</v>
      </c>
      <c r="D17" s="136" t="s">
        <v>1044</v>
      </c>
      <c r="E17" s="137" t="s">
        <v>1045</v>
      </c>
      <c r="F17" s="137" t="s">
        <v>1045</v>
      </c>
      <c r="G17" s="137" t="s">
        <v>1046</v>
      </c>
      <c r="H17" s="137" t="s">
        <v>1046</v>
      </c>
      <c r="I17" s="137" t="s">
        <v>1047</v>
      </c>
      <c r="J17" s="137" t="s">
        <v>1048</v>
      </c>
      <c r="K17" s="137" t="s">
        <v>1048</v>
      </c>
      <c r="L17" s="137" t="s">
        <v>1048</v>
      </c>
      <c r="M17" s="139" t="s">
        <v>1049</v>
      </c>
    </row>
    <row r="18">
      <c r="A18" s="18" t="s">
        <v>66</v>
      </c>
      <c r="B18" s="18" t="s">
        <v>67</v>
      </c>
      <c r="C18" s="12" t="s">
        <v>68</v>
      </c>
      <c r="D18" s="136" t="s">
        <v>1050</v>
      </c>
      <c r="E18" s="137" t="s">
        <v>1050</v>
      </c>
      <c r="F18" s="137" t="s">
        <v>1050</v>
      </c>
      <c r="G18" s="137" t="s">
        <v>1050</v>
      </c>
      <c r="H18" s="137" t="s">
        <v>1051</v>
      </c>
      <c r="I18" s="137" t="s">
        <v>1051</v>
      </c>
      <c r="J18" s="137" t="s">
        <v>1051</v>
      </c>
      <c r="K18" s="137" t="s">
        <v>1051</v>
      </c>
      <c r="L18" s="137" t="s">
        <v>1051</v>
      </c>
      <c r="M18" s="137" t="s">
        <v>1051</v>
      </c>
    </row>
    <row r="19">
      <c r="A19" s="18" t="s">
        <v>72</v>
      </c>
      <c r="B19" s="18" t="s">
        <v>73</v>
      </c>
      <c r="C19" s="100" t="s">
        <v>74</v>
      </c>
      <c r="D19" s="136" t="s">
        <v>1052</v>
      </c>
      <c r="E19" s="137" t="s">
        <v>1053</v>
      </c>
      <c r="F19" s="137" t="s">
        <v>1053</v>
      </c>
      <c r="G19" s="137" t="s">
        <v>1054</v>
      </c>
      <c r="H19" s="137" t="s">
        <v>1054</v>
      </c>
      <c r="I19" s="137" t="s">
        <v>1055</v>
      </c>
      <c r="J19" s="137" t="s">
        <v>1056</v>
      </c>
      <c r="K19" s="137" t="s">
        <v>1057</v>
      </c>
      <c r="L19" s="137" t="s">
        <v>1057</v>
      </c>
      <c r="M19" s="138" t="s">
        <v>844</v>
      </c>
    </row>
    <row r="20">
      <c r="A20" s="33" t="s">
        <v>317</v>
      </c>
      <c r="B20" s="33" t="s">
        <v>318</v>
      </c>
      <c r="C20" s="100" t="str">
        <f>HYPERLINK("https://android-cret.corp.google.com/#fusion:id=com.google.android.ims","com.google.android.ims")</f>
        <v>com.google.android.ims</v>
      </c>
      <c r="D20" s="136" t="s">
        <v>1058</v>
      </c>
      <c r="E20" s="137" t="s">
        <v>1058</v>
      </c>
      <c r="F20" s="137" t="s">
        <v>1058</v>
      </c>
      <c r="G20" s="137" t="s">
        <v>853</v>
      </c>
      <c r="H20" s="137" t="s">
        <v>853</v>
      </c>
      <c r="I20" s="137" t="s">
        <v>1059</v>
      </c>
      <c r="J20" s="137" t="s">
        <v>1060</v>
      </c>
      <c r="K20" s="137" t="s">
        <v>1061</v>
      </c>
      <c r="L20" s="137" t="s">
        <v>1061</v>
      </c>
      <c r="M20" s="141" t="s">
        <v>1062</v>
      </c>
    </row>
    <row r="21">
      <c r="A21" s="33" t="s">
        <v>97</v>
      </c>
      <c r="B21" s="33" t="s">
        <v>98</v>
      </c>
      <c r="C21" s="100" t="str">
        <f>HYPERLINK("https://android-cret.corp.google.com/#fusion:id=com.google.android.dialer","com.google.android.dialer")</f>
        <v>com.google.android.dialer</v>
      </c>
      <c r="D21" s="136" t="s">
        <v>1063</v>
      </c>
      <c r="E21" s="137" t="s">
        <v>1064</v>
      </c>
      <c r="F21" s="137" t="s">
        <v>1064</v>
      </c>
      <c r="G21" s="137" t="s">
        <v>859</v>
      </c>
      <c r="H21" s="137" t="s">
        <v>859</v>
      </c>
      <c r="I21" s="137" t="s">
        <v>1065</v>
      </c>
      <c r="J21" s="137" t="s">
        <v>1066</v>
      </c>
      <c r="K21" s="137" t="s">
        <v>1067</v>
      </c>
      <c r="L21" s="137" t="s">
        <v>1067</v>
      </c>
      <c r="M21" s="142" t="s">
        <v>1068</v>
      </c>
    </row>
    <row r="22">
      <c r="A22" s="33" t="s">
        <v>327</v>
      </c>
      <c r="B22" s="33" t="s">
        <v>328</v>
      </c>
      <c r="C22" s="12" t="s">
        <v>329</v>
      </c>
      <c r="D22" s="136">
        <v>1.1</v>
      </c>
      <c r="E22" s="137">
        <v>1.1</v>
      </c>
      <c r="F22" s="137">
        <v>1.1</v>
      </c>
      <c r="G22" s="137">
        <v>1.1</v>
      </c>
      <c r="H22" s="137">
        <v>1.1</v>
      </c>
      <c r="I22" s="137" t="s">
        <v>865</v>
      </c>
      <c r="J22" s="137">
        <v>1.1</v>
      </c>
      <c r="K22" s="137">
        <v>1.1</v>
      </c>
      <c r="L22" s="137">
        <v>1.1</v>
      </c>
      <c r="M22" s="137">
        <v>1.1</v>
      </c>
    </row>
    <row r="23">
      <c r="A23" s="33" t="s">
        <v>101</v>
      </c>
      <c r="B23" s="33" t="s">
        <v>102</v>
      </c>
      <c r="C23" s="100" t="str">
        <f>HYPERLINK("https://android-cret.corp.google.com/#fusion:id=com.google.android.apps.turbo","com.google.android.apps.turbo")</f>
        <v>com.google.android.apps.turbo</v>
      </c>
      <c r="D23" s="136" t="s">
        <v>1069</v>
      </c>
      <c r="E23" s="137" t="s">
        <v>1070</v>
      </c>
      <c r="F23" s="137" t="s">
        <v>1070</v>
      </c>
      <c r="G23" s="137" t="s">
        <v>1070</v>
      </c>
      <c r="H23" s="137" t="s">
        <v>1070</v>
      </c>
      <c r="I23" s="137" t="s">
        <v>1071</v>
      </c>
      <c r="J23" s="137" t="s">
        <v>866</v>
      </c>
      <c r="K23" s="137" t="s">
        <v>867</v>
      </c>
      <c r="L23" s="137" t="s">
        <v>867</v>
      </c>
      <c r="M23" s="137" t="s">
        <v>867</v>
      </c>
    </row>
    <row r="24">
      <c r="A24" s="33" t="s">
        <v>77</v>
      </c>
      <c r="B24" s="33" t="s">
        <v>78</v>
      </c>
      <c r="C24" s="108" t="s">
        <v>79</v>
      </c>
      <c r="D24" s="136"/>
      <c r="E24" s="137"/>
      <c r="F24" s="137"/>
      <c r="G24" s="137"/>
      <c r="H24" s="137"/>
      <c r="I24" s="137" t="s">
        <v>1072</v>
      </c>
      <c r="J24" s="137" t="s">
        <v>1072</v>
      </c>
      <c r="K24" s="137" t="s">
        <v>1072</v>
      </c>
      <c r="L24" s="137" t="s">
        <v>1072</v>
      </c>
      <c r="M24" s="137" t="s">
        <v>1072</v>
      </c>
    </row>
    <row r="25">
      <c r="A25" s="33" t="s">
        <v>82</v>
      </c>
      <c r="B25" s="33" t="s">
        <v>849</v>
      </c>
      <c r="C25" s="109" t="s">
        <v>84</v>
      </c>
      <c r="D25" s="136"/>
      <c r="E25" s="137"/>
      <c r="F25" s="137"/>
      <c r="G25" s="137"/>
      <c r="H25" s="137"/>
      <c r="I25" s="137" t="s">
        <v>1073</v>
      </c>
      <c r="J25" s="137" t="s">
        <v>1073</v>
      </c>
      <c r="K25" s="137" t="s">
        <v>1073</v>
      </c>
      <c r="L25" s="137" t="s">
        <v>1073</v>
      </c>
      <c r="M25" s="137" t="s">
        <v>1073</v>
      </c>
    </row>
    <row r="26">
      <c r="A26" s="12" t="s">
        <v>110</v>
      </c>
      <c r="B26" s="12" t="s">
        <v>111</v>
      </c>
      <c r="C26" s="12" t="s">
        <v>112</v>
      </c>
      <c r="D26" s="136" t="s">
        <v>1013</v>
      </c>
      <c r="E26" s="137" t="s">
        <v>1013</v>
      </c>
      <c r="F26" s="137" t="s">
        <v>1013</v>
      </c>
      <c r="G26" s="137" t="s">
        <v>1013</v>
      </c>
      <c r="H26" s="137" t="s">
        <v>1013</v>
      </c>
      <c r="I26" s="137" t="s">
        <v>1013</v>
      </c>
      <c r="J26" s="137" t="s">
        <v>1013</v>
      </c>
      <c r="K26" s="137" t="s">
        <v>1013</v>
      </c>
      <c r="L26" s="137" t="s">
        <v>1013</v>
      </c>
      <c r="M26" s="137" t="s">
        <v>1013</v>
      </c>
    </row>
    <row r="27">
      <c r="A27" s="90" t="s">
        <v>113</v>
      </c>
      <c r="B27" s="91"/>
      <c r="C27" s="71"/>
      <c r="D27" s="136"/>
      <c r="E27" s="137"/>
      <c r="F27" s="137"/>
      <c r="G27" s="137"/>
      <c r="H27" s="137"/>
      <c r="I27" s="137"/>
      <c r="J27" s="137"/>
      <c r="K27" s="137"/>
      <c r="L27" s="137"/>
      <c r="M27" s="137"/>
    </row>
    <row r="28">
      <c r="A28" s="18" t="s">
        <v>114</v>
      </c>
      <c r="B28" s="18" t="s">
        <v>114</v>
      </c>
      <c r="C28" s="100" t="str">
        <f>HYPERLINK("https://android-cret.corp.google.com/#fusion:id=com.android.chrome","com.android.chrome")</f>
        <v>com.android.chrome</v>
      </c>
      <c r="D28" s="136" t="s">
        <v>1074</v>
      </c>
      <c r="E28" s="137" t="s">
        <v>1075</v>
      </c>
      <c r="F28" s="137" t="s">
        <v>1075</v>
      </c>
      <c r="G28" s="137" t="s">
        <v>1075</v>
      </c>
      <c r="H28" s="137" t="s">
        <v>1075</v>
      </c>
      <c r="I28" s="143" t="s">
        <v>1076</v>
      </c>
      <c r="J28" s="96" t="s">
        <v>1077</v>
      </c>
      <c r="K28" s="96" t="s">
        <v>1078</v>
      </c>
      <c r="L28" s="96" t="s">
        <v>1078</v>
      </c>
      <c r="M28" s="144" t="s">
        <v>1079</v>
      </c>
    </row>
    <row r="29">
      <c r="A29" s="18" t="s">
        <v>117</v>
      </c>
      <c r="B29" s="18" t="s">
        <v>117</v>
      </c>
      <c r="C29" s="100" t="str">
        <f>HYPERLINK("https://android-cret.corp.google.com/#fusion:id=com.google.android.apps.docs","com.google.android.apps.docs")</f>
        <v>com.google.android.apps.docs</v>
      </c>
      <c r="D29" s="136" t="s">
        <v>1080</v>
      </c>
      <c r="E29" s="137" t="s">
        <v>1081</v>
      </c>
      <c r="F29" s="137" t="s">
        <v>1081</v>
      </c>
      <c r="G29" s="137" t="s">
        <v>879</v>
      </c>
      <c r="H29" s="137" t="s">
        <v>879</v>
      </c>
      <c r="I29" s="145" t="s">
        <v>1082</v>
      </c>
      <c r="J29" s="96" t="s">
        <v>1083</v>
      </c>
      <c r="K29" s="96" t="s">
        <v>1084</v>
      </c>
      <c r="L29" s="96" t="s">
        <v>1084</v>
      </c>
      <c r="M29" s="75" t="s">
        <v>1085</v>
      </c>
    </row>
    <row r="30">
      <c r="A30" s="18" t="s">
        <v>886</v>
      </c>
      <c r="B30" s="18" t="s">
        <v>886</v>
      </c>
      <c r="C30" s="100" t="str">
        <f>HYPERLINK("https://android-cret.corp.google.com/#fusion:id=com.google.android.apps.tachyon","com.google.android.apps.tachyon")</f>
        <v>com.google.android.apps.tachyon</v>
      </c>
      <c r="D30" s="136" t="s">
        <v>1086</v>
      </c>
      <c r="E30" s="137" t="s">
        <v>1087</v>
      </c>
      <c r="F30" s="137" t="s">
        <v>1087</v>
      </c>
      <c r="G30" s="137" t="s">
        <v>986</v>
      </c>
      <c r="H30" s="137" t="s">
        <v>986</v>
      </c>
      <c r="I30" s="145" t="s">
        <v>1088</v>
      </c>
      <c r="J30" s="146" t="s">
        <v>887</v>
      </c>
      <c r="K30" s="146" t="s">
        <v>1089</v>
      </c>
      <c r="L30" s="146" t="s">
        <v>1090</v>
      </c>
      <c r="M30" s="146" t="s">
        <v>1090</v>
      </c>
    </row>
    <row r="31">
      <c r="A31" s="18" t="s">
        <v>123</v>
      </c>
      <c r="B31" s="18" t="s">
        <v>124</v>
      </c>
      <c r="C31" s="100" t="str">
        <f>HYPERLINK("https://android-cret.corp.google.com/#fusion:id=com.google.android.gm","com.google.android.gm")</f>
        <v>com.google.android.gm</v>
      </c>
      <c r="D31" s="136" t="s">
        <v>1091</v>
      </c>
      <c r="E31" s="137" t="s">
        <v>1092</v>
      </c>
      <c r="F31" s="137" t="s">
        <v>1092</v>
      </c>
      <c r="G31" s="137" t="s">
        <v>1093</v>
      </c>
      <c r="H31" s="137" t="s">
        <v>1093</v>
      </c>
      <c r="I31" s="147" t="s">
        <v>1094</v>
      </c>
      <c r="J31" s="96" t="s">
        <v>894</v>
      </c>
      <c r="K31" s="96" t="s">
        <v>1095</v>
      </c>
      <c r="L31" s="96" t="s">
        <v>1095</v>
      </c>
      <c r="M31" s="148" t="s">
        <v>1096</v>
      </c>
    </row>
    <row r="32">
      <c r="A32" s="18" t="s">
        <v>127</v>
      </c>
      <c r="B32" s="18" t="s">
        <v>128</v>
      </c>
      <c r="C32" s="12" t="s">
        <v>129</v>
      </c>
      <c r="D32" s="136" t="s">
        <v>1097</v>
      </c>
      <c r="E32" s="137" t="s">
        <v>901</v>
      </c>
      <c r="F32" s="137" t="s">
        <v>901</v>
      </c>
      <c r="G32" s="137" t="s">
        <v>901</v>
      </c>
      <c r="H32" s="137" t="s">
        <v>901</v>
      </c>
      <c r="I32" s="95" t="s">
        <v>901</v>
      </c>
      <c r="J32" s="96" t="s">
        <v>901</v>
      </c>
      <c r="K32" s="96" t="s">
        <v>901</v>
      </c>
      <c r="L32" s="96" t="s">
        <v>901</v>
      </c>
      <c r="M32" s="96" t="s">
        <v>901</v>
      </c>
    </row>
    <row r="33">
      <c r="A33" s="18" t="s">
        <v>1098</v>
      </c>
      <c r="B33" s="18" t="s">
        <v>1099</v>
      </c>
      <c r="C33" s="12" t="s">
        <v>1100</v>
      </c>
      <c r="D33" s="136" t="s">
        <v>1013</v>
      </c>
      <c r="E33" s="137" t="s">
        <v>1013</v>
      </c>
      <c r="F33" s="137" t="s">
        <v>1013</v>
      </c>
      <c r="G33" s="137" t="s">
        <v>1013</v>
      </c>
      <c r="H33" s="137" t="s">
        <v>1013</v>
      </c>
      <c r="I33" s="145" t="s">
        <v>1023</v>
      </c>
      <c r="J33" s="96" t="s">
        <v>1023</v>
      </c>
      <c r="K33" s="96" t="s">
        <v>1023</v>
      </c>
      <c r="L33" s="96" t="s">
        <v>1023</v>
      </c>
      <c r="M33" s="96" t="s">
        <v>1023</v>
      </c>
    </row>
    <row r="34">
      <c r="A34" s="18" t="s">
        <v>131</v>
      </c>
      <c r="B34" s="18" t="s">
        <v>131</v>
      </c>
      <c r="C34" s="100" t="str">
        <f>HYPERLINK("https://android-cret.corp.google.com/#fusion:id=com.google.android.apps.maps","com.google.android.apps.maps")</f>
        <v>com.google.android.apps.maps</v>
      </c>
      <c r="D34" s="136" t="s">
        <v>1101</v>
      </c>
      <c r="E34" s="137" t="s">
        <v>1102</v>
      </c>
      <c r="F34" s="137" t="s">
        <v>1102</v>
      </c>
      <c r="G34" s="137" t="s">
        <v>1103</v>
      </c>
      <c r="H34" s="137" t="s">
        <v>1103</v>
      </c>
      <c r="I34" s="145" t="s">
        <v>1104</v>
      </c>
      <c r="J34" s="96" t="s">
        <v>1105</v>
      </c>
      <c r="K34" s="96" t="s">
        <v>1106</v>
      </c>
      <c r="L34" s="96" t="s">
        <v>1106</v>
      </c>
      <c r="M34" s="139" t="s">
        <v>1107</v>
      </c>
    </row>
    <row r="35">
      <c r="A35" s="18" t="s">
        <v>134</v>
      </c>
      <c r="B35" s="18" t="s">
        <v>135</v>
      </c>
      <c r="C35" s="100" t="str">
        <f>HYPERLINK("https://android-cret.corp.google.com/#fusion:id=com.google.android.apps.photos","com.google.android.apps.photos")</f>
        <v>com.google.android.apps.photos</v>
      </c>
      <c r="D35" s="136" t="s">
        <v>1108</v>
      </c>
      <c r="E35" s="137" t="s">
        <v>1109</v>
      </c>
      <c r="F35" s="137" t="s">
        <v>1109</v>
      </c>
      <c r="G35" s="137" t="s">
        <v>1110</v>
      </c>
      <c r="H35" s="137" t="s">
        <v>1110</v>
      </c>
      <c r="I35" s="145" t="s">
        <v>1111</v>
      </c>
      <c r="J35" s="96" t="s">
        <v>909</v>
      </c>
      <c r="K35" s="96" t="s">
        <v>909</v>
      </c>
      <c r="L35" s="96" t="s">
        <v>909</v>
      </c>
      <c r="M35" s="96" t="s">
        <v>909</v>
      </c>
    </row>
    <row r="36">
      <c r="A36" s="18" t="s">
        <v>138</v>
      </c>
      <c r="B36" s="18" t="s">
        <v>139</v>
      </c>
      <c r="C36" s="100" t="str">
        <f>HYPERLINK("https://android-cret.corp.google.com/#fusion:id=com.google.android.videos","com.google.android.videos")</f>
        <v>com.google.android.videos</v>
      </c>
      <c r="D36" s="136" t="s">
        <v>1112</v>
      </c>
      <c r="E36" s="137" t="s">
        <v>1112</v>
      </c>
      <c r="F36" s="137" t="s">
        <v>1112</v>
      </c>
      <c r="G36" s="137" t="s">
        <v>1113</v>
      </c>
      <c r="H36" s="137" t="s">
        <v>1113</v>
      </c>
      <c r="I36" s="95" t="s">
        <v>1113</v>
      </c>
      <c r="J36" s="96" t="s">
        <v>914</v>
      </c>
      <c r="K36" s="96" t="s">
        <v>916</v>
      </c>
      <c r="L36" s="96" t="s">
        <v>916</v>
      </c>
      <c r="M36" s="141" t="s">
        <v>1114</v>
      </c>
    </row>
    <row r="37">
      <c r="A37" s="18" t="s">
        <v>142</v>
      </c>
      <c r="B37" s="18" t="s">
        <v>143</v>
      </c>
      <c r="C37" s="100" t="str">
        <f>HYPERLINK("https://android-cret.corp.google.com/#fusion:id=com.google.android.webview","com.google.android.webview")</f>
        <v>com.google.android.webview</v>
      </c>
      <c r="D37" s="136" t="s">
        <v>1074</v>
      </c>
      <c r="E37" s="137" t="s">
        <v>1075</v>
      </c>
      <c r="F37" s="137" t="s">
        <v>1075</v>
      </c>
      <c r="G37" s="137" t="s">
        <v>1075</v>
      </c>
      <c r="H37" s="137" t="s">
        <v>1075</v>
      </c>
      <c r="I37" s="145" t="s">
        <v>1076</v>
      </c>
      <c r="J37" s="96" t="s">
        <v>1077</v>
      </c>
      <c r="K37" s="96" t="s">
        <v>1078</v>
      </c>
      <c r="L37" s="96" t="s">
        <v>1078</v>
      </c>
      <c r="M37" s="142" t="s">
        <v>1079</v>
      </c>
    </row>
    <row r="38">
      <c r="A38" s="18" t="s">
        <v>145</v>
      </c>
      <c r="B38" s="18" t="s">
        <v>145</v>
      </c>
      <c r="C38" s="100" t="str">
        <f>HYPERLINK("https://android-cret.corp.google.com/#fusion:id=com.google.android.youtube","com.google.android.youtube")</f>
        <v>com.google.android.youtube</v>
      </c>
      <c r="D38" s="136" t="s">
        <v>1115</v>
      </c>
      <c r="E38" s="137" t="s">
        <v>1116</v>
      </c>
      <c r="F38" s="137" t="s">
        <v>1116</v>
      </c>
      <c r="G38" s="137" t="s">
        <v>1117</v>
      </c>
      <c r="H38" s="137" t="s">
        <v>1117</v>
      </c>
      <c r="I38" s="145" t="s">
        <v>1118</v>
      </c>
      <c r="J38" s="96" t="s">
        <v>1118</v>
      </c>
      <c r="K38" s="96" t="s">
        <v>1118</v>
      </c>
      <c r="L38" s="96" t="s">
        <v>1118</v>
      </c>
      <c r="M38" s="96" t="s">
        <v>1118</v>
      </c>
    </row>
    <row r="39">
      <c r="A39" s="18" t="s">
        <v>148</v>
      </c>
      <c r="B39" s="18" t="s">
        <v>149</v>
      </c>
      <c r="C39" s="12" t="s">
        <v>150</v>
      </c>
      <c r="D39" s="136" t="s">
        <v>1119</v>
      </c>
      <c r="E39" s="137" t="s">
        <v>1120</v>
      </c>
      <c r="F39" s="137" t="s">
        <v>1121</v>
      </c>
      <c r="G39" s="137" t="s">
        <v>1122</v>
      </c>
      <c r="H39" s="137" t="s">
        <v>1122</v>
      </c>
      <c r="I39" s="145" t="s">
        <v>1123</v>
      </c>
      <c r="J39" s="96" t="s">
        <v>925</v>
      </c>
      <c r="K39" s="96" t="s">
        <v>925</v>
      </c>
      <c r="L39" s="96" t="s">
        <v>925</v>
      </c>
      <c r="M39" s="13" t="s">
        <v>1124</v>
      </c>
    </row>
    <row r="40">
      <c r="A40" s="18" t="s">
        <v>153</v>
      </c>
      <c r="B40" s="18" t="s">
        <v>154</v>
      </c>
      <c r="C40" s="100" t="str">
        <f>HYPERLINK("https://android-cret.corp.google.com/#fusion:id=com.google.android.tts","com.google.android.tts")</f>
        <v>com.google.android.tts</v>
      </c>
      <c r="D40" s="136" t="s">
        <v>1125</v>
      </c>
      <c r="E40" s="137" t="s">
        <v>1126</v>
      </c>
      <c r="F40" s="137" t="s">
        <v>1127</v>
      </c>
      <c r="G40" s="137" t="s">
        <v>932</v>
      </c>
      <c r="H40" s="137" t="s">
        <v>932</v>
      </c>
      <c r="I40" s="145" t="s">
        <v>1128</v>
      </c>
      <c r="J40" s="96" t="s">
        <v>1129</v>
      </c>
      <c r="K40" s="96" t="s">
        <v>1130</v>
      </c>
      <c r="L40" s="96" t="s">
        <v>1130</v>
      </c>
      <c r="M40" s="75" t="s">
        <v>935</v>
      </c>
    </row>
    <row r="41">
      <c r="A41" s="33" t="s">
        <v>157</v>
      </c>
      <c r="B41" s="33" t="s">
        <v>158</v>
      </c>
      <c r="C41" s="12" t="s">
        <v>159</v>
      </c>
      <c r="D41" s="136">
        <v>7.8</v>
      </c>
      <c r="E41" s="137">
        <v>8.1</v>
      </c>
      <c r="F41" s="137">
        <v>8.1</v>
      </c>
      <c r="G41" s="137">
        <v>8.1</v>
      </c>
      <c r="H41" s="137">
        <v>8.1</v>
      </c>
      <c r="I41" s="95" t="s">
        <v>937</v>
      </c>
      <c r="J41" s="146" t="s">
        <v>937</v>
      </c>
      <c r="K41" s="146" t="s">
        <v>937</v>
      </c>
      <c r="L41" s="146" t="s">
        <v>937</v>
      </c>
      <c r="M41" s="75" t="s">
        <v>939</v>
      </c>
    </row>
    <row r="42">
      <c r="A42" s="33" t="s">
        <v>162</v>
      </c>
      <c r="B42" s="33" t="s">
        <v>163</v>
      </c>
      <c r="C42" s="100" t="str">
        <f>HYPERLINK("https://android-cret.corp.google.com/#fusion:id=com.google.android.calendar","com.google.android.calendar")</f>
        <v>com.google.android.calendar</v>
      </c>
      <c r="D42" s="136" t="s">
        <v>1131</v>
      </c>
      <c r="E42" s="137" t="s">
        <v>1132</v>
      </c>
      <c r="F42" s="137" t="s">
        <v>1132</v>
      </c>
      <c r="G42" s="137" t="s">
        <v>1133</v>
      </c>
      <c r="H42" s="137" t="s">
        <v>1133</v>
      </c>
      <c r="I42" s="147" t="s">
        <v>1134</v>
      </c>
      <c r="J42" s="96" t="s">
        <v>1135</v>
      </c>
      <c r="K42" s="96" t="s">
        <v>1136</v>
      </c>
      <c r="L42" s="96" t="s">
        <v>1136</v>
      </c>
      <c r="M42" s="149" t="s">
        <v>1137</v>
      </c>
    </row>
    <row r="43">
      <c r="A43" s="33" t="s">
        <v>179</v>
      </c>
      <c r="B43" s="33" t="s">
        <v>180</v>
      </c>
      <c r="C43" s="100" t="str">
        <f>HYPERLINK("https://android-cret.corp.google.com/#fusion:id=com.google.android.deskclock","com.google.android.deskclock")</f>
        <v>com.google.android.deskclock</v>
      </c>
      <c r="D43" s="136">
        <v>6.4</v>
      </c>
      <c r="E43" s="137">
        <v>7.1</v>
      </c>
      <c r="F43" s="137">
        <v>7.1</v>
      </c>
      <c r="G43" s="137">
        <v>7.1</v>
      </c>
      <c r="H43" s="137">
        <v>7.1</v>
      </c>
      <c r="I43" s="95" t="s">
        <v>946</v>
      </c>
      <c r="J43" s="96" t="s">
        <v>946</v>
      </c>
      <c r="K43" s="96" t="s">
        <v>946</v>
      </c>
      <c r="L43" s="96" t="s">
        <v>946</v>
      </c>
      <c r="M43" s="75" t="s">
        <v>948</v>
      </c>
    </row>
    <row r="44">
      <c r="A44" s="33" t="s">
        <v>187</v>
      </c>
      <c r="B44" s="33" t="s">
        <v>188</v>
      </c>
      <c r="C44" s="100" t="str">
        <f>HYPERLINK("https://android-cret.corp.google.com/#fusion:id=com.google.android.contacts","com.google.android.contacts")</f>
        <v>com.google.android.contacts</v>
      </c>
      <c r="D44" s="136" t="s">
        <v>1138</v>
      </c>
      <c r="E44" s="137" t="s">
        <v>1139</v>
      </c>
      <c r="F44" s="137" t="s">
        <v>1139</v>
      </c>
      <c r="G44" s="137" t="s">
        <v>951</v>
      </c>
      <c r="H44" s="137" t="s">
        <v>951</v>
      </c>
      <c r="I44" s="145" t="s">
        <v>1140</v>
      </c>
      <c r="J44" s="96" t="s">
        <v>1141</v>
      </c>
      <c r="K44" s="96" t="s">
        <v>1142</v>
      </c>
      <c r="L44" s="96" t="s">
        <v>1142</v>
      </c>
      <c r="M44" s="75" t="s">
        <v>1143</v>
      </c>
    </row>
    <row r="45">
      <c r="A45" s="33" t="s">
        <v>191</v>
      </c>
      <c r="B45" s="33" t="s">
        <v>191</v>
      </c>
      <c r="C45" s="100" t="str">
        <f>HYPERLINK("https://android-cret.corp.google.com/#fusion:id=com.google.android.keep","com.google.android.keep")</f>
        <v>com.google.android.keep</v>
      </c>
      <c r="D45" s="136" t="s">
        <v>1144</v>
      </c>
      <c r="E45" s="137" t="s">
        <v>1144</v>
      </c>
      <c r="F45" s="137" t="s">
        <v>1144</v>
      </c>
      <c r="G45" s="137" t="s">
        <v>1145</v>
      </c>
      <c r="H45" s="137" t="s">
        <v>1145</v>
      </c>
      <c r="I45" s="145" t="s">
        <v>1146</v>
      </c>
      <c r="J45" s="96" t="s">
        <v>1147</v>
      </c>
      <c r="K45" s="96" t="s">
        <v>1148</v>
      </c>
      <c r="L45" s="96" t="s">
        <v>1148</v>
      </c>
      <c r="M45" s="75" t="s">
        <v>1149</v>
      </c>
    </row>
    <row r="46">
      <c r="A46" s="33" t="s">
        <v>194</v>
      </c>
      <c r="B46" s="33" t="s">
        <v>195</v>
      </c>
      <c r="C46" s="100" t="str">
        <f>HYPERLINK("https://android-cret.corp.google.com/#fusion:id=com.google.android.inputmethod.latin","com.google.android.inputmethod.latin")</f>
        <v>com.google.android.inputmethod.latin</v>
      </c>
      <c r="D46" s="136" t="s">
        <v>1150</v>
      </c>
      <c r="E46" s="137" t="s">
        <v>1151</v>
      </c>
      <c r="F46" s="137" t="s">
        <v>1151</v>
      </c>
      <c r="G46" s="137" t="s">
        <v>963</v>
      </c>
      <c r="H46" s="137" t="s">
        <v>963</v>
      </c>
      <c r="I46" s="95" t="s">
        <v>963</v>
      </c>
      <c r="J46" s="96" t="s">
        <v>1147</v>
      </c>
      <c r="K46" s="96" t="s">
        <v>1152</v>
      </c>
      <c r="L46" s="96" t="s">
        <v>1152</v>
      </c>
      <c r="M46" s="75" t="s">
        <v>967</v>
      </c>
    </row>
    <row r="47">
      <c r="A47" s="33" t="s">
        <v>198</v>
      </c>
      <c r="B47" s="33" t="s">
        <v>199</v>
      </c>
      <c r="C47" s="100" t="str">
        <f>HYPERLINK("https://android-cret.corp.google.com/#fusion:id=com.google.android.marvin.talkback","com.google.android.marvin.talkback")</f>
        <v>com.google.android.marvin.talkback</v>
      </c>
      <c r="D47" s="136" t="s">
        <v>969</v>
      </c>
      <c r="E47" s="137">
        <v>1.0</v>
      </c>
      <c r="F47" s="137">
        <v>1.0</v>
      </c>
      <c r="G47" s="137" t="s">
        <v>969</v>
      </c>
      <c r="H47" s="137" t="s">
        <v>969</v>
      </c>
      <c r="I47" s="95" t="s">
        <v>969</v>
      </c>
      <c r="J47" s="96" t="s">
        <v>1153</v>
      </c>
      <c r="K47" s="96" t="s">
        <v>971</v>
      </c>
      <c r="L47" s="96" t="s">
        <v>971</v>
      </c>
      <c r="M47" s="75" t="s">
        <v>1154</v>
      </c>
    </row>
    <row r="48">
      <c r="A48" s="33" t="s">
        <v>202</v>
      </c>
      <c r="B48" s="33" t="s">
        <v>202</v>
      </c>
      <c r="C48" s="100" t="str">
        <f>HYPERLINK("https://android-cret.corp.google.com/#fusion:id=com.google.android.apps.messaging","com.google.android.apps.messaging")</f>
        <v>com.google.android.apps.messaging</v>
      </c>
      <c r="D48" s="136" t="s">
        <v>1155</v>
      </c>
      <c r="E48" s="137" t="s">
        <v>1156</v>
      </c>
      <c r="F48" s="137" t="s">
        <v>1156</v>
      </c>
      <c r="G48" s="137" t="s">
        <v>974</v>
      </c>
      <c r="H48" s="137" t="s">
        <v>974</v>
      </c>
      <c r="I48" s="145" t="s">
        <v>1157</v>
      </c>
      <c r="J48" s="96" t="s">
        <v>1158</v>
      </c>
      <c r="K48" s="96" t="s">
        <v>1158</v>
      </c>
      <c r="L48" s="96" t="s">
        <v>1158</v>
      </c>
      <c r="M48" s="96" t="s">
        <v>1158</v>
      </c>
    </row>
    <row r="49">
      <c r="A49" s="150" t="s">
        <v>205</v>
      </c>
      <c r="B49" s="150" t="s">
        <v>206</v>
      </c>
      <c r="C49" s="150" t="s">
        <v>207</v>
      </c>
      <c r="D49" s="136">
        <v>1.0</v>
      </c>
      <c r="E49" s="137">
        <v>1.0</v>
      </c>
      <c r="F49" s="137">
        <v>1.0</v>
      </c>
      <c r="G49" s="137">
        <v>1.0</v>
      </c>
      <c r="H49" s="137">
        <v>1.0</v>
      </c>
      <c r="I49" s="95">
        <v>1.0</v>
      </c>
      <c r="J49" s="95">
        <v>1.0</v>
      </c>
      <c r="K49" s="95" t="s">
        <v>169</v>
      </c>
      <c r="L49" s="95" t="s">
        <v>169</v>
      </c>
      <c r="M49" s="95" t="s">
        <v>169</v>
      </c>
    </row>
    <row r="50">
      <c r="A50" s="150" t="s">
        <v>208</v>
      </c>
      <c r="B50" s="150" t="s">
        <v>209</v>
      </c>
      <c r="C50" s="150" t="s">
        <v>210</v>
      </c>
      <c r="D50" s="136" t="s">
        <v>211</v>
      </c>
      <c r="E50" s="137" t="s">
        <v>211</v>
      </c>
      <c r="F50" s="137" t="s">
        <v>211</v>
      </c>
      <c r="G50" s="137" t="s">
        <v>211</v>
      </c>
      <c r="H50" s="137" t="s">
        <v>211</v>
      </c>
      <c r="I50" s="95" t="s">
        <v>211</v>
      </c>
      <c r="J50" s="137" t="s">
        <v>211</v>
      </c>
      <c r="K50" s="137" t="s">
        <v>211</v>
      </c>
      <c r="L50" s="137" t="s">
        <v>211</v>
      </c>
      <c r="M50" s="137" t="s">
        <v>211</v>
      </c>
    </row>
    <row r="51">
      <c r="A51" s="90" t="s">
        <v>213</v>
      </c>
      <c r="B51" s="91"/>
      <c r="C51" s="71"/>
      <c r="D51" s="136"/>
      <c r="E51" s="137"/>
      <c r="F51" s="137"/>
      <c r="G51" s="137"/>
      <c r="H51" s="137"/>
      <c r="I51" s="137"/>
      <c r="J51" s="137"/>
      <c r="K51" s="137"/>
      <c r="L51" s="137"/>
      <c r="M51" s="137"/>
    </row>
    <row r="52">
      <c r="A52" s="126" t="s">
        <v>214</v>
      </c>
      <c r="B52" s="126" t="s">
        <v>215</v>
      </c>
      <c r="C52" s="100" t="str">
        <f>HYPERLINK("https://android-cret.corp.google.com/#fusion:id=com.google.android.apps.assistant","com.google.android.apps.assistant")</f>
        <v>com.google.android.apps.assistant</v>
      </c>
      <c r="D52" s="136" t="s">
        <v>1159</v>
      </c>
      <c r="E52" s="137" t="s">
        <v>1159</v>
      </c>
      <c r="F52" s="137" t="s">
        <v>1159</v>
      </c>
      <c r="G52" s="143" t="s">
        <v>981</v>
      </c>
      <c r="H52" s="137" t="s">
        <v>981</v>
      </c>
      <c r="I52" s="151" t="s">
        <v>981</v>
      </c>
      <c r="J52" s="96" t="s">
        <v>982</v>
      </c>
      <c r="K52" s="96" t="s">
        <v>982</v>
      </c>
      <c r="L52" s="96" t="s">
        <v>982</v>
      </c>
      <c r="M52" s="152" t="s">
        <v>983</v>
      </c>
    </row>
    <row r="53">
      <c r="A53" s="126" t="s">
        <v>984</v>
      </c>
      <c r="B53" s="126" t="s">
        <v>985</v>
      </c>
      <c r="C53" s="100" t="str">
        <f>HYPERLINK("https://android-cret.corp.google.com/#fusion:id=com.google.android.apps.tachyon","com.google.android.apps.tachyon")</f>
        <v>com.google.android.apps.tachyon</v>
      </c>
      <c r="D53" s="136" t="s">
        <v>1086</v>
      </c>
      <c r="E53" s="137" t="s">
        <v>1087</v>
      </c>
      <c r="F53" s="137" t="s">
        <v>1087</v>
      </c>
      <c r="G53" s="145" t="s">
        <v>986</v>
      </c>
      <c r="H53" s="95" t="s">
        <v>986</v>
      </c>
      <c r="I53" s="145" t="s">
        <v>1160</v>
      </c>
      <c r="J53" s="96" t="s">
        <v>887</v>
      </c>
      <c r="K53" s="96" t="s">
        <v>1089</v>
      </c>
      <c r="L53" s="96" t="s">
        <v>1089</v>
      </c>
      <c r="M53" s="96" t="s">
        <v>1089</v>
      </c>
    </row>
    <row r="54">
      <c r="A54" s="126" t="s">
        <v>219</v>
      </c>
      <c r="B54" s="126" t="s">
        <v>220</v>
      </c>
      <c r="C54" s="100" t="str">
        <f>HYPERLINK("https://android-cret.corp.google.com/#fusion:id=com.google.android.apps.nbu.files","com.google.android.apps.nbu.files")</f>
        <v>com.google.android.apps.nbu.files</v>
      </c>
      <c r="D54" s="136" t="s">
        <v>1161</v>
      </c>
      <c r="E54" s="137" t="s">
        <v>1162</v>
      </c>
      <c r="F54" s="137" t="s">
        <v>1162</v>
      </c>
      <c r="G54" s="145" t="s">
        <v>987</v>
      </c>
      <c r="H54" s="95" t="s">
        <v>987</v>
      </c>
      <c r="I54" s="145" t="s">
        <v>1163</v>
      </c>
      <c r="J54" s="96" t="s">
        <v>1164</v>
      </c>
      <c r="K54" s="96" t="s">
        <v>1165</v>
      </c>
      <c r="L54" s="96" t="s">
        <v>1165</v>
      </c>
      <c r="M54" s="13" t="s">
        <v>1166</v>
      </c>
    </row>
    <row r="55">
      <c r="A55" s="126" t="s">
        <v>223</v>
      </c>
      <c r="B55" s="126" t="s">
        <v>224</v>
      </c>
      <c r="C55" s="100" t="str">
        <f>HYPERLINK("https://android-cret.corp.google.com/#fusion:id=com.google.android.apps.photosgo","com.google.android.apps.photosgo")</f>
        <v>com.google.android.apps.photosgo</v>
      </c>
      <c r="D55" s="136" t="s">
        <v>1167</v>
      </c>
      <c r="E55" s="137" t="s">
        <v>1168</v>
      </c>
      <c r="F55" s="137" t="s">
        <v>1168</v>
      </c>
      <c r="G55" s="145" t="s">
        <v>991</v>
      </c>
      <c r="H55" s="95" t="s">
        <v>991</v>
      </c>
      <c r="I55" s="95" t="s">
        <v>991</v>
      </c>
      <c r="J55" s="96" t="s">
        <v>992</v>
      </c>
      <c r="K55" s="96" t="s">
        <v>993</v>
      </c>
      <c r="L55" s="96" t="s">
        <v>993</v>
      </c>
      <c r="M55" s="75" t="s">
        <v>778</v>
      </c>
    </row>
    <row r="56">
      <c r="A56" s="126" t="s">
        <v>1169</v>
      </c>
      <c r="B56" s="126" t="s">
        <v>1170</v>
      </c>
      <c r="C56" s="100" t="str">
        <f>HYPERLINK("https://android-cret.corp.google.com/#fusion:id=com.google.android.gm.lite","com.google.android.gm.lite")</f>
        <v>com.google.android.gm.lite</v>
      </c>
      <c r="D56" s="136" t="s">
        <v>1171</v>
      </c>
      <c r="E56" s="137" t="s">
        <v>1171</v>
      </c>
      <c r="F56" s="137" t="s">
        <v>1171</v>
      </c>
      <c r="G56" s="145" t="s">
        <v>1172</v>
      </c>
      <c r="H56" s="95" t="s">
        <v>1172</v>
      </c>
      <c r="I56" s="145" t="s">
        <v>1173</v>
      </c>
      <c r="J56" s="95" t="s">
        <v>1173</v>
      </c>
      <c r="K56" s="95" t="s">
        <v>1173</v>
      </c>
      <c r="L56" s="95" t="s">
        <v>1173</v>
      </c>
      <c r="M56" s="75" t="s">
        <v>1174</v>
      </c>
    </row>
    <row r="57">
      <c r="A57" s="126" t="s">
        <v>226</v>
      </c>
      <c r="B57" s="126" t="s">
        <v>227</v>
      </c>
      <c r="C57" s="100" t="str">
        <f>HYPERLINK("https://android-cret.corp.google.com/#fusion:id=com.google.android.gms","com.google.android.gms")</f>
        <v>com.google.android.gms</v>
      </c>
      <c r="D57" s="136" t="s">
        <v>1175</v>
      </c>
      <c r="E57" s="137" t="s">
        <v>1017</v>
      </c>
      <c r="F57" s="137" t="s">
        <v>1017</v>
      </c>
      <c r="G57" s="145" t="s">
        <v>1018</v>
      </c>
      <c r="H57" s="95" t="s">
        <v>1018</v>
      </c>
      <c r="I57" s="145" t="s">
        <v>1019</v>
      </c>
      <c r="J57" s="96" t="s">
        <v>1020</v>
      </c>
      <c r="K57" s="96" t="s">
        <v>1021</v>
      </c>
      <c r="L57" s="96" t="s">
        <v>1021</v>
      </c>
      <c r="M57" s="75" t="s">
        <v>1022</v>
      </c>
    </row>
    <row r="58">
      <c r="A58" s="126" t="s">
        <v>994</v>
      </c>
      <c r="B58" s="126" t="s">
        <v>995</v>
      </c>
      <c r="C58" s="100" t="str">
        <f>HYPERLINK("https://android-cret.corp.google.com/#fusion:id=com.google.android.dialer","com.google.android.dialer")</f>
        <v>com.google.android.dialer</v>
      </c>
      <c r="D58" s="136" t="s">
        <v>1063</v>
      </c>
      <c r="E58" s="137" t="s">
        <v>1064</v>
      </c>
      <c r="F58" s="137" t="s">
        <v>1064</v>
      </c>
      <c r="G58" s="145" t="s">
        <v>1176</v>
      </c>
      <c r="H58" s="95" t="s">
        <v>1176</v>
      </c>
      <c r="I58" s="145" t="s">
        <v>1065</v>
      </c>
      <c r="J58" s="96" t="s">
        <v>1066</v>
      </c>
      <c r="K58" s="96" t="s">
        <v>1067</v>
      </c>
      <c r="L58" s="96" t="s">
        <v>1067</v>
      </c>
      <c r="M58" s="149" t="s">
        <v>1068</v>
      </c>
    </row>
    <row r="59">
      <c r="A59" s="126" t="s">
        <v>229</v>
      </c>
      <c r="B59" s="126" t="s">
        <v>230</v>
      </c>
      <c r="C59" s="100" t="str">
        <f>HYPERLINK("https://android-cret.corp.google.com/#fusion:id=com.google.android.apps.searchlite","com.google.android.apps.searchlite")</f>
        <v>com.google.android.apps.searchlite</v>
      </c>
      <c r="D59" s="136" t="s">
        <v>996</v>
      </c>
      <c r="E59" s="137" t="s">
        <v>996</v>
      </c>
      <c r="F59" s="137" t="s">
        <v>996</v>
      </c>
      <c r="G59" s="95" t="s">
        <v>996</v>
      </c>
      <c r="H59" s="95" t="s">
        <v>996</v>
      </c>
      <c r="I59" s="95" t="s">
        <v>996</v>
      </c>
      <c r="J59" s="96" t="s">
        <v>996</v>
      </c>
      <c r="K59" s="96" t="s">
        <v>1177</v>
      </c>
      <c r="L59" s="96" t="s">
        <v>1177</v>
      </c>
      <c r="M59" s="75" t="s">
        <v>998</v>
      </c>
    </row>
    <row r="60">
      <c r="A60" s="126" t="s">
        <v>233</v>
      </c>
      <c r="B60" s="126" t="s">
        <v>234</v>
      </c>
      <c r="C60" s="100" t="str">
        <f>HYPERLINK("https://android-cret.corp.google.com/#fusion:id=com.google.android.inputmethod.latin","com.google.android.inputmethod.latin")</f>
        <v>com.google.android.inputmethod.latin</v>
      </c>
      <c r="D60" s="136" t="s">
        <v>1150</v>
      </c>
      <c r="E60" s="137" t="s">
        <v>1151</v>
      </c>
      <c r="F60" s="137" t="s">
        <v>1151</v>
      </c>
      <c r="G60" s="145" t="s">
        <v>963</v>
      </c>
      <c r="H60" s="95" t="s">
        <v>963</v>
      </c>
      <c r="I60" s="95" t="s">
        <v>963</v>
      </c>
      <c r="J60" s="96" t="s">
        <v>1147</v>
      </c>
      <c r="K60" s="96" t="s">
        <v>1152</v>
      </c>
      <c r="L60" s="96" t="s">
        <v>1152</v>
      </c>
      <c r="M60" s="75" t="s">
        <v>967</v>
      </c>
    </row>
    <row r="61">
      <c r="A61" s="126" t="s">
        <v>1178</v>
      </c>
      <c r="B61" s="126" t="s">
        <v>1179</v>
      </c>
      <c r="C61" s="100" t="str">
        <f>HYPERLINK("https://android-cret.corp.google.com/#fusion:id=com.google.android.apps.mapslite","com.google.android.apps.mapslite")</f>
        <v>com.google.android.apps.mapslite</v>
      </c>
      <c r="D61" s="136">
        <v>152.0</v>
      </c>
      <c r="E61" s="137">
        <v>152.0</v>
      </c>
      <c r="F61" s="137">
        <v>152.0</v>
      </c>
      <c r="G61" s="145" t="s">
        <v>1180</v>
      </c>
      <c r="H61" s="95" t="s">
        <v>1180</v>
      </c>
      <c r="I61" s="145" t="s">
        <v>1181</v>
      </c>
      <c r="J61" s="96" t="s">
        <v>1181</v>
      </c>
      <c r="K61" s="96" t="s">
        <v>1181</v>
      </c>
      <c r="L61" s="96" t="s">
        <v>1181</v>
      </c>
      <c r="M61" s="153" t="s">
        <v>1182</v>
      </c>
    </row>
    <row r="62">
      <c r="A62" s="126" t="s">
        <v>235</v>
      </c>
      <c r="B62" s="126" t="s">
        <v>236</v>
      </c>
      <c r="C62" s="100" t="str">
        <f>HYPERLINK("https://android-cret.corp.google.com/#fusion:id=com.google.android.apps.messaging","com.google.android.apps.messaging")</f>
        <v>com.google.android.apps.messaging</v>
      </c>
      <c r="D62" s="136" t="s">
        <v>1155</v>
      </c>
      <c r="E62" s="137" t="s">
        <v>1156</v>
      </c>
      <c r="F62" s="137" t="s">
        <v>1156</v>
      </c>
      <c r="G62" s="145" t="s">
        <v>974</v>
      </c>
      <c r="H62" s="95" t="s">
        <v>974</v>
      </c>
      <c r="I62" s="145" t="s">
        <v>1183</v>
      </c>
      <c r="J62" s="154" t="s">
        <v>1158</v>
      </c>
      <c r="K62" s="154" t="s">
        <v>1158</v>
      </c>
      <c r="L62" s="154" t="s">
        <v>1158</v>
      </c>
      <c r="M62" s="154" t="s">
        <v>1158</v>
      </c>
    </row>
    <row r="63">
      <c r="A63" s="126" t="s">
        <v>1184</v>
      </c>
      <c r="B63" s="126" t="s">
        <v>1185</v>
      </c>
      <c r="C63" s="100" t="str">
        <f>HYPERLINK("https://android-cret.corp.google.com/#fusion:id=com.google.android.apps.navlite","com.google.android.apps.navlite")</f>
        <v>com.google.android.apps.navlite</v>
      </c>
      <c r="D63" s="136" t="s">
        <v>1186</v>
      </c>
      <c r="E63" s="137" t="s">
        <v>1187</v>
      </c>
      <c r="F63" s="137" t="s">
        <v>1187</v>
      </c>
      <c r="G63" s="95" t="s">
        <v>1187</v>
      </c>
      <c r="H63" s="95" t="s">
        <v>1187</v>
      </c>
      <c r="I63" s="95" t="s">
        <v>1187</v>
      </c>
      <c r="J63" s="155" t="s">
        <v>1187</v>
      </c>
      <c r="K63" s="155" t="s">
        <v>1187</v>
      </c>
      <c r="L63" s="155" t="s">
        <v>1187</v>
      </c>
      <c r="M63" s="155" t="s">
        <v>1187</v>
      </c>
    </row>
    <row r="64">
      <c r="A64" s="64"/>
      <c r="B64" s="64"/>
      <c r="C64" s="64"/>
      <c r="D64" s="127"/>
      <c r="E64" s="127"/>
      <c r="F64" s="127"/>
      <c r="G64" s="127"/>
      <c r="H64" s="127"/>
      <c r="I64" s="127"/>
      <c r="J64" s="129"/>
      <c r="K64" s="129"/>
      <c r="L64" s="129"/>
      <c r="M64" s="129"/>
    </row>
    <row r="65">
      <c r="D65" s="129"/>
      <c r="E65" s="129"/>
      <c r="F65" s="129"/>
      <c r="G65" s="129"/>
      <c r="H65" s="129"/>
      <c r="I65" s="129"/>
      <c r="J65" s="129"/>
      <c r="K65" s="129"/>
      <c r="L65" s="129"/>
      <c r="M65" s="129"/>
    </row>
    <row r="66">
      <c r="D66" s="129"/>
      <c r="E66" s="129"/>
      <c r="F66" s="129"/>
      <c r="G66" s="129"/>
      <c r="H66" s="129"/>
      <c r="I66" s="129"/>
      <c r="J66" s="129"/>
      <c r="K66" s="129"/>
      <c r="L66" s="129"/>
      <c r="M66" s="129"/>
    </row>
    <row r="67">
      <c r="D67" s="129"/>
      <c r="E67" s="129"/>
      <c r="F67" s="129"/>
      <c r="G67" s="129"/>
      <c r="H67" s="129"/>
      <c r="I67" s="129"/>
      <c r="J67" s="129"/>
      <c r="K67" s="129"/>
      <c r="L67" s="129"/>
      <c r="M67" s="129"/>
    </row>
    <row r="68">
      <c r="D68" s="129"/>
      <c r="E68" s="129"/>
      <c r="F68" s="129"/>
      <c r="G68" s="129"/>
      <c r="H68" s="129"/>
      <c r="I68" s="129"/>
      <c r="J68" s="129"/>
      <c r="K68" s="129"/>
      <c r="L68" s="129"/>
      <c r="M68" s="129"/>
    </row>
    <row r="69">
      <c r="D69" s="129"/>
      <c r="E69" s="129"/>
      <c r="F69" s="129"/>
      <c r="G69" s="129"/>
      <c r="H69" s="129"/>
      <c r="I69" s="129"/>
      <c r="J69" s="129"/>
      <c r="K69" s="129"/>
      <c r="L69" s="129"/>
      <c r="M69" s="129"/>
    </row>
    <row r="70">
      <c r="D70" s="129"/>
      <c r="E70" s="129"/>
      <c r="F70" s="129"/>
      <c r="G70" s="129"/>
      <c r="H70" s="129"/>
      <c r="I70" s="129"/>
      <c r="J70" s="129"/>
      <c r="K70" s="129"/>
      <c r="L70" s="129"/>
      <c r="M70" s="129"/>
    </row>
    <row r="71">
      <c r="D71" s="129"/>
      <c r="E71" s="129"/>
      <c r="F71" s="129"/>
      <c r="G71" s="129"/>
      <c r="H71" s="129"/>
      <c r="I71" s="129"/>
      <c r="J71" s="129"/>
      <c r="K71" s="129"/>
      <c r="L71" s="129"/>
      <c r="M71" s="129"/>
    </row>
    <row r="72">
      <c r="D72" s="129"/>
      <c r="E72" s="129"/>
      <c r="F72" s="129"/>
      <c r="G72" s="129"/>
      <c r="H72" s="129"/>
      <c r="I72" s="129"/>
      <c r="J72" s="129"/>
      <c r="K72" s="129"/>
      <c r="L72" s="129"/>
      <c r="M72" s="129"/>
    </row>
    <row r="73">
      <c r="D73" s="129"/>
      <c r="E73" s="129"/>
      <c r="F73" s="129"/>
      <c r="G73" s="129"/>
      <c r="H73" s="129"/>
      <c r="I73" s="129"/>
      <c r="J73" s="129"/>
      <c r="K73" s="129"/>
      <c r="L73" s="129"/>
      <c r="M73" s="129"/>
    </row>
    <row r="74">
      <c r="D74" s="129"/>
      <c r="E74" s="129"/>
      <c r="F74" s="129"/>
      <c r="G74" s="129"/>
      <c r="H74" s="129"/>
      <c r="I74" s="129"/>
      <c r="J74" s="129"/>
      <c r="K74" s="129"/>
      <c r="L74" s="129"/>
      <c r="M74" s="129"/>
    </row>
    <row r="75">
      <c r="D75" s="129"/>
      <c r="E75" s="129"/>
      <c r="F75" s="129"/>
      <c r="G75" s="129"/>
      <c r="H75" s="129"/>
      <c r="I75" s="129"/>
      <c r="J75" s="129"/>
      <c r="K75" s="129"/>
      <c r="L75" s="129"/>
      <c r="M75" s="129"/>
    </row>
    <row r="76">
      <c r="D76" s="129"/>
      <c r="E76" s="129"/>
      <c r="F76" s="129"/>
      <c r="G76" s="129"/>
      <c r="H76" s="129"/>
      <c r="I76" s="129"/>
      <c r="J76" s="129"/>
      <c r="K76" s="129"/>
      <c r="L76" s="129"/>
      <c r="M76" s="129"/>
    </row>
    <row r="77">
      <c r="D77" s="129"/>
      <c r="E77" s="129"/>
      <c r="F77" s="129"/>
      <c r="G77" s="129"/>
      <c r="H77" s="129"/>
      <c r="I77" s="129"/>
      <c r="J77" s="129"/>
      <c r="K77" s="129"/>
      <c r="L77" s="129"/>
      <c r="M77" s="129"/>
    </row>
    <row r="78">
      <c r="D78" s="129"/>
      <c r="E78" s="129"/>
      <c r="F78" s="129"/>
      <c r="G78" s="129"/>
      <c r="H78" s="129"/>
      <c r="I78" s="129"/>
      <c r="J78" s="129"/>
      <c r="K78" s="129"/>
      <c r="L78" s="129"/>
      <c r="M78" s="129"/>
    </row>
    <row r="79">
      <c r="D79" s="129"/>
      <c r="E79" s="129"/>
      <c r="F79" s="129"/>
      <c r="G79" s="129"/>
      <c r="H79" s="129"/>
      <c r="I79" s="129"/>
      <c r="J79" s="129"/>
      <c r="K79" s="129"/>
      <c r="L79" s="129"/>
      <c r="M79" s="129"/>
    </row>
    <row r="80">
      <c r="D80" s="129"/>
      <c r="E80" s="129"/>
      <c r="F80" s="129"/>
      <c r="G80" s="129"/>
      <c r="H80" s="129"/>
      <c r="I80" s="129"/>
      <c r="J80" s="129"/>
      <c r="K80" s="129"/>
      <c r="L80" s="129"/>
      <c r="M80" s="129"/>
    </row>
    <row r="81">
      <c r="D81" s="129"/>
      <c r="E81" s="129"/>
      <c r="F81" s="129"/>
      <c r="G81" s="129"/>
      <c r="H81" s="129"/>
      <c r="I81" s="129"/>
      <c r="J81" s="129"/>
      <c r="K81" s="129"/>
      <c r="L81" s="129"/>
      <c r="M81" s="129"/>
    </row>
    <row r="82">
      <c r="D82" s="129"/>
      <c r="E82" s="129"/>
      <c r="F82" s="129"/>
      <c r="G82" s="129"/>
      <c r="H82" s="129"/>
      <c r="I82" s="129"/>
      <c r="J82" s="129"/>
      <c r="K82" s="129"/>
      <c r="L82" s="129"/>
      <c r="M82" s="129"/>
    </row>
    <row r="83">
      <c r="D83" s="129"/>
      <c r="E83" s="129"/>
      <c r="F83" s="129"/>
      <c r="G83" s="129"/>
      <c r="H83" s="129"/>
      <c r="I83" s="129"/>
      <c r="J83" s="129"/>
      <c r="K83" s="129"/>
      <c r="L83" s="129"/>
      <c r="M83" s="129"/>
    </row>
    <row r="84">
      <c r="D84" s="129"/>
      <c r="E84" s="129"/>
      <c r="F84" s="129"/>
      <c r="G84" s="129"/>
      <c r="H84" s="129"/>
      <c r="I84" s="129"/>
      <c r="J84" s="129"/>
      <c r="K84" s="129"/>
      <c r="L84" s="129"/>
      <c r="M84" s="129"/>
    </row>
    <row r="85">
      <c r="D85" s="129"/>
      <c r="E85" s="129"/>
      <c r="F85" s="129"/>
      <c r="G85" s="129"/>
      <c r="H85" s="129"/>
      <c r="I85" s="129"/>
      <c r="J85" s="129"/>
      <c r="K85" s="129"/>
      <c r="L85" s="129"/>
      <c r="M85" s="129"/>
    </row>
    <row r="86">
      <c r="D86" s="129"/>
      <c r="E86" s="129"/>
      <c r="F86" s="129"/>
      <c r="G86" s="129"/>
      <c r="H86" s="129"/>
      <c r="I86" s="129"/>
      <c r="J86" s="129"/>
      <c r="K86" s="129"/>
      <c r="L86" s="129"/>
      <c r="M86" s="129"/>
    </row>
    <row r="87">
      <c r="D87" s="129"/>
      <c r="E87" s="129"/>
      <c r="F87" s="129"/>
      <c r="G87" s="129"/>
      <c r="H87" s="129"/>
      <c r="I87" s="129"/>
      <c r="J87" s="129"/>
      <c r="K87" s="129"/>
      <c r="L87" s="129"/>
      <c r="M87" s="129"/>
    </row>
    <row r="88">
      <c r="D88" s="129"/>
      <c r="E88" s="129"/>
      <c r="F88" s="129"/>
      <c r="G88" s="129"/>
      <c r="H88" s="129"/>
      <c r="I88" s="129"/>
      <c r="J88" s="129"/>
      <c r="K88" s="129"/>
      <c r="L88" s="129"/>
      <c r="M88" s="129"/>
    </row>
    <row r="89">
      <c r="D89" s="129"/>
      <c r="E89" s="129"/>
      <c r="F89" s="129"/>
      <c r="G89" s="129"/>
      <c r="H89" s="129"/>
      <c r="I89" s="129"/>
      <c r="J89" s="129"/>
      <c r="K89" s="129"/>
      <c r="L89" s="129"/>
      <c r="M89" s="129"/>
    </row>
    <row r="90">
      <c r="D90" s="129"/>
      <c r="E90" s="129"/>
      <c r="F90" s="129"/>
      <c r="G90" s="129"/>
      <c r="H90" s="129"/>
      <c r="I90" s="129"/>
      <c r="J90" s="129"/>
      <c r="K90" s="129"/>
      <c r="L90" s="129"/>
      <c r="M90" s="129"/>
    </row>
    <row r="91">
      <c r="D91" s="129"/>
      <c r="E91" s="129"/>
      <c r="F91" s="129"/>
      <c r="G91" s="129"/>
      <c r="H91" s="129"/>
      <c r="I91" s="129"/>
      <c r="J91" s="129"/>
      <c r="K91" s="129"/>
      <c r="L91" s="129"/>
      <c r="M91" s="129"/>
    </row>
    <row r="92">
      <c r="D92" s="129"/>
      <c r="E92" s="129"/>
      <c r="F92" s="129"/>
      <c r="G92" s="129"/>
      <c r="H92" s="129"/>
      <c r="I92" s="129"/>
      <c r="J92" s="129"/>
      <c r="K92" s="129"/>
      <c r="L92" s="129"/>
      <c r="M92" s="129"/>
    </row>
    <row r="93">
      <c r="D93" s="129"/>
      <c r="E93" s="129"/>
      <c r="F93" s="129"/>
      <c r="G93" s="129"/>
      <c r="H93" s="129"/>
      <c r="I93" s="129"/>
      <c r="J93" s="129"/>
      <c r="K93" s="129"/>
      <c r="L93" s="129"/>
      <c r="M93" s="129"/>
    </row>
    <row r="94">
      <c r="D94" s="129"/>
      <c r="E94" s="129"/>
      <c r="F94" s="129"/>
      <c r="G94" s="129"/>
      <c r="H94" s="129"/>
      <c r="I94" s="129"/>
      <c r="J94" s="129"/>
      <c r="K94" s="129"/>
      <c r="L94" s="129"/>
      <c r="M94" s="129"/>
    </row>
    <row r="95">
      <c r="D95" s="129"/>
      <c r="E95" s="129"/>
      <c r="F95" s="129"/>
      <c r="G95" s="129"/>
      <c r="H95" s="129"/>
      <c r="I95" s="129"/>
      <c r="J95" s="129"/>
      <c r="K95" s="129"/>
      <c r="L95" s="129"/>
      <c r="M95" s="129"/>
    </row>
    <row r="96">
      <c r="D96" s="129"/>
      <c r="E96" s="129"/>
      <c r="F96" s="129"/>
      <c r="G96" s="129"/>
      <c r="H96" s="129"/>
      <c r="I96" s="129"/>
      <c r="J96" s="129"/>
      <c r="K96" s="129"/>
      <c r="L96" s="129"/>
      <c r="M96" s="129"/>
    </row>
    <row r="97">
      <c r="D97" s="129"/>
      <c r="E97" s="129"/>
      <c r="F97" s="129"/>
      <c r="G97" s="129"/>
      <c r="H97" s="129"/>
      <c r="I97" s="129"/>
      <c r="J97" s="129"/>
      <c r="K97" s="129"/>
      <c r="L97" s="129"/>
      <c r="M97" s="129"/>
    </row>
    <row r="98">
      <c r="D98" s="129"/>
      <c r="E98" s="129"/>
      <c r="F98" s="129"/>
      <c r="G98" s="129"/>
      <c r="H98" s="129"/>
      <c r="I98" s="129"/>
      <c r="J98" s="129"/>
      <c r="K98" s="129"/>
      <c r="L98" s="129"/>
      <c r="M98" s="129"/>
    </row>
    <row r="99">
      <c r="D99" s="129"/>
      <c r="E99" s="129"/>
      <c r="F99" s="129"/>
      <c r="G99" s="129"/>
      <c r="H99" s="129"/>
      <c r="I99" s="129"/>
      <c r="J99" s="129"/>
      <c r="K99" s="129"/>
      <c r="L99" s="129"/>
      <c r="M99" s="129"/>
    </row>
    <row r="100"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</row>
    <row r="101"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</row>
    <row r="102"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</row>
    <row r="103"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</row>
    <row r="104"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</row>
    <row r="105"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</row>
    <row r="106"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</row>
    <row r="107"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</row>
    <row r="108"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</row>
    <row r="109"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</row>
    <row r="110"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</row>
    <row r="111"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</row>
    <row r="112"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</row>
    <row r="113"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</row>
    <row r="114"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</row>
    <row r="115"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</row>
    <row r="116"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</row>
    <row r="117"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</row>
    <row r="118"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</row>
    <row r="119"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</row>
    <row r="120"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</row>
    <row r="121"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</row>
    <row r="122"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</row>
    <row r="123"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</row>
    <row r="124"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</row>
    <row r="125"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</row>
    <row r="126"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</row>
    <row r="127"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</row>
    <row r="128"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</row>
    <row r="129"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</row>
    <row r="130"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</row>
    <row r="131"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</row>
    <row r="132"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</row>
    <row r="133"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</row>
    <row r="134"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</row>
    <row r="135"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</row>
    <row r="136"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</row>
    <row r="137"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</row>
    <row r="138"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</row>
    <row r="139"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</row>
    <row r="140"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</row>
    <row r="141"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</row>
    <row r="142"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</row>
    <row r="143"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</row>
    <row r="144"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</row>
    <row r="145"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</row>
    <row r="146"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</row>
    <row r="147"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</row>
    <row r="148"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</row>
    <row r="149"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</row>
    <row r="150"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</row>
    <row r="151"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</row>
    <row r="152"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</row>
    <row r="153"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</row>
    <row r="154"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</row>
    <row r="155"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</row>
    <row r="156"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</row>
    <row r="157"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</row>
    <row r="158"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</row>
    <row r="159"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</row>
    <row r="160"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</row>
    <row r="161"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</row>
    <row r="162"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</row>
    <row r="163"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</row>
    <row r="164"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</row>
    <row r="165"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</row>
    <row r="166"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</row>
    <row r="167"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</row>
    <row r="168"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</row>
    <row r="169"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</row>
    <row r="170"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</row>
    <row r="171"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</row>
    <row r="172"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</row>
    <row r="173"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</row>
    <row r="174"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</row>
    <row r="175"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</row>
    <row r="176"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</row>
    <row r="177"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</row>
    <row r="178"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</row>
    <row r="179"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</row>
    <row r="180"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</row>
    <row r="181"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</row>
    <row r="182"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</row>
    <row r="183"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</row>
    <row r="184"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</row>
    <row r="185"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</row>
    <row r="186"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</row>
    <row r="187"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</row>
    <row r="188"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</row>
    <row r="189"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</row>
    <row r="190"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</row>
    <row r="191"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</row>
    <row r="192"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</row>
    <row r="193"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</row>
    <row r="194"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</row>
    <row r="195"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</row>
    <row r="196"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</row>
    <row r="197"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</row>
    <row r="198"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</row>
    <row r="199"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</row>
    <row r="200"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</row>
    <row r="201"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</row>
    <row r="202"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</row>
    <row r="203"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</row>
    <row r="204"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</row>
    <row r="205"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</row>
    <row r="206"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</row>
    <row r="207"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</row>
    <row r="208"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</row>
    <row r="209"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</row>
    <row r="210"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</row>
    <row r="211"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</row>
    <row r="212"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</row>
    <row r="213"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</row>
    <row r="214"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</row>
    <row r="215"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</row>
    <row r="216"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</row>
    <row r="217"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</row>
    <row r="218"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</row>
    <row r="219"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</row>
    <row r="220"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</row>
    <row r="221"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</row>
    <row r="222"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</row>
    <row r="223"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</row>
    <row r="224"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</row>
    <row r="225"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</row>
    <row r="226"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</row>
    <row r="227"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</row>
    <row r="228"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</row>
    <row r="229"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</row>
    <row r="230"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</row>
    <row r="231"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</row>
    <row r="232"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</row>
    <row r="233"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</row>
    <row r="234"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</row>
    <row r="235"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</row>
    <row r="236"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</row>
    <row r="237"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</row>
    <row r="238"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</row>
    <row r="239"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</row>
    <row r="240"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</row>
    <row r="241"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</row>
    <row r="242"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</row>
    <row r="243"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</row>
    <row r="244"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</row>
    <row r="245"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</row>
    <row r="246"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</row>
    <row r="247"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</row>
    <row r="248"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</row>
    <row r="249"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</row>
    <row r="250"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</row>
    <row r="251"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</row>
    <row r="252"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</row>
    <row r="253"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</row>
    <row r="254"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</row>
    <row r="255"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</row>
    <row r="256"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</row>
    <row r="257"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</row>
    <row r="258"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</row>
    <row r="259"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</row>
    <row r="260"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</row>
    <row r="261"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</row>
    <row r="262"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</row>
    <row r="263"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</row>
    <row r="264"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</row>
    <row r="265"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</row>
    <row r="266"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</row>
    <row r="267"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</row>
    <row r="268"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</row>
    <row r="269"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</row>
    <row r="270"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</row>
    <row r="271"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</row>
    <row r="272"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</row>
    <row r="273"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</row>
    <row r="274"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</row>
    <row r="275"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</row>
    <row r="276"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</row>
    <row r="277"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</row>
    <row r="278"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</row>
    <row r="279"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</row>
    <row r="280"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</row>
    <row r="281"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</row>
    <row r="282"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</row>
    <row r="283"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</row>
    <row r="284"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</row>
    <row r="285"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</row>
    <row r="286"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</row>
    <row r="287"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</row>
    <row r="288"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</row>
    <row r="289"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</row>
    <row r="290"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</row>
    <row r="291"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</row>
    <row r="292"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</row>
    <row r="293"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</row>
    <row r="294"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</row>
    <row r="295"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</row>
    <row r="296"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</row>
    <row r="297"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</row>
    <row r="298"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</row>
    <row r="299"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</row>
    <row r="300"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</row>
    <row r="301"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</row>
    <row r="302"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</row>
    <row r="303"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</row>
    <row r="304"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</row>
    <row r="305"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</row>
    <row r="306"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</row>
    <row r="307"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</row>
    <row r="308"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</row>
    <row r="309"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</row>
    <row r="310"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</row>
    <row r="311"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</row>
    <row r="312"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</row>
    <row r="313"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</row>
    <row r="314"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</row>
    <row r="315"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</row>
    <row r="316"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</row>
    <row r="317"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</row>
    <row r="318"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</row>
    <row r="319"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</row>
    <row r="320"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</row>
    <row r="321"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</row>
    <row r="322"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</row>
    <row r="323"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</row>
    <row r="324"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</row>
    <row r="325"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</row>
    <row r="326"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</row>
    <row r="327"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</row>
    <row r="328"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</row>
    <row r="329"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</row>
    <row r="330"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</row>
    <row r="331"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</row>
    <row r="332"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</row>
    <row r="333"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</row>
    <row r="334"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</row>
    <row r="335"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</row>
    <row r="336"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</row>
    <row r="337"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</row>
    <row r="338"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</row>
    <row r="339"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</row>
    <row r="340"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</row>
    <row r="341"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</row>
    <row r="342"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</row>
    <row r="343"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</row>
    <row r="344"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</row>
    <row r="345"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</row>
    <row r="346"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</row>
    <row r="347"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</row>
    <row r="348"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</row>
    <row r="349"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</row>
    <row r="350"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</row>
    <row r="351"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</row>
    <row r="352"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</row>
    <row r="353"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</row>
    <row r="354"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</row>
    <row r="355"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</row>
    <row r="356"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</row>
    <row r="357"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</row>
    <row r="358"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</row>
    <row r="359"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</row>
    <row r="360"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</row>
    <row r="361"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</row>
    <row r="362"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</row>
    <row r="363"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</row>
    <row r="364"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</row>
    <row r="365"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</row>
    <row r="366"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</row>
    <row r="367"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</row>
    <row r="368"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</row>
    <row r="369"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</row>
    <row r="370"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</row>
    <row r="371"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</row>
    <row r="372"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</row>
    <row r="373"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</row>
    <row r="374"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</row>
    <row r="375"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</row>
    <row r="376"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</row>
    <row r="377"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</row>
    <row r="378"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</row>
    <row r="379"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</row>
    <row r="380"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</row>
    <row r="381"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</row>
    <row r="382"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</row>
    <row r="383"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</row>
    <row r="384"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</row>
    <row r="385"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</row>
    <row r="386"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</row>
    <row r="387"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</row>
    <row r="388"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</row>
    <row r="389"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</row>
    <row r="390"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</row>
    <row r="391"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</row>
    <row r="392"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</row>
    <row r="393"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</row>
    <row r="394"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</row>
    <row r="395"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</row>
    <row r="396"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</row>
    <row r="397"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</row>
    <row r="398"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</row>
    <row r="399"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</row>
    <row r="400"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</row>
    <row r="401"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</row>
    <row r="402"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</row>
    <row r="403"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</row>
    <row r="404"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</row>
    <row r="405"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</row>
    <row r="406"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</row>
    <row r="407"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</row>
    <row r="408"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</row>
    <row r="409"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</row>
    <row r="410"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</row>
    <row r="411"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</row>
    <row r="412"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</row>
    <row r="413"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</row>
    <row r="414"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</row>
    <row r="415"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</row>
    <row r="416"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</row>
    <row r="417"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</row>
    <row r="418"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</row>
    <row r="419"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</row>
    <row r="420"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</row>
    <row r="421"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</row>
    <row r="422"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</row>
    <row r="423"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</row>
    <row r="424"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</row>
    <row r="425"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</row>
    <row r="426"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</row>
    <row r="427"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</row>
    <row r="428"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</row>
    <row r="429"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</row>
    <row r="430"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</row>
    <row r="431"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</row>
    <row r="432"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</row>
    <row r="433"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</row>
    <row r="434"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</row>
    <row r="435"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</row>
    <row r="436"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</row>
    <row r="437"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</row>
    <row r="438"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</row>
    <row r="439"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</row>
    <row r="440"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</row>
    <row r="441"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</row>
    <row r="442"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</row>
    <row r="443"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</row>
    <row r="444"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</row>
    <row r="445"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</row>
    <row r="446"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</row>
    <row r="447"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</row>
    <row r="448"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</row>
    <row r="449"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</row>
    <row r="450"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</row>
    <row r="451"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</row>
    <row r="452"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</row>
    <row r="453"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</row>
    <row r="454"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</row>
    <row r="455"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</row>
    <row r="456"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</row>
    <row r="457"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</row>
    <row r="458"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</row>
    <row r="459"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</row>
    <row r="460"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</row>
    <row r="461"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</row>
    <row r="462"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</row>
    <row r="463"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</row>
    <row r="464"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</row>
    <row r="465"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</row>
    <row r="466"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</row>
    <row r="467"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</row>
    <row r="468"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</row>
    <row r="469"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</row>
    <row r="470"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</row>
    <row r="471"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</row>
    <row r="472"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</row>
    <row r="473"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</row>
    <row r="474"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</row>
    <row r="475"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</row>
    <row r="476"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</row>
    <row r="477"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</row>
    <row r="478"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</row>
    <row r="479"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</row>
    <row r="480"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</row>
    <row r="481"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</row>
    <row r="482"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</row>
    <row r="483"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</row>
    <row r="484"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</row>
    <row r="485"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</row>
    <row r="486"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</row>
    <row r="487"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</row>
    <row r="488"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</row>
    <row r="489"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</row>
    <row r="490"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</row>
    <row r="491"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</row>
    <row r="492"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</row>
    <row r="493"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</row>
    <row r="494"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</row>
    <row r="495"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</row>
    <row r="496"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</row>
    <row r="497"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</row>
    <row r="498"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</row>
    <row r="499"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</row>
    <row r="500"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</row>
    <row r="501"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</row>
    <row r="502"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</row>
    <row r="503"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</row>
    <row r="504"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</row>
    <row r="505"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</row>
    <row r="506"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</row>
    <row r="507"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</row>
    <row r="508"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</row>
    <row r="509"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</row>
    <row r="510"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</row>
    <row r="511"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</row>
    <row r="512"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</row>
    <row r="513"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</row>
    <row r="514"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</row>
    <row r="515"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</row>
    <row r="516"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</row>
    <row r="517"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</row>
    <row r="518"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</row>
    <row r="519"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</row>
    <row r="520"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</row>
    <row r="521"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</row>
    <row r="522"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</row>
    <row r="523"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</row>
    <row r="524"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</row>
    <row r="525"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</row>
    <row r="526"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</row>
    <row r="527"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</row>
    <row r="528"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</row>
    <row r="529"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</row>
    <row r="530"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</row>
    <row r="531"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</row>
    <row r="532"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</row>
    <row r="533"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</row>
    <row r="534"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</row>
    <row r="535"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</row>
    <row r="536"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</row>
    <row r="537"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</row>
    <row r="538"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</row>
    <row r="539"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</row>
    <row r="540"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</row>
    <row r="541"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</row>
    <row r="542"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</row>
    <row r="543"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</row>
    <row r="544"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</row>
    <row r="545"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</row>
    <row r="546"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</row>
    <row r="547"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</row>
    <row r="548"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</row>
    <row r="549"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</row>
    <row r="550"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</row>
    <row r="551"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</row>
    <row r="552"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</row>
    <row r="553"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</row>
    <row r="554"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</row>
    <row r="555"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</row>
    <row r="556"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</row>
    <row r="557"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</row>
    <row r="558"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</row>
    <row r="559"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</row>
    <row r="560"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</row>
    <row r="561"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</row>
    <row r="562"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</row>
    <row r="563"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</row>
    <row r="564"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</row>
    <row r="565"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</row>
    <row r="566"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</row>
    <row r="567"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</row>
    <row r="568"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</row>
    <row r="569"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</row>
    <row r="570"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</row>
    <row r="571"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</row>
    <row r="572"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</row>
    <row r="573"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</row>
    <row r="574"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</row>
    <row r="575"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</row>
    <row r="576"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</row>
    <row r="577"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</row>
    <row r="578"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</row>
    <row r="579"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</row>
    <row r="580"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</row>
    <row r="581"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</row>
    <row r="582"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</row>
    <row r="583"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</row>
    <row r="584"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</row>
    <row r="585"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</row>
    <row r="586"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</row>
    <row r="587"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</row>
    <row r="588"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</row>
    <row r="589"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</row>
    <row r="590"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</row>
    <row r="591"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</row>
    <row r="592"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</row>
    <row r="593"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</row>
    <row r="594"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</row>
    <row r="595"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</row>
    <row r="596"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</row>
    <row r="597"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</row>
    <row r="598"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</row>
    <row r="599"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</row>
    <row r="600"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</row>
    <row r="601"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</row>
    <row r="602"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</row>
    <row r="603"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</row>
    <row r="604"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</row>
    <row r="605"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</row>
    <row r="606"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</row>
    <row r="607"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</row>
    <row r="608"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</row>
    <row r="609"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</row>
    <row r="610"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</row>
    <row r="611"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</row>
    <row r="612"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</row>
    <row r="613"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</row>
    <row r="614"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</row>
    <row r="615"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</row>
    <row r="616"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</row>
    <row r="617"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</row>
    <row r="618"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</row>
    <row r="619"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</row>
    <row r="620"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</row>
    <row r="621"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</row>
    <row r="622"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</row>
    <row r="623"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</row>
    <row r="624"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</row>
    <row r="625"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</row>
    <row r="626"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</row>
    <row r="627"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</row>
    <row r="628"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</row>
    <row r="629"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</row>
    <row r="630"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</row>
    <row r="631"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</row>
    <row r="632"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</row>
    <row r="633"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</row>
    <row r="634"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</row>
    <row r="635"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</row>
    <row r="636"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</row>
    <row r="637"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</row>
    <row r="638"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</row>
    <row r="639"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</row>
    <row r="640"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</row>
    <row r="641"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</row>
    <row r="642"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</row>
    <row r="643"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</row>
    <row r="644"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</row>
    <row r="645"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</row>
    <row r="646"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</row>
    <row r="647"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</row>
    <row r="648"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</row>
    <row r="649"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</row>
    <row r="650"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</row>
    <row r="651"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</row>
    <row r="652"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</row>
    <row r="653"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</row>
    <row r="654"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</row>
    <row r="655"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</row>
    <row r="656"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</row>
    <row r="657"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</row>
    <row r="658"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</row>
    <row r="659"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</row>
    <row r="660"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</row>
    <row r="661"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</row>
    <row r="662"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</row>
    <row r="663"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</row>
    <row r="664"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</row>
    <row r="665"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</row>
    <row r="666"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</row>
    <row r="667"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</row>
    <row r="668"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</row>
    <row r="669"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</row>
    <row r="670"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</row>
    <row r="671"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</row>
    <row r="672"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</row>
    <row r="673"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</row>
    <row r="674"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</row>
    <row r="675"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</row>
    <row r="676"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</row>
    <row r="677"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</row>
    <row r="678"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</row>
    <row r="679"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</row>
    <row r="680"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</row>
    <row r="681"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</row>
    <row r="682"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</row>
    <row r="683"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</row>
    <row r="684"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</row>
    <row r="685"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</row>
    <row r="686"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</row>
    <row r="687"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</row>
    <row r="688"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</row>
    <row r="689"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</row>
    <row r="690"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</row>
    <row r="691"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</row>
    <row r="692"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</row>
    <row r="693"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</row>
    <row r="694"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</row>
    <row r="695"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</row>
    <row r="696"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</row>
    <row r="697"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</row>
    <row r="698"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</row>
    <row r="699"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</row>
    <row r="700"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</row>
    <row r="701"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</row>
    <row r="702"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</row>
    <row r="703"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</row>
    <row r="704"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</row>
    <row r="705"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</row>
    <row r="706"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</row>
    <row r="707"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</row>
    <row r="708"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</row>
    <row r="709"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</row>
    <row r="710"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</row>
    <row r="711"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</row>
    <row r="712"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</row>
    <row r="713"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</row>
    <row r="714"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</row>
    <row r="715"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</row>
    <row r="716"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</row>
    <row r="717"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</row>
    <row r="718"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</row>
    <row r="719"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</row>
    <row r="720"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</row>
    <row r="721"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</row>
    <row r="722"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</row>
    <row r="723"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</row>
    <row r="724"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</row>
    <row r="725"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</row>
    <row r="726"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</row>
    <row r="727"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</row>
    <row r="728"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</row>
    <row r="729"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</row>
    <row r="730"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</row>
    <row r="731"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</row>
    <row r="732"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</row>
    <row r="733"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</row>
    <row r="734"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</row>
    <row r="735"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</row>
    <row r="736"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</row>
    <row r="737"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</row>
    <row r="738"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</row>
    <row r="739"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</row>
    <row r="740"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</row>
    <row r="741"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</row>
    <row r="742"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</row>
    <row r="743"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</row>
    <row r="744"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</row>
    <row r="745"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</row>
    <row r="746"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</row>
    <row r="747"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</row>
    <row r="748"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</row>
    <row r="749"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</row>
    <row r="750"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</row>
    <row r="751"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</row>
    <row r="752"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</row>
    <row r="753"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</row>
    <row r="754"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</row>
    <row r="755"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</row>
    <row r="756"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</row>
    <row r="757"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</row>
    <row r="758"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</row>
    <row r="759"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</row>
    <row r="760"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</row>
    <row r="761"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</row>
    <row r="762"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</row>
    <row r="763"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</row>
    <row r="764"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</row>
    <row r="765"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</row>
    <row r="766"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</row>
    <row r="767"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</row>
    <row r="768"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</row>
    <row r="769"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</row>
    <row r="770"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</row>
    <row r="771"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</row>
    <row r="772"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</row>
    <row r="773"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</row>
    <row r="774"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</row>
    <row r="775"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</row>
    <row r="776"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</row>
    <row r="777"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</row>
    <row r="778"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</row>
    <row r="779"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</row>
    <row r="780"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</row>
    <row r="781"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</row>
    <row r="782"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</row>
    <row r="783"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</row>
    <row r="784"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</row>
    <row r="785"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</row>
    <row r="786"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</row>
    <row r="787"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</row>
    <row r="788"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</row>
    <row r="789"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</row>
    <row r="790"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</row>
    <row r="791"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</row>
    <row r="792"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</row>
    <row r="793"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</row>
    <row r="794"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</row>
    <row r="795"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</row>
    <row r="796"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</row>
    <row r="797"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</row>
    <row r="798"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</row>
    <row r="799"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</row>
    <row r="800"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</row>
    <row r="801"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</row>
    <row r="802"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</row>
    <row r="803"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</row>
    <row r="804"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</row>
    <row r="805"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</row>
    <row r="806"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</row>
    <row r="807"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</row>
    <row r="808"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</row>
    <row r="809"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</row>
    <row r="810"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</row>
    <row r="811"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</row>
    <row r="812"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</row>
    <row r="813"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</row>
    <row r="814"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</row>
    <row r="815"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</row>
    <row r="816"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</row>
    <row r="817"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</row>
    <row r="818"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</row>
    <row r="819"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</row>
    <row r="820"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</row>
    <row r="821"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</row>
    <row r="822"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</row>
    <row r="823"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</row>
    <row r="824"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</row>
    <row r="825"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</row>
    <row r="826"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</row>
    <row r="827"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</row>
    <row r="828"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</row>
    <row r="829"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</row>
    <row r="830"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</row>
    <row r="831"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</row>
    <row r="832"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</row>
    <row r="833"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</row>
    <row r="834"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</row>
    <row r="835"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</row>
    <row r="836"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</row>
    <row r="837"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</row>
    <row r="838"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</row>
    <row r="839"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</row>
    <row r="840"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</row>
    <row r="841"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</row>
    <row r="842"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</row>
    <row r="843"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</row>
    <row r="844"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</row>
    <row r="845"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</row>
    <row r="846"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</row>
    <row r="847"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</row>
    <row r="848"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</row>
    <row r="849"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</row>
    <row r="850"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</row>
    <row r="851"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</row>
    <row r="852"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</row>
    <row r="853"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</row>
    <row r="854"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</row>
    <row r="855"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</row>
    <row r="856"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</row>
    <row r="857"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</row>
    <row r="858"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</row>
    <row r="859"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</row>
    <row r="860"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</row>
    <row r="861"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</row>
    <row r="862"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</row>
    <row r="863"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</row>
    <row r="864"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</row>
    <row r="865"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</row>
    <row r="866"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</row>
    <row r="867"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</row>
    <row r="868"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</row>
    <row r="869"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</row>
    <row r="870"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</row>
    <row r="871"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</row>
    <row r="872"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</row>
    <row r="873"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</row>
    <row r="874"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</row>
    <row r="875"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</row>
    <row r="876"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</row>
    <row r="877"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</row>
    <row r="878"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</row>
    <row r="879"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</row>
    <row r="880"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</row>
    <row r="881"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</row>
    <row r="882"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</row>
    <row r="883"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</row>
    <row r="884"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</row>
    <row r="885"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</row>
    <row r="886"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</row>
    <row r="887"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</row>
    <row r="888"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</row>
    <row r="889"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</row>
    <row r="890"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</row>
    <row r="891"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</row>
    <row r="892"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</row>
    <row r="893"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</row>
    <row r="894"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</row>
    <row r="895"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</row>
    <row r="896"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</row>
    <row r="897"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</row>
    <row r="898"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</row>
    <row r="899"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</row>
    <row r="900"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</row>
    <row r="901"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</row>
    <row r="902"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</row>
    <row r="903"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</row>
    <row r="904"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</row>
    <row r="905"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</row>
    <row r="906"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</row>
    <row r="907"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</row>
    <row r="908"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</row>
    <row r="909"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</row>
    <row r="910"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</row>
    <row r="911"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</row>
    <row r="912"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</row>
    <row r="913"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</row>
    <row r="914"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</row>
    <row r="915"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</row>
    <row r="916"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</row>
    <row r="917"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</row>
    <row r="918"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</row>
    <row r="919"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</row>
    <row r="920"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</row>
    <row r="921"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</row>
    <row r="922"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</row>
    <row r="923"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</row>
    <row r="924"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</row>
    <row r="925"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</row>
    <row r="926"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</row>
    <row r="927"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</row>
    <row r="928"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</row>
    <row r="929"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</row>
    <row r="930"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</row>
    <row r="931"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</row>
    <row r="932"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</row>
    <row r="933"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</row>
    <row r="934"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</row>
    <row r="935"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</row>
    <row r="936"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</row>
    <row r="937"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</row>
    <row r="938"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</row>
    <row r="939"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</row>
    <row r="940"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</row>
    <row r="941"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</row>
    <row r="942"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</row>
    <row r="943"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</row>
    <row r="944"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</row>
    <row r="945"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</row>
    <row r="946"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</row>
    <row r="947"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</row>
    <row r="948"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</row>
    <row r="949"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</row>
    <row r="950"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</row>
    <row r="951"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</row>
    <row r="952"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</row>
    <row r="953"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</row>
    <row r="954"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</row>
    <row r="955"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</row>
    <row r="956"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</row>
    <row r="957"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</row>
    <row r="958"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</row>
    <row r="959"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</row>
    <row r="960"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</row>
    <row r="961"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</row>
    <row r="962"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</row>
    <row r="963"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</row>
    <row r="964"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</row>
    <row r="965"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</row>
    <row r="966"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</row>
    <row r="967"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</row>
    <row r="968"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</row>
    <row r="969"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</row>
    <row r="970"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</row>
    <row r="971"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</row>
    <row r="972"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</row>
    <row r="973"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</row>
    <row r="974"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</row>
    <row r="975"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</row>
    <row r="976"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</row>
    <row r="977"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</row>
    <row r="978"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</row>
    <row r="979"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</row>
    <row r="980"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</row>
    <row r="981"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</row>
    <row r="982"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</row>
    <row r="983"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</row>
    <row r="984"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</row>
    <row r="985"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</row>
    <row r="986"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</row>
    <row r="987"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</row>
    <row r="988"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</row>
    <row r="989"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</row>
    <row r="990"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</row>
    <row r="991"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</row>
    <row r="992"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</row>
    <row r="993"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</row>
    <row r="994"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</row>
    <row r="995"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</row>
    <row r="996"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</row>
    <row r="997"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</row>
    <row r="998"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</row>
    <row r="999">
      <c r="D999" s="129"/>
      <c r="E999" s="129"/>
      <c r="F999" s="129"/>
      <c r="G999" s="129"/>
      <c r="H999" s="129"/>
      <c r="I999" s="129"/>
    </row>
    <row r="1000">
      <c r="D1000" s="129"/>
      <c r="E1000" s="129"/>
      <c r="F1000" s="129"/>
      <c r="G1000" s="129"/>
      <c r="H1000" s="129"/>
      <c r="I1000" s="129"/>
    </row>
  </sheetData>
  <mergeCells count="16">
    <mergeCell ref="H1:H2"/>
    <mergeCell ref="I1:I2"/>
    <mergeCell ref="J1:J2"/>
    <mergeCell ref="K1:K2"/>
    <mergeCell ref="L1:L2"/>
    <mergeCell ref="M1:M2"/>
    <mergeCell ref="A3:B3"/>
    <mergeCell ref="A27:B27"/>
    <mergeCell ref="A51:B51"/>
    <mergeCell ref="A1:A2"/>
    <mergeCell ref="B1:B2"/>
    <mergeCell ref="C1:C2"/>
    <mergeCell ref="D1:D2"/>
    <mergeCell ref="E1:E2"/>
    <mergeCell ref="F1:F2"/>
    <mergeCell ref="G1:G2"/>
  </mergeCells>
  <conditionalFormatting sqref="E4:M65">
    <cfRule type="expression" dxfId="0" priority="1">
      <formula>E4&lt;&gt;D4</formula>
    </cfRule>
  </conditionalFormatting>
  <hyperlinks>
    <hyperlink r:id="rId1" ref="C2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7.63"/>
    <col customWidth="1" min="3" max="3" width="41.25"/>
    <col customWidth="1" hidden="1" min="4" max="4" width="18.63"/>
    <col customWidth="1" hidden="1" min="5" max="5" width="18.75"/>
    <col customWidth="1" hidden="1" min="6" max="6" width="22.88"/>
    <col customWidth="1" hidden="1" min="7" max="12" width="21.0"/>
    <col customWidth="1" min="13" max="16" width="21.0"/>
  </cols>
  <sheetData>
    <row r="1">
      <c r="A1" s="130" t="s">
        <v>0</v>
      </c>
      <c r="B1" s="131" t="s">
        <v>1</v>
      </c>
      <c r="C1" s="132" t="s">
        <v>2</v>
      </c>
      <c r="D1" s="156" t="s">
        <v>1188</v>
      </c>
      <c r="E1" s="157" t="s">
        <v>1189</v>
      </c>
      <c r="F1" s="157" t="s">
        <v>1190</v>
      </c>
      <c r="G1" s="157" t="s">
        <v>1191</v>
      </c>
      <c r="H1" s="157" t="s">
        <v>1192</v>
      </c>
      <c r="I1" s="157" t="s">
        <v>1193</v>
      </c>
      <c r="J1" s="157" t="s">
        <v>1194</v>
      </c>
      <c r="K1" s="157" t="s">
        <v>1195</v>
      </c>
      <c r="L1" s="157" t="s">
        <v>1196</v>
      </c>
      <c r="M1" s="157" t="s">
        <v>1197</v>
      </c>
      <c r="N1" s="157" t="s">
        <v>1198</v>
      </c>
      <c r="O1" s="157" t="s">
        <v>1199</v>
      </c>
      <c r="P1" s="157" t="s">
        <v>1200</v>
      </c>
    </row>
    <row r="2">
      <c r="A2" s="4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48" t="s">
        <v>6</v>
      </c>
      <c r="B3" s="5"/>
      <c r="C3" s="30"/>
      <c r="D3" s="158"/>
      <c r="E3" s="135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</row>
    <row r="4">
      <c r="A4" s="159" t="s">
        <v>7</v>
      </c>
      <c r="B4" s="160" t="s">
        <v>7</v>
      </c>
      <c r="C4" s="161" t="s">
        <v>8</v>
      </c>
      <c r="D4" s="162" t="s">
        <v>1201</v>
      </c>
      <c r="E4" s="163" t="s">
        <v>1201</v>
      </c>
      <c r="F4" s="136" t="s">
        <v>1201</v>
      </c>
      <c r="G4" s="137" t="s">
        <v>1201</v>
      </c>
      <c r="H4" s="164" t="s">
        <v>1201</v>
      </c>
      <c r="I4" s="164" t="s">
        <v>1201</v>
      </c>
      <c r="J4" s="164" t="s">
        <v>1201</v>
      </c>
      <c r="K4" s="164" t="s">
        <v>1201</v>
      </c>
      <c r="L4" s="164" t="s">
        <v>1201</v>
      </c>
      <c r="M4" s="164" t="s">
        <v>1201</v>
      </c>
      <c r="N4" s="164" t="s">
        <v>1201</v>
      </c>
      <c r="O4" s="164" t="s">
        <v>1201</v>
      </c>
      <c r="P4" s="164" t="s">
        <v>1201</v>
      </c>
    </row>
    <row r="5">
      <c r="A5" s="165" t="s">
        <v>12</v>
      </c>
      <c r="B5" s="166" t="s">
        <v>13</v>
      </c>
      <c r="C5" s="167" t="s">
        <v>14</v>
      </c>
      <c r="D5" s="168">
        <v>2.00475003E8</v>
      </c>
      <c r="E5" s="168">
        <v>2.00475003E8</v>
      </c>
      <c r="F5" s="168">
        <v>2.00475003E8</v>
      </c>
      <c r="G5" s="137">
        <v>2.03615900014E11</v>
      </c>
      <c r="H5" s="169" t="s">
        <v>1202</v>
      </c>
      <c r="I5" s="169" t="s">
        <v>1202</v>
      </c>
      <c r="J5" s="169" t="s">
        <v>1202</v>
      </c>
      <c r="K5" s="169" t="s">
        <v>1202</v>
      </c>
      <c r="L5" s="169" t="s">
        <v>1202</v>
      </c>
      <c r="M5" s="169" t="s">
        <v>1202</v>
      </c>
      <c r="N5" s="169" t="s">
        <v>1202</v>
      </c>
      <c r="O5" s="169" t="s">
        <v>1202</v>
      </c>
      <c r="P5" s="169" t="s">
        <v>1202</v>
      </c>
    </row>
    <row r="6">
      <c r="A6" s="159" t="s">
        <v>17</v>
      </c>
      <c r="B6" s="160" t="s">
        <v>18</v>
      </c>
      <c r="C6" s="170" t="str">
        <f>HYPERLINK("https://play.google.com/store/apps/details?id=com.google.android.gms",HYPERLINK("https://play.google.com/store/apps/details?id=com.google.android.gms","com.google.android.gms"))</f>
        <v>com.google.android.gms</v>
      </c>
      <c r="D6" s="171" t="s">
        <v>1203</v>
      </c>
      <c r="E6" s="163" t="s">
        <v>1204</v>
      </c>
      <c r="F6" s="172" t="s">
        <v>1205</v>
      </c>
      <c r="G6" s="173" t="s">
        <v>1206</v>
      </c>
      <c r="H6" s="174" t="s">
        <v>1207</v>
      </c>
      <c r="I6" s="174" t="s">
        <v>1208</v>
      </c>
      <c r="J6" s="174" t="s">
        <v>1209</v>
      </c>
      <c r="K6" s="174" t="s">
        <v>1210</v>
      </c>
      <c r="L6" s="174" t="s">
        <v>1211</v>
      </c>
      <c r="M6" s="174" t="s">
        <v>1016</v>
      </c>
      <c r="N6" s="174" t="s">
        <v>1212</v>
      </c>
      <c r="O6" s="174" t="s">
        <v>1213</v>
      </c>
      <c r="P6" s="174" t="s">
        <v>1214</v>
      </c>
    </row>
    <row r="7">
      <c r="A7" s="159" t="s">
        <v>21</v>
      </c>
      <c r="B7" s="160" t="s">
        <v>22</v>
      </c>
      <c r="C7" s="161" t="s">
        <v>23</v>
      </c>
      <c r="D7" s="175" t="s">
        <v>1201</v>
      </c>
      <c r="E7" s="163" t="s">
        <v>1201</v>
      </c>
      <c r="F7" s="136" t="s">
        <v>1201</v>
      </c>
      <c r="G7" s="137" t="s">
        <v>1201</v>
      </c>
      <c r="H7" s="176" t="s">
        <v>1201</v>
      </c>
      <c r="I7" s="176" t="s">
        <v>1201</v>
      </c>
      <c r="J7" s="176" t="s">
        <v>1201</v>
      </c>
      <c r="K7" s="176" t="s">
        <v>1201</v>
      </c>
      <c r="L7" s="176" t="s">
        <v>1201</v>
      </c>
      <c r="M7" s="176" t="s">
        <v>1201</v>
      </c>
      <c r="N7" s="176" t="s">
        <v>1201</v>
      </c>
      <c r="O7" s="176" t="s">
        <v>1201</v>
      </c>
      <c r="P7" s="176" t="s">
        <v>1201</v>
      </c>
    </row>
    <row r="8">
      <c r="A8" s="159" t="s">
        <v>261</v>
      </c>
      <c r="B8" s="160" t="s">
        <v>262</v>
      </c>
      <c r="C8" s="161" t="s">
        <v>263</v>
      </c>
      <c r="D8" s="175" t="s">
        <v>1201</v>
      </c>
      <c r="E8" s="163" t="s">
        <v>1201</v>
      </c>
      <c r="F8" s="136" t="s">
        <v>1201</v>
      </c>
      <c r="G8" s="137" t="s">
        <v>1201</v>
      </c>
      <c r="H8" s="176" t="s">
        <v>1201</v>
      </c>
      <c r="I8" s="176" t="s">
        <v>1201</v>
      </c>
      <c r="J8" s="176" t="s">
        <v>1201</v>
      </c>
      <c r="K8" s="176" t="s">
        <v>1201</v>
      </c>
      <c r="L8" s="176" t="s">
        <v>1201</v>
      </c>
      <c r="M8" s="176" t="s">
        <v>1201</v>
      </c>
      <c r="N8" s="176" t="s">
        <v>1201</v>
      </c>
      <c r="O8" s="176" t="s">
        <v>1201</v>
      </c>
      <c r="P8" s="176" t="s">
        <v>1201</v>
      </c>
    </row>
    <row r="9">
      <c r="A9" s="159" t="s">
        <v>26</v>
      </c>
      <c r="B9" s="160" t="s">
        <v>27</v>
      </c>
      <c r="C9" s="161" t="s">
        <v>28</v>
      </c>
      <c r="D9" s="177" t="s">
        <v>1215</v>
      </c>
      <c r="E9" s="178" t="s">
        <v>1215</v>
      </c>
      <c r="F9" s="179" t="s">
        <v>1215</v>
      </c>
      <c r="G9" s="179" t="s">
        <v>1215</v>
      </c>
      <c r="H9" s="179" t="s">
        <v>1215</v>
      </c>
      <c r="I9" s="179" t="s">
        <v>1215</v>
      </c>
      <c r="J9" s="179" t="s">
        <v>1215</v>
      </c>
      <c r="K9" s="169" t="s">
        <v>1215</v>
      </c>
      <c r="L9" s="169" t="s">
        <v>1215</v>
      </c>
      <c r="M9" s="164">
        <v>100.342916144</v>
      </c>
      <c r="N9" s="164">
        <v>100.342916144</v>
      </c>
      <c r="O9" s="164">
        <v>100.342916144</v>
      </c>
      <c r="P9" s="164">
        <v>100.342916144</v>
      </c>
    </row>
    <row r="10">
      <c r="A10" s="180" t="s">
        <v>31</v>
      </c>
      <c r="B10" s="166" t="s">
        <v>32</v>
      </c>
      <c r="C10" s="167" t="s">
        <v>33</v>
      </c>
      <c r="D10" s="171" t="s">
        <v>1216</v>
      </c>
      <c r="E10" s="163" t="s">
        <v>1217</v>
      </c>
      <c r="F10" s="136" t="s">
        <v>1217</v>
      </c>
      <c r="G10" s="137" t="s">
        <v>1217</v>
      </c>
      <c r="H10" s="164" t="s">
        <v>1217</v>
      </c>
      <c r="I10" s="164" t="s">
        <v>1217</v>
      </c>
      <c r="J10" s="164" t="s">
        <v>1217</v>
      </c>
      <c r="K10" s="164" t="s">
        <v>1217</v>
      </c>
      <c r="L10" s="164" t="s">
        <v>1217</v>
      </c>
      <c r="M10" s="164" t="s">
        <v>1217</v>
      </c>
      <c r="N10" s="164" t="s">
        <v>1217</v>
      </c>
      <c r="O10" s="181" t="s">
        <v>1029</v>
      </c>
      <c r="P10" s="164" t="s">
        <v>1029</v>
      </c>
    </row>
    <row r="11">
      <c r="A11" s="159" t="s">
        <v>36</v>
      </c>
      <c r="B11" s="160" t="s">
        <v>37</v>
      </c>
      <c r="C11" s="161" t="s">
        <v>38</v>
      </c>
      <c r="D11" s="175" t="s">
        <v>1201</v>
      </c>
      <c r="E11" s="163" t="s">
        <v>1201</v>
      </c>
      <c r="F11" s="136" t="s">
        <v>1201</v>
      </c>
      <c r="G11" s="137" t="s">
        <v>1201</v>
      </c>
      <c r="H11" s="176" t="s">
        <v>1201</v>
      </c>
      <c r="I11" s="176" t="s">
        <v>1201</v>
      </c>
      <c r="J11" s="176" t="s">
        <v>1201</v>
      </c>
      <c r="K11" s="176" t="s">
        <v>1201</v>
      </c>
      <c r="L11" s="176" t="s">
        <v>1201</v>
      </c>
      <c r="M11" s="176" t="s">
        <v>1201</v>
      </c>
      <c r="N11" s="176" t="s">
        <v>1201</v>
      </c>
      <c r="O11" s="176" t="s">
        <v>1201</v>
      </c>
      <c r="P11" s="176" t="s">
        <v>1201</v>
      </c>
    </row>
    <row r="12">
      <c r="A12" s="165" t="s">
        <v>39</v>
      </c>
      <c r="B12" s="166" t="s">
        <v>40</v>
      </c>
      <c r="C12" s="167" t="s">
        <v>41</v>
      </c>
      <c r="D12" s="168">
        <v>1.1</v>
      </c>
      <c r="E12" s="182">
        <v>1.1</v>
      </c>
      <c r="F12" s="137">
        <v>1.1</v>
      </c>
      <c r="G12" s="137">
        <v>1.1</v>
      </c>
      <c r="H12" s="137">
        <v>1.1</v>
      </c>
      <c r="I12" s="137">
        <v>1.1</v>
      </c>
      <c r="J12" s="169" t="s">
        <v>330</v>
      </c>
      <c r="K12" s="169" t="s">
        <v>330</v>
      </c>
      <c r="L12" s="169" t="s">
        <v>330</v>
      </c>
      <c r="M12" s="169" t="s">
        <v>330</v>
      </c>
      <c r="N12" s="169" t="s">
        <v>330</v>
      </c>
      <c r="O12" s="169" t="s">
        <v>330</v>
      </c>
      <c r="P12" s="169" t="s">
        <v>330</v>
      </c>
    </row>
    <row r="13">
      <c r="A13" s="165" t="s">
        <v>43</v>
      </c>
      <c r="B13" s="166" t="s">
        <v>44</v>
      </c>
      <c r="C13" s="167" t="s">
        <v>45</v>
      </c>
      <c r="D13" s="171" t="s">
        <v>505</v>
      </c>
      <c r="E13" s="163" t="s">
        <v>505</v>
      </c>
      <c r="F13" s="136" t="s">
        <v>505</v>
      </c>
      <c r="G13" s="137" t="s">
        <v>505</v>
      </c>
      <c r="H13" s="164" t="s">
        <v>505</v>
      </c>
      <c r="I13" s="164" t="s">
        <v>505</v>
      </c>
      <c r="J13" s="164" t="s">
        <v>505</v>
      </c>
      <c r="K13" s="164" t="s">
        <v>505</v>
      </c>
      <c r="L13" s="164" t="s">
        <v>505</v>
      </c>
      <c r="M13" s="164" t="s">
        <v>505</v>
      </c>
      <c r="N13" s="164" t="s">
        <v>505</v>
      </c>
      <c r="O13" s="164" t="s">
        <v>505</v>
      </c>
      <c r="P13" s="164" t="s">
        <v>505</v>
      </c>
    </row>
    <row r="14">
      <c r="A14" s="159" t="s">
        <v>1218</v>
      </c>
      <c r="B14" s="160" t="s">
        <v>1219</v>
      </c>
      <c r="C14" s="183" t="s">
        <v>1220</v>
      </c>
      <c r="D14" s="171" t="s">
        <v>1221</v>
      </c>
      <c r="E14" s="163" t="s">
        <v>1221</v>
      </c>
      <c r="F14" s="136" t="s">
        <v>1221</v>
      </c>
      <c r="G14" s="137" t="s">
        <v>1221</v>
      </c>
      <c r="H14" s="164" t="s">
        <v>1221</v>
      </c>
      <c r="I14" s="164" t="s">
        <v>1221</v>
      </c>
      <c r="J14" s="164" t="s">
        <v>1221</v>
      </c>
      <c r="K14" s="164" t="s">
        <v>1221</v>
      </c>
      <c r="L14" s="164" t="s">
        <v>1221</v>
      </c>
      <c r="M14" s="164" t="s">
        <v>1221</v>
      </c>
      <c r="N14" s="164" t="s">
        <v>1221</v>
      </c>
      <c r="O14" s="164" t="s">
        <v>1221</v>
      </c>
      <c r="P14" s="164" t="s">
        <v>1221</v>
      </c>
    </row>
    <row r="15">
      <c r="A15" s="159" t="s">
        <v>48</v>
      </c>
      <c r="B15" s="160" t="s">
        <v>49</v>
      </c>
      <c r="C15" s="161" t="s">
        <v>50</v>
      </c>
      <c r="D15" s="171" t="s">
        <v>1222</v>
      </c>
      <c r="E15" s="163" t="s">
        <v>1223</v>
      </c>
      <c r="F15" s="172" t="s">
        <v>1224</v>
      </c>
      <c r="G15" s="173" t="s">
        <v>1225</v>
      </c>
      <c r="H15" s="173" t="s">
        <v>1225</v>
      </c>
      <c r="I15" s="184" t="s">
        <v>1226</v>
      </c>
      <c r="J15" s="184" t="s">
        <v>1227</v>
      </c>
      <c r="K15" s="184" t="s">
        <v>1228</v>
      </c>
      <c r="L15" s="184" t="s">
        <v>1229</v>
      </c>
      <c r="M15" s="174" t="s">
        <v>1230</v>
      </c>
      <c r="N15" s="174" t="s">
        <v>1231</v>
      </c>
      <c r="O15" s="174" t="s">
        <v>1232</v>
      </c>
      <c r="P15" s="174" t="s">
        <v>1233</v>
      </c>
    </row>
    <row r="16">
      <c r="A16" s="159" t="s">
        <v>53</v>
      </c>
      <c r="B16" s="160" t="s">
        <v>54</v>
      </c>
      <c r="C16" s="161" t="s">
        <v>55</v>
      </c>
      <c r="D16" s="185" t="s">
        <v>1234</v>
      </c>
      <c r="E16" s="186" t="s">
        <v>1235</v>
      </c>
      <c r="F16" s="187" t="s">
        <v>1236</v>
      </c>
      <c r="G16" s="146" t="s">
        <v>1237</v>
      </c>
      <c r="H16" s="147" t="s">
        <v>1238</v>
      </c>
      <c r="I16" s="187" t="s">
        <v>1238</v>
      </c>
      <c r="J16" s="187" t="s">
        <v>1238</v>
      </c>
      <c r="K16" s="147" t="s">
        <v>1239</v>
      </c>
      <c r="L16" s="187" t="s">
        <v>1239</v>
      </c>
      <c r="M16" s="187" t="s">
        <v>1239</v>
      </c>
      <c r="N16" s="187" t="s">
        <v>1239</v>
      </c>
      <c r="O16" s="187" t="s">
        <v>1239</v>
      </c>
      <c r="P16" s="146" t="s">
        <v>1040</v>
      </c>
    </row>
    <row r="17">
      <c r="A17" s="165" t="s">
        <v>58</v>
      </c>
      <c r="B17" s="166" t="s">
        <v>59</v>
      </c>
      <c r="C17" s="167" t="s">
        <v>60</v>
      </c>
      <c r="D17" s="171" t="s">
        <v>1240</v>
      </c>
      <c r="E17" s="163" t="s">
        <v>1240</v>
      </c>
      <c r="F17" s="136" t="s">
        <v>1240</v>
      </c>
      <c r="G17" s="137" t="s">
        <v>1240</v>
      </c>
      <c r="H17" s="164" t="s">
        <v>1240</v>
      </c>
      <c r="I17" s="181" t="s">
        <v>1241</v>
      </c>
      <c r="J17" s="164" t="s">
        <v>1241</v>
      </c>
      <c r="K17" s="164" t="s">
        <v>1241</v>
      </c>
      <c r="L17" s="164" t="s">
        <v>1241</v>
      </c>
      <c r="M17" s="164" t="s">
        <v>1241</v>
      </c>
      <c r="N17" s="164" t="s">
        <v>1241</v>
      </c>
      <c r="O17" s="164" t="s">
        <v>1241</v>
      </c>
      <c r="P17" s="164" t="s">
        <v>1241</v>
      </c>
    </row>
    <row r="18">
      <c r="A18" s="159" t="s">
        <v>62</v>
      </c>
      <c r="B18" s="160" t="s">
        <v>63</v>
      </c>
      <c r="C18" s="170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8" s="171" t="s">
        <v>1242</v>
      </c>
      <c r="E18" s="163" t="s">
        <v>1243</v>
      </c>
      <c r="F18" s="188" t="s">
        <v>1244</v>
      </c>
      <c r="G18" s="189" t="s">
        <v>1244</v>
      </c>
      <c r="H18" s="190" t="s">
        <v>1245</v>
      </c>
      <c r="I18" s="190" t="s">
        <v>1246</v>
      </c>
      <c r="J18" s="190" t="s">
        <v>1247</v>
      </c>
      <c r="K18" s="190" t="s">
        <v>1248</v>
      </c>
      <c r="L18" s="191" t="s">
        <v>1248</v>
      </c>
      <c r="M18" s="191" t="s">
        <v>1249</v>
      </c>
      <c r="N18" s="191" t="s">
        <v>1249</v>
      </c>
      <c r="O18" s="191" t="s">
        <v>1249</v>
      </c>
      <c r="P18" s="190" t="s">
        <v>1250</v>
      </c>
    </row>
    <row r="19">
      <c r="A19" s="165" t="s">
        <v>66</v>
      </c>
      <c r="B19" s="166" t="s">
        <v>67</v>
      </c>
      <c r="C19" s="167" t="s">
        <v>68</v>
      </c>
      <c r="D19" s="171" t="s">
        <v>1251</v>
      </c>
      <c r="E19" s="163" t="s">
        <v>1251</v>
      </c>
      <c r="F19" s="136" t="s">
        <v>1251</v>
      </c>
      <c r="G19" s="137" t="s">
        <v>1251</v>
      </c>
      <c r="H19" s="164" t="s">
        <v>1251</v>
      </c>
      <c r="I19" s="164" t="s">
        <v>1251</v>
      </c>
      <c r="J19" s="164" t="s">
        <v>1251</v>
      </c>
      <c r="K19" s="164" t="s">
        <v>1251</v>
      </c>
      <c r="L19" s="164" t="s">
        <v>1251</v>
      </c>
      <c r="M19" s="164" t="s">
        <v>1251</v>
      </c>
      <c r="N19" s="164" t="s">
        <v>1251</v>
      </c>
      <c r="O19" s="164" t="s">
        <v>1251</v>
      </c>
      <c r="P19" s="164" t="s">
        <v>1251</v>
      </c>
    </row>
    <row r="20">
      <c r="A20" s="165" t="s">
        <v>72</v>
      </c>
      <c r="B20" s="166" t="s">
        <v>73</v>
      </c>
      <c r="C20" s="192" t="s">
        <v>74</v>
      </c>
      <c r="D20" s="171" t="s">
        <v>1252</v>
      </c>
      <c r="E20" s="163" t="s">
        <v>1252</v>
      </c>
      <c r="F20" s="172" t="s">
        <v>1253</v>
      </c>
      <c r="G20" s="173" t="s">
        <v>1254</v>
      </c>
      <c r="H20" s="193" t="s">
        <v>1254</v>
      </c>
      <c r="I20" s="184" t="s">
        <v>1255</v>
      </c>
      <c r="J20" s="193" t="s">
        <v>1255</v>
      </c>
      <c r="K20" s="184" t="s">
        <v>1256</v>
      </c>
      <c r="L20" s="184" t="s">
        <v>1257</v>
      </c>
      <c r="M20" s="174" t="s">
        <v>1257</v>
      </c>
      <c r="N20" s="174" t="s">
        <v>1053</v>
      </c>
      <c r="O20" s="174" t="s">
        <v>1054</v>
      </c>
      <c r="P20" s="194" t="s">
        <v>1054</v>
      </c>
    </row>
    <row r="21">
      <c r="A21" s="195" t="s">
        <v>317</v>
      </c>
      <c r="B21" s="196" t="s">
        <v>318</v>
      </c>
      <c r="C21" s="197" t="str">
        <f>HYPERLINK("https://play.google.com/store/apps/details?id=com.google.android.ims","com.google.android.ims")</f>
        <v>com.google.android.ims</v>
      </c>
      <c r="D21" s="175" t="s">
        <v>1258</v>
      </c>
      <c r="E21" s="163" t="s">
        <v>1258</v>
      </c>
      <c r="F21" s="172" t="s">
        <v>1259</v>
      </c>
      <c r="G21" s="173" t="s">
        <v>1260</v>
      </c>
      <c r="H21" s="184" t="s">
        <v>1261</v>
      </c>
      <c r="I21" s="184" t="s">
        <v>1262</v>
      </c>
      <c r="J21" s="184" t="s">
        <v>1263</v>
      </c>
      <c r="K21" s="184" t="s">
        <v>1264</v>
      </c>
      <c r="L21" s="184" t="s">
        <v>1265</v>
      </c>
      <c r="M21" s="174" t="s">
        <v>1266</v>
      </c>
      <c r="N21" s="174" t="s">
        <v>1267</v>
      </c>
      <c r="O21" s="174" t="s">
        <v>853</v>
      </c>
      <c r="P21" s="174" t="s">
        <v>1268</v>
      </c>
    </row>
    <row r="22">
      <c r="A22" s="198" t="s">
        <v>97</v>
      </c>
      <c r="B22" s="199" t="s">
        <v>98</v>
      </c>
      <c r="C22" s="200" t="str">
        <f>HYPERLINK("https://play.google.com/store/apps/details?id=com.google.android.dialer","com.google.android.dialer")</f>
        <v>com.google.android.dialer</v>
      </c>
      <c r="D22" s="171" t="s">
        <v>1269</v>
      </c>
      <c r="E22" s="163" t="s">
        <v>1270</v>
      </c>
      <c r="F22" s="172" t="s">
        <v>1271</v>
      </c>
      <c r="G22" s="173" t="s">
        <v>1272</v>
      </c>
      <c r="H22" s="174" t="s">
        <v>1273</v>
      </c>
      <c r="I22" s="174" t="s">
        <v>1274</v>
      </c>
      <c r="J22" s="174" t="s">
        <v>1275</v>
      </c>
      <c r="K22" s="174" t="s">
        <v>1276</v>
      </c>
      <c r="L22" s="174" t="s">
        <v>1063</v>
      </c>
      <c r="M22" s="174" t="s">
        <v>1277</v>
      </c>
      <c r="N22" s="174" t="s">
        <v>1278</v>
      </c>
      <c r="O22" s="174" t="s">
        <v>1279</v>
      </c>
      <c r="P22" s="174" t="s">
        <v>1280</v>
      </c>
    </row>
    <row r="23">
      <c r="A23" s="198" t="s">
        <v>1281</v>
      </c>
      <c r="B23" s="199" t="s">
        <v>1282</v>
      </c>
      <c r="C23" s="161" t="s">
        <v>1283</v>
      </c>
      <c r="D23" s="171" t="s">
        <v>1284</v>
      </c>
      <c r="E23" s="163" t="s">
        <v>1284</v>
      </c>
      <c r="F23" s="136" t="s">
        <v>1284</v>
      </c>
      <c r="G23" s="137" t="s">
        <v>1284</v>
      </c>
      <c r="H23" s="164" t="s">
        <v>1284</v>
      </c>
      <c r="I23" s="164" t="s">
        <v>1284</v>
      </c>
      <c r="J23" s="164" t="s">
        <v>1284</v>
      </c>
      <c r="K23" s="164" t="s">
        <v>1284</v>
      </c>
      <c r="L23" s="164" t="s">
        <v>1284</v>
      </c>
      <c r="M23" s="164" t="s">
        <v>1284</v>
      </c>
      <c r="N23" s="164" t="s">
        <v>1284</v>
      </c>
      <c r="O23" s="164" t="s">
        <v>1284</v>
      </c>
      <c r="P23" s="164" t="s">
        <v>1284</v>
      </c>
    </row>
    <row r="24">
      <c r="A24" s="198" t="s">
        <v>327</v>
      </c>
      <c r="B24" s="199" t="s">
        <v>328</v>
      </c>
      <c r="C24" s="161" t="s">
        <v>329</v>
      </c>
      <c r="D24" s="168">
        <v>1.1</v>
      </c>
      <c r="E24" s="168">
        <v>1.1</v>
      </c>
      <c r="F24" s="168">
        <v>1.1</v>
      </c>
      <c r="G24" s="137">
        <v>1.1</v>
      </c>
      <c r="H24" s="137">
        <v>1.1</v>
      </c>
      <c r="I24" s="137">
        <v>1.1</v>
      </c>
      <c r="J24" s="169" t="s">
        <v>330</v>
      </c>
      <c r="K24" s="169" t="s">
        <v>330</v>
      </c>
      <c r="L24" s="169" t="s">
        <v>330</v>
      </c>
      <c r="M24" s="169" t="s">
        <v>330</v>
      </c>
      <c r="N24" s="169" t="s">
        <v>330</v>
      </c>
      <c r="O24" s="169" t="s">
        <v>330</v>
      </c>
      <c r="P24" s="169" t="s">
        <v>330</v>
      </c>
    </row>
    <row r="25">
      <c r="A25" s="195" t="s">
        <v>101</v>
      </c>
      <c r="B25" s="196" t="s">
        <v>102</v>
      </c>
      <c r="C25" s="201" t="s">
        <v>1285</v>
      </c>
      <c r="D25" s="171" t="s">
        <v>1286</v>
      </c>
      <c r="E25" s="163" t="s">
        <v>1286</v>
      </c>
      <c r="F25" s="136" t="s">
        <v>1286</v>
      </c>
      <c r="G25" s="137" t="s">
        <v>1286</v>
      </c>
      <c r="H25" s="181" t="s">
        <v>1287</v>
      </c>
      <c r="I25" s="164" t="s">
        <v>1287</v>
      </c>
      <c r="J25" s="164" t="s">
        <v>1287</v>
      </c>
      <c r="K25" s="181" t="s">
        <v>1288</v>
      </c>
      <c r="L25" s="181" t="s">
        <v>1069</v>
      </c>
      <c r="M25" s="181" t="s">
        <v>1069</v>
      </c>
      <c r="N25" s="181" t="s">
        <v>1070</v>
      </c>
      <c r="O25" s="164" t="s">
        <v>1070</v>
      </c>
      <c r="P25" s="181" t="s">
        <v>1071</v>
      </c>
    </row>
    <row r="26">
      <c r="A26" s="29" t="s">
        <v>110</v>
      </c>
      <c r="B26" s="11" t="s">
        <v>111</v>
      </c>
      <c r="C26" s="11" t="s">
        <v>112</v>
      </c>
      <c r="D26" s="202" t="s">
        <v>1201</v>
      </c>
      <c r="E26" s="163" t="s">
        <v>1201</v>
      </c>
      <c r="F26" s="136" t="s">
        <v>1201</v>
      </c>
      <c r="G26" s="137" t="s">
        <v>1289</v>
      </c>
      <c r="H26" s="176" t="s">
        <v>1289</v>
      </c>
      <c r="I26" s="176" t="s">
        <v>1289</v>
      </c>
      <c r="J26" s="181" t="s">
        <v>1290</v>
      </c>
      <c r="K26" s="176" t="s">
        <v>1290</v>
      </c>
      <c r="L26" s="203" t="s">
        <v>1290</v>
      </c>
      <c r="M26" s="204" t="s">
        <v>1290</v>
      </c>
      <c r="N26" s="176" t="s">
        <v>1290</v>
      </c>
      <c r="O26" s="176" t="s">
        <v>1290</v>
      </c>
      <c r="P26" s="176" t="s">
        <v>1290</v>
      </c>
    </row>
    <row r="27">
      <c r="A27" s="48" t="s">
        <v>113</v>
      </c>
      <c r="B27" s="5"/>
      <c r="C27" s="30"/>
      <c r="D27" s="158"/>
      <c r="E27" s="205"/>
      <c r="F27" s="206"/>
      <c r="G27" s="206"/>
      <c r="H27" s="136"/>
      <c r="I27" s="207"/>
      <c r="J27" s="207"/>
      <c r="K27" s="207"/>
      <c r="L27" s="207"/>
      <c r="M27" s="136"/>
      <c r="N27" s="136"/>
      <c r="O27" s="136"/>
      <c r="P27" s="136"/>
    </row>
    <row r="28">
      <c r="A28" s="159" t="s">
        <v>114</v>
      </c>
      <c r="B28" s="160" t="s">
        <v>114</v>
      </c>
      <c r="C28" s="208" t="str">
        <f>HYPERLINK("https://play.google.com/store/apps/details?id=com.android.chrome",HYPERLINK("https://play.google.com/store/apps/details?id=com.android.chrome","com.android.chrome"))</f>
        <v>com.android.chrome</v>
      </c>
      <c r="D28" s="162" t="s">
        <v>1291</v>
      </c>
      <c r="E28" s="163" t="s">
        <v>1291</v>
      </c>
      <c r="F28" s="172" t="s">
        <v>1292</v>
      </c>
      <c r="G28" s="173" t="s">
        <v>1293</v>
      </c>
      <c r="H28" s="174" t="s">
        <v>1294</v>
      </c>
      <c r="I28" s="194" t="s">
        <v>1294</v>
      </c>
      <c r="J28" s="194" t="s">
        <v>1294</v>
      </c>
      <c r="K28" s="174" t="s">
        <v>1295</v>
      </c>
      <c r="L28" s="174" t="s">
        <v>1296</v>
      </c>
      <c r="M28" s="174" t="s">
        <v>1297</v>
      </c>
      <c r="N28" s="174" t="s">
        <v>1298</v>
      </c>
      <c r="O28" s="194" t="s">
        <v>1298</v>
      </c>
      <c r="P28" s="174" t="s">
        <v>1299</v>
      </c>
    </row>
    <row r="29">
      <c r="A29" s="159" t="s">
        <v>117</v>
      </c>
      <c r="B29" s="160" t="s">
        <v>117</v>
      </c>
      <c r="C29" s="170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9" s="171" t="s">
        <v>1300</v>
      </c>
      <c r="E29" s="163" t="s">
        <v>1300</v>
      </c>
      <c r="F29" s="172" t="s">
        <v>1301</v>
      </c>
      <c r="G29" s="173" t="s">
        <v>1302</v>
      </c>
      <c r="H29" s="184" t="s">
        <v>1303</v>
      </c>
      <c r="I29" s="184" t="s">
        <v>1304</v>
      </c>
      <c r="J29" s="184" t="s">
        <v>1305</v>
      </c>
      <c r="K29" s="184" t="s">
        <v>1306</v>
      </c>
      <c r="L29" s="184" t="s">
        <v>1307</v>
      </c>
      <c r="M29" s="174" t="s">
        <v>1308</v>
      </c>
      <c r="N29" s="174" t="s">
        <v>1309</v>
      </c>
      <c r="O29" s="174" t="s">
        <v>1310</v>
      </c>
      <c r="P29" s="174" t="s">
        <v>1311</v>
      </c>
    </row>
    <row r="30">
      <c r="A30" s="159" t="s">
        <v>886</v>
      </c>
      <c r="B30" s="160" t="s">
        <v>886</v>
      </c>
      <c r="C30" s="209" t="str">
        <f>HYPERLINK("https://play.google.com/store/apps/details?id=com.google.android.apps.tachyon","com.google.android.apps.tachyon")</f>
        <v>com.google.android.apps.tachyon</v>
      </c>
      <c r="D30" s="171" t="s">
        <v>1312</v>
      </c>
      <c r="E30" s="163" t="s">
        <v>1312</v>
      </c>
      <c r="F30" s="172" t="s">
        <v>1313</v>
      </c>
      <c r="G30" s="173" t="s">
        <v>1314</v>
      </c>
      <c r="H30" s="184" t="s">
        <v>1315</v>
      </c>
      <c r="I30" s="184" t="s">
        <v>1316</v>
      </c>
      <c r="J30" s="184" t="s">
        <v>1317</v>
      </c>
      <c r="K30" s="184" t="s">
        <v>1318</v>
      </c>
      <c r="L30" s="184" t="s">
        <v>1319</v>
      </c>
      <c r="M30" s="174" t="s">
        <v>1320</v>
      </c>
      <c r="N30" s="174" t="s">
        <v>1321</v>
      </c>
      <c r="O30" s="174" t="s">
        <v>1322</v>
      </c>
      <c r="P30" s="174" t="s">
        <v>1323</v>
      </c>
    </row>
    <row r="31">
      <c r="A31" s="159" t="s">
        <v>123</v>
      </c>
      <c r="B31" s="160" t="s">
        <v>124</v>
      </c>
      <c r="C31" s="170" t="str">
        <f>HYPERLINK("https://play.google.com/store/apps/details?id=com.google.android.gm",HYPERLINK("https://play.google.com/store/apps/details?id=com.google.android.gm","com.google.android.gm"))</f>
        <v>com.google.android.gm</v>
      </c>
      <c r="D31" s="171" t="s">
        <v>1324</v>
      </c>
      <c r="E31" s="163" t="s">
        <v>1324</v>
      </c>
      <c r="F31" s="172" t="s">
        <v>1325</v>
      </c>
      <c r="G31" s="173" t="s">
        <v>1326</v>
      </c>
      <c r="H31" s="184" t="s">
        <v>1327</v>
      </c>
      <c r="I31" s="184" t="s">
        <v>1328</v>
      </c>
      <c r="J31" s="184" t="s">
        <v>1329</v>
      </c>
      <c r="K31" s="184" t="s">
        <v>1330</v>
      </c>
      <c r="L31" s="184" t="s">
        <v>1331</v>
      </c>
      <c r="M31" s="174" t="s">
        <v>1332</v>
      </c>
      <c r="N31" s="174" t="s">
        <v>1092</v>
      </c>
      <c r="O31" s="174" t="s">
        <v>1333</v>
      </c>
      <c r="P31" s="174" t="s">
        <v>1334</v>
      </c>
    </row>
    <row r="32">
      <c r="A32" s="159" t="s">
        <v>127</v>
      </c>
      <c r="B32" s="160" t="s">
        <v>128</v>
      </c>
      <c r="C32" s="161" t="s">
        <v>129</v>
      </c>
      <c r="D32" s="171" t="s">
        <v>1335</v>
      </c>
      <c r="E32" s="163" t="s">
        <v>1335</v>
      </c>
      <c r="F32" s="163" t="s">
        <v>1335</v>
      </c>
      <c r="G32" s="163" t="s">
        <v>1335</v>
      </c>
      <c r="H32" s="163" t="s">
        <v>1335</v>
      </c>
      <c r="I32" s="163" t="s">
        <v>1335</v>
      </c>
      <c r="J32" s="163" t="s">
        <v>1335</v>
      </c>
      <c r="K32" s="173" t="s">
        <v>1335</v>
      </c>
      <c r="L32" s="194" t="s">
        <v>1335</v>
      </c>
      <c r="M32" s="194" t="s">
        <v>1335</v>
      </c>
      <c r="N32" s="194" t="s">
        <v>1335</v>
      </c>
      <c r="O32" s="194" t="s">
        <v>1335</v>
      </c>
      <c r="P32" s="194" t="s">
        <v>1335</v>
      </c>
    </row>
    <row r="33">
      <c r="A33" s="159" t="s">
        <v>1098</v>
      </c>
      <c r="B33" s="160" t="s">
        <v>1099</v>
      </c>
      <c r="C33" s="161" t="s">
        <v>1100</v>
      </c>
      <c r="D33" s="175" t="s">
        <v>1201</v>
      </c>
      <c r="E33" s="163" t="s">
        <v>1201</v>
      </c>
      <c r="F33" s="136" t="s">
        <v>1201</v>
      </c>
      <c r="G33" s="137" t="s">
        <v>1201</v>
      </c>
      <c r="H33" s="176" t="s">
        <v>1201</v>
      </c>
      <c r="I33" s="176" t="s">
        <v>1201</v>
      </c>
      <c r="J33" s="176" t="s">
        <v>1201</v>
      </c>
      <c r="K33" s="176" t="s">
        <v>1201</v>
      </c>
      <c r="L33" s="176" t="s">
        <v>1201</v>
      </c>
      <c r="M33" s="176" t="s">
        <v>1201</v>
      </c>
      <c r="N33" s="176" t="s">
        <v>1201</v>
      </c>
      <c r="O33" s="176" t="s">
        <v>1201</v>
      </c>
      <c r="P33" s="176" t="s">
        <v>1201</v>
      </c>
    </row>
    <row r="34">
      <c r="A34" s="159" t="s">
        <v>131</v>
      </c>
      <c r="B34" s="160" t="s">
        <v>131</v>
      </c>
      <c r="C34" s="170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4" s="171" t="s">
        <v>1336</v>
      </c>
      <c r="E34" s="163" t="s">
        <v>1336</v>
      </c>
      <c r="F34" s="172" t="s">
        <v>1337</v>
      </c>
      <c r="G34" s="173" t="s">
        <v>1338</v>
      </c>
      <c r="H34" s="184" t="s">
        <v>1339</v>
      </c>
      <c r="I34" s="184" t="s">
        <v>1340</v>
      </c>
      <c r="J34" s="184" t="s">
        <v>1341</v>
      </c>
      <c r="K34" s="184" t="s">
        <v>1342</v>
      </c>
      <c r="L34" s="184" t="s">
        <v>1343</v>
      </c>
      <c r="M34" s="174" t="s">
        <v>1344</v>
      </c>
      <c r="N34" s="174" t="s">
        <v>1345</v>
      </c>
      <c r="O34" s="174" t="s">
        <v>1346</v>
      </c>
      <c r="P34" s="174" t="s">
        <v>1347</v>
      </c>
    </row>
    <row r="35">
      <c r="A35" s="159" t="s">
        <v>134</v>
      </c>
      <c r="B35" s="160" t="s">
        <v>135</v>
      </c>
      <c r="C35" s="210" t="str">
        <f>HYPERLINK("https://play.google.com/store/apps/details?id=com.google.android.apps.photos","com.google.android.apps.photos")</f>
        <v>com.google.android.apps.photos</v>
      </c>
      <c r="D35" s="211" t="s">
        <v>1348</v>
      </c>
      <c r="E35" s="212" t="s">
        <v>1348</v>
      </c>
      <c r="F35" s="172" t="s">
        <v>1349</v>
      </c>
      <c r="G35" s="173" t="s">
        <v>1350</v>
      </c>
      <c r="H35" s="184" t="s">
        <v>1351</v>
      </c>
      <c r="I35" s="184" t="s">
        <v>1352</v>
      </c>
      <c r="J35" s="184" t="s">
        <v>1353</v>
      </c>
      <c r="K35" s="184" t="s">
        <v>1354</v>
      </c>
      <c r="L35" s="184" t="s">
        <v>1355</v>
      </c>
      <c r="M35" s="174" t="s">
        <v>1356</v>
      </c>
      <c r="N35" s="174" t="s">
        <v>1357</v>
      </c>
      <c r="O35" s="174" t="s">
        <v>1358</v>
      </c>
      <c r="P35" s="174" t="s">
        <v>1359</v>
      </c>
    </row>
    <row r="36">
      <c r="A36" s="159" t="s">
        <v>138</v>
      </c>
      <c r="B36" s="160" t="s">
        <v>139</v>
      </c>
      <c r="C36" s="170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6" s="211" t="s">
        <v>1360</v>
      </c>
      <c r="E36" s="212" t="s">
        <v>1360</v>
      </c>
      <c r="F36" s="188" t="s">
        <v>1361</v>
      </c>
      <c r="G36" s="189" t="s">
        <v>1362</v>
      </c>
      <c r="H36" s="213" t="s">
        <v>1362</v>
      </c>
      <c r="I36" s="214" t="s">
        <v>1363</v>
      </c>
      <c r="J36" s="213" t="s">
        <v>1363</v>
      </c>
      <c r="K36" s="213" t="s">
        <v>1363</v>
      </c>
      <c r="L36" s="214" t="s">
        <v>1112</v>
      </c>
      <c r="M36" s="190" t="s">
        <v>1112</v>
      </c>
      <c r="N36" s="190" t="s">
        <v>1364</v>
      </c>
      <c r="O36" s="190" t="s">
        <v>1113</v>
      </c>
      <c r="P36" s="190" t="s">
        <v>1365</v>
      </c>
    </row>
    <row r="37">
      <c r="A37" s="159" t="s">
        <v>142</v>
      </c>
      <c r="B37" s="160" t="s">
        <v>143</v>
      </c>
      <c r="C37" s="170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7" s="171" t="s">
        <v>1291</v>
      </c>
      <c r="E37" s="163" t="s">
        <v>1291</v>
      </c>
      <c r="F37" s="172" t="s">
        <v>1292</v>
      </c>
      <c r="G37" s="173" t="s">
        <v>1293</v>
      </c>
      <c r="H37" s="184" t="s">
        <v>1294</v>
      </c>
      <c r="I37" s="193" t="s">
        <v>1294</v>
      </c>
      <c r="J37" s="193" t="s">
        <v>1294</v>
      </c>
      <c r="K37" s="184" t="s">
        <v>1295</v>
      </c>
      <c r="L37" s="184" t="s">
        <v>1296</v>
      </c>
      <c r="M37" s="174" t="s">
        <v>1297</v>
      </c>
      <c r="N37" s="174" t="s">
        <v>1298</v>
      </c>
      <c r="O37" s="194" t="s">
        <v>1298</v>
      </c>
      <c r="P37" s="174" t="s">
        <v>1299</v>
      </c>
    </row>
    <row r="38">
      <c r="A38" s="159" t="s">
        <v>145</v>
      </c>
      <c r="B38" s="160" t="s">
        <v>145</v>
      </c>
      <c r="C38" s="170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8" s="211" t="s">
        <v>1366</v>
      </c>
      <c r="E38" s="212" t="s">
        <v>1366</v>
      </c>
      <c r="F38" s="172" t="s">
        <v>1367</v>
      </c>
      <c r="G38" s="173" t="s">
        <v>1368</v>
      </c>
      <c r="H38" s="184" t="s">
        <v>1369</v>
      </c>
      <c r="I38" s="184" t="s">
        <v>1370</v>
      </c>
      <c r="J38" s="184" t="s">
        <v>1371</v>
      </c>
      <c r="K38" s="184" t="s">
        <v>1372</v>
      </c>
      <c r="L38" s="184" t="s">
        <v>1373</v>
      </c>
      <c r="M38" s="174" t="s">
        <v>1374</v>
      </c>
      <c r="N38" s="174" t="s">
        <v>1375</v>
      </c>
      <c r="O38" s="174" t="s">
        <v>1376</v>
      </c>
      <c r="P38" s="174" t="s">
        <v>1377</v>
      </c>
    </row>
    <row r="39">
      <c r="A39" s="215" t="s">
        <v>148</v>
      </c>
      <c r="B39" s="216" t="s">
        <v>149</v>
      </c>
      <c r="C39" s="201" t="s">
        <v>150</v>
      </c>
      <c r="D39" s="211" t="s">
        <v>1378</v>
      </c>
      <c r="E39" s="212" t="s">
        <v>1378</v>
      </c>
      <c r="F39" s="172" t="s">
        <v>1379</v>
      </c>
      <c r="G39" s="173" t="s">
        <v>1380</v>
      </c>
      <c r="H39" s="184" t="s">
        <v>1381</v>
      </c>
      <c r="I39" s="184" t="s">
        <v>1382</v>
      </c>
      <c r="J39" s="184" t="s">
        <v>1383</v>
      </c>
      <c r="K39" s="184" t="s">
        <v>1384</v>
      </c>
      <c r="L39" s="184" t="s">
        <v>1385</v>
      </c>
      <c r="M39" s="174" t="s">
        <v>1386</v>
      </c>
      <c r="N39" s="194" t="s">
        <v>1386</v>
      </c>
      <c r="O39" s="194" t="s">
        <v>1386</v>
      </c>
      <c r="P39" s="174" t="s">
        <v>1387</v>
      </c>
    </row>
    <row r="40">
      <c r="A40" s="159" t="s">
        <v>1388</v>
      </c>
      <c r="B40" s="160" t="s">
        <v>1389</v>
      </c>
      <c r="C40" s="170" t="str">
        <f>HYPERLINK("https://play.google.com/store/apps/details?id=com.google.android.tts",HYPERLINK("https://play.google.com/store/apps/details?id=com.google.android.tts","com.google.android.tts"))</f>
        <v>com.google.android.tts</v>
      </c>
      <c r="D40" s="171" t="s">
        <v>1390</v>
      </c>
      <c r="E40" s="163" t="s">
        <v>1390</v>
      </c>
      <c r="F40" s="172" t="s">
        <v>1391</v>
      </c>
      <c r="G40" s="172" t="s">
        <v>1391</v>
      </c>
      <c r="H40" s="217" t="s">
        <v>1392</v>
      </c>
      <c r="I40" s="172" t="s">
        <v>1392</v>
      </c>
      <c r="J40" s="217" t="s">
        <v>1393</v>
      </c>
      <c r="K40" s="172" t="s">
        <v>1393</v>
      </c>
      <c r="L40" s="217" t="s">
        <v>1394</v>
      </c>
      <c r="M40" s="217" t="s">
        <v>1394</v>
      </c>
      <c r="N40" s="217">
        <v>2.021091401E7</v>
      </c>
      <c r="O40" s="217">
        <v>2.021102101E7</v>
      </c>
      <c r="P40" s="172">
        <v>2.021102101E7</v>
      </c>
    </row>
    <row r="41">
      <c r="A41" s="198" t="s">
        <v>157</v>
      </c>
      <c r="B41" s="199" t="s">
        <v>158</v>
      </c>
      <c r="C41" s="161" t="s">
        <v>159</v>
      </c>
      <c r="D41" s="168">
        <v>7.8</v>
      </c>
      <c r="E41" s="168">
        <v>7.8</v>
      </c>
      <c r="F41" s="168">
        <v>7.8</v>
      </c>
      <c r="G41" s="137">
        <v>7.8</v>
      </c>
      <c r="H41" s="169" t="s">
        <v>1395</v>
      </c>
      <c r="I41" s="169" t="s">
        <v>1395</v>
      </c>
      <c r="J41" s="169" t="s">
        <v>1395</v>
      </c>
      <c r="K41" s="169" t="s">
        <v>1395</v>
      </c>
      <c r="L41" s="169" t="s">
        <v>1395</v>
      </c>
      <c r="M41" s="169" t="s">
        <v>1395</v>
      </c>
      <c r="N41" s="181">
        <v>8.1</v>
      </c>
      <c r="O41" s="164">
        <v>8.1</v>
      </c>
      <c r="P41" s="164">
        <v>8.1</v>
      </c>
    </row>
    <row r="42">
      <c r="A42" s="198" t="s">
        <v>162</v>
      </c>
      <c r="B42" s="199" t="s">
        <v>163</v>
      </c>
      <c r="C42" s="170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2" s="171" t="s">
        <v>1396</v>
      </c>
      <c r="E42" s="163" t="s">
        <v>1396</v>
      </c>
      <c r="F42" s="218" t="s">
        <v>1397</v>
      </c>
      <c r="G42" s="219" t="s">
        <v>1398</v>
      </c>
      <c r="H42" s="220" t="s">
        <v>1399</v>
      </c>
      <c r="I42" s="220" t="s">
        <v>1400</v>
      </c>
      <c r="J42" s="220" t="s">
        <v>1401</v>
      </c>
      <c r="K42" s="220" t="s">
        <v>1402</v>
      </c>
      <c r="L42" s="220" t="s">
        <v>1403</v>
      </c>
      <c r="M42" s="221" t="s">
        <v>1404</v>
      </c>
      <c r="N42" s="174" t="s">
        <v>1405</v>
      </c>
      <c r="O42" s="174" t="s">
        <v>1133</v>
      </c>
      <c r="P42" s="174" t="s">
        <v>1406</v>
      </c>
    </row>
    <row r="43">
      <c r="A43" s="198" t="s">
        <v>179</v>
      </c>
      <c r="B43" s="199" t="s">
        <v>180</v>
      </c>
      <c r="C43" s="222" t="str">
        <f>HYPERLINK("https://play.google.com/store/apps/details?id=com.google.android.deskclock","com.google.android.deskclock")</f>
        <v>com.google.android.deskclock</v>
      </c>
      <c r="D43" s="185" t="s">
        <v>1407</v>
      </c>
      <c r="E43" s="178" t="s">
        <v>1407</v>
      </c>
      <c r="F43" s="218" t="s">
        <v>1408</v>
      </c>
      <c r="G43" s="219" t="s">
        <v>1408</v>
      </c>
      <c r="H43" s="223" t="s">
        <v>1408</v>
      </c>
      <c r="I43" s="220">
        <v>6.4</v>
      </c>
      <c r="J43" s="223">
        <v>6.4</v>
      </c>
      <c r="K43" s="223">
        <v>6.4</v>
      </c>
      <c r="L43" s="223">
        <v>6.4</v>
      </c>
      <c r="M43" s="224" t="s">
        <v>1409</v>
      </c>
      <c r="N43" s="221">
        <v>7.1</v>
      </c>
      <c r="O43" s="224">
        <v>7.1</v>
      </c>
      <c r="P43" s="224">
        <v>7.1</v>
      </c>
    </row>
    <row r="44">
      <c r="A44" s="198" t="s">
        <v>187</v>
      </c>
      <c r="B44" s="199" t="s">
        <v>188</v>
      </c>
      <c r="C44" s="200" t="str">
        <f>HYPERLINK("https://play.google.com/store/apps/details?id=com.google.android.contacts","com.google.android.contacts")</f>
        <v>com.google.android.contacts</v>
      </c>
      <c r="D44" s="171" t="s">
        <v>1410</v>
      </c>
      <c r="E44" s="163" t="s">
        <v>1410</v>
      </c>
      <c r="F44" s="172" t="s">
        <v>1411</v>
      </c>
      <c r="G44" s="173" t="s">
        <v>1412</v>
      </c>
      <c r="H44" s="184" t="s">
        <v>1413</v>
      </c>
      <c r="I44" s="184" t="s">
        <v>1414</v>
      </c>
      <c r="J44" s="184" t="s">
        <v>1415</v>
      </c>
      <c r="K44" s="184" t="s">
        <v>1416</v>
      </c>
      <c r="L44" s="184" t="s">
        <v>1417</v>
      </c>
      <c r="M44" s="174" t="s">
        <v>1418</v>
      </c>
      <c r="N44" s="174" t="s">
        <v>1419</v>
      </c>
      <c r="O44" s="174" t="s">
        <v>951</v>
      </c>
      <c r="P44" s="174" t="s">
        <v>1420</v>
      </c>
    </row>
    <row r="45">
      <c r="A45" s="198" t="s">
        <v>191</v>
      </c>
      <c r="B45" s="199" t="s">
        <v>191</v>
      </c>
      <c r="C45" s="170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45" s="171" t="s">
        <v>1421</v>
      </c>
      <c r="E45" s="163" t="s">
        <v>1421</v>
      </c>
      <c r="F45" s="172" t="s">
        <v>1422</v>
      </c>
      <c r="G45" s="173" t="s">
        <v>1423</v>
      </c>
      <c r="H45" s="184" t="s">
        <v>1424</v>
      </c>
      <c r="I45" s="184" t="s">
        <v>1425</v>
      </c>
      <c r="J45" s="184" t="s">
        <v>1426</v>
      </c>
      <c r="K45" s="193" t="s">
        <v>1426</v>
      </c>
      <c r="L45" s="193" t="s">
        <v>1426</v>
      </c>
      <c r="M45" s="194" t="s">
        <v>1426</v>
      </c>
      <c r="N45" s="194" t="s">
        <v>1426</v>
      </c>
      <c r="O45" s="174" t="s">
        <v>1427</v>
      </c>
      <c r="P45" s="174" t="s">
        <v>1428</v>
      </c>
    </row>
    <row r="46">
      <c r="A46" s="198" t="s">
        <v>194</v>
      </c>
      <c r="B46" s="199" t="s">
        <v>195</v>
      </c>
      <c r="C46" s="170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46" s="171" t="s">
        <v>1429</v>
      </c>
      <c r="E46" s="163" t="s">
        <v>1429</v>
      </c>
      <c r="F46" s="172" t="s">
        <v>1430</v>
      </c>
      <c r="G46" s="173" t="s">
        <v>1431</v>
      </c>
      <c r="H46" s="184" t="s">
        <v>1432</v>
      </c>
      <c r="I46" s="184" t="s">
        <v>1433</v>
      </c>
      <c r="J46" s="193" t="s">
        <v>1433</v>
      </c>
      <c r="K46" s="184" t="s">
        <v>1434</v>
      </c>
      <c r="L46" s="184" t="s">
        <v>1150</v>
      </c>
      <c r="M46" s="174" t="s">
        <v>1435</v>
      </c>
      <c r="N46" s="174" t="s">
        <v>1436</v>
      </c>
      <c r="O46" s="174" t="s">
        <v>963</v>
      </c>
      <c r="P46" s="194" t="s">
        <v>963</v>
      </c>
    </row>
    <row r="47">
      <c r="A47" s="198" t="s">
        <v>198</v>
      </c>
      <c r="B47" s="199" t="s">
        <v>199</v>
      </c>
      <c r="C47" s="170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47" s="171" t="s">
        <v>1437</v>
      </c>
      <c r="E47" s="163" t="s">
        <v>1437</v>
      </c>
      <c r="F47" s="172" t="s">
        <v>1438</v>
      </c>
      <c r="G47" s="173" t="s">
        <v>1438</v>
      </c>
      <c r="H47" s="184" t="s">
        <v>1439</v>
      </c>
      <c r="I47" s="193" t="s">
        <v>1439</v>
      </c>
      <c r="J47" s="193" t="s">
        <v>1439</v>
      </c>
      <c r="K47" s="193" t="s">
        <v>1439</v>
      </c>
      <c r="L47" s="193" t="s">
        <v>1439</v>
      </c>
      <c r="M47" s="194" t="s">
        <v>1439</v>
      </c>
      <c r="N47" s="194" t="s">
        <v>1439</v>
      </c>
      <c r="O47" s="194" t="s">
        <v>1439</v>
      </c>
      <c r="P47" s="194" t="s">
        <v>1439</v>
      </c>
    </row>
    <row r="48">
      <c r="A48" s="198" t="s">
        <v>202</v>
      </c>
      <c r="B48" s="199" t="s">
        <v>202</v>
      </c>
      <c r="C48" s="210" t="str">
        <f>HYPERLINK("https://play.google.com/store/apps/details?id=com.google.android.apps.messaging","com.google.android.apps.messaging")</f>
        <v>com.google.android.apps.messaging</v>
      </c>
      <c r="D48" s="171" t="s">
        <v>1440</v>
      </c>
      <c r="E48" s="163" t="s">
        <v>1440</v>
      </c>
      <c r="F48" s="172" t="s">
        <v>1441</v>
      </c>
      <c r="G48" s="173" t="s">
        <v>1442</v>
      </c>
      <c r="H48" s="174" t="s">
        <v>1443</v>
      </c>
      <c r="I48" s="174" t="s">
        <v>1444</v>
      </c>
      <c r="J48" s="174" t="s">
        <v>1445</v>
      </c>
      <c r="K48" s="174" t="s">
        <v>1446</v>
      </c>
      <c r="L48" s="174" t="s">
        <v>1447</v>
      </c>
      <c r="M48" s="174" t="s">
        <v>1448</v>
      </c>
      <c r="N48" s="194" t="s">
        <v>1448</v>
      </c>
      <c r="O48" s="174" t="s">
        <v>974</v>
      </c>
      <c r="P48" s="174" t="s">
        <v>1449</v>
      </c>
    </row>
    <row r="49">
      <c r="A49" s="225" t="s">
        <v>205</v>
      </c>
      <c r="B49" s="226" t="s">
        <v>206</v>
      </c>
      <c r="C49" s="226" t="s">
        <v>207</v>
      </c>
      <c r="D49" s="227" t="s">
        <v>1450</v>
      </c>
      <c r="E49" s="163" t="s">
        <v>1450</v>
      </c>
      <c r="F49" s="136" t="s">
        <v>1450</v>
      </c>
      <c r="G49" s="137" t="s">
        <v>1450</v>
      </c>
      <c r="H49" s="164" t="s">
        <v>1450</v>
      </c>
      <c r="I49" s="164" t="s">
        <v>1450</v>
      </c>
      <c r="J49" s="164" t="s">
        <v>1450</v>
      </c>
      <c r="K49" s="164" t="s">
        <v>1450</v>
      </c>
      <c r="L49" s="164" t="s">
        <v>1450</v>
      </c>
      <c r="M49" s="164" t="s">
        <v>1450</v>
      </c>
      <c r="N49" s="164" t="s">
        <v>1450</v>
      </c>
      <c r="O49" s="164" t="s">
        <v>1450</v>
      </c>
      <c r="P49" s="164" t="s">
        <v>1450</v>
      </c>
    </row>
    <row r="50">
      <c r="A50" s="36" t="s">
        <v>208</v>
      </c>
      <c r="B50" s="37" t="s">
        <v>209</v>
      </c>
      <c r="C50" s="37" t="s">
        <v>210</v>
      </c>
      <c r="D50" s="228" t="s">
        <v>211</v>
      </c>
      <c r="E50" s="163" t="s">
        <v>211</v>
      </c>
      <c r="F50" s="136" t="s">
        <v>211</v>
      </c>
      <c r="G50" s="137" t="s">
        <v>211</v>
      </c>
      <c r="H50" s="164" t="s">
        <v>211</v>
      </c>
      <c r="I50" s="164" t="s">
        <v>211</v>
      </c>
      <c r="J50" s="164" t="s">
        <v>211</v>
      </c>
      <c r="K50" s="164" t="s">
        <v>211</v>
      </c>
      <c r="L50" s="164" t="s">
        <v>211</v>
      </c>
      <c r="M50" s="164" t="s">
        <v>211</v>
      </c>
      <c r="N50" s="164" t="s">
        <v>211</v>
      </c>
      <c r="O50" s="164" t="s">
        <v>211</v>
      </c>
      <c r="P50" s="164" t="s">
        <v>211</v>
      </c>
    </row>
    <row r="51">
      <c r="A51" s="229" t="s">
        <v>213</v>
      </c>
      <c r="B51" s="230"/>
      <c r="C51" s="30"/>
      <c r="D51" s="158"/>
      <c r="E51" s="218"/>
      <c r="F51" s="231"/>
      <c r="G51" s="231"/>
      <c r="H51" s="136"/>
      <c r="I51" s="207"/>
      <c r="J51" s="207"/>
      <c r="K51" s="207"/>
      <c r="L51" s="207"/>
      <c r="M51" s="136"/>
      <c r="N51" s="136"/>
      <c r="O51" s="136"/>
      <c r="P51" s="136"/>
    </row>
    <row r="52">
      <c r="A52" s="232" t="s">
        <v>214</v>
      </c>
      <c r="B52" s="233" t="s">
        <v>215</v>
      </c>
      <c r="C52" s="234" t="str">
        <f>HYPERLINK("https://play.google.com/store/apps/details?id=com.google.android.apps.assistant","com.google.android.apps.assistant")</f>
        <v>com.google.android.apps.assistant</v>
      </c>
      <c r="D52" s="235" t="s">
        <v>1451</v>
      </c>
      <c r="E52" s="163" t="s">
        <v>1452</v>
      </c>
      <c r="F52" s="136" t="s">
        <v>1452</v>
      </c>
      <c r="G52" s="137" t="s">
        <v>1453</v>
      </c>
      <c r="H52" s="164" t="s">
        <v>1453</v>
      </c>
      <c r="I52" s="164" t="s">
        <v>1453</v>
      </c>
      <c r="J52" s="164" t="s">
        <v>1453</v>
      </c>
      <c r="K52" s="181" t="s">
        <v>1454</v>
      </c>
      <c r="L52" s="164" t="s">
        <v>1454</v>
      </c>
      <c r="M52" s="164" t="s">
        <v>1159</v>
      </c>
      <c r="N52" s="164" t="s">
        <v>1159</v>
      </c>
      <c r="O52" s="181" t="s">
        <v>981</v>
      </c>
      <c r="P52" s="181" t="s">
        <v>981</v>
      </c>
    </row>
    <row r="53">
      <c r="A53" s="236" t="s">
        <v>984</v>
      </c>
      <c r="B53" s="237" t="s">
        <v>985</v>
      </c>
      <c r="C53" s="238" t="s">
        <v>1455</v>
      </c>
      <c r="D53" s="239" t="s">
        <v>1312</v>
      </c>
      <c r="E53" s="163" t="s">
        <v>1312</v>
      </c>
      <c r="F53" s="172" t="s">
        <v>1456</v>
      </c>
      <c r="G53" s="173" t="s">
        <v>1314</v>
      </c>
      <c r="H53" s="184" t="s">
        <v>1315</v>
      </c>
      <c r="I53" s="184" t="s">
        <v>1316</v>
      </c>
      <c r="J53" s="184" t="s">
        <v>1317</v>
      </c>
      <c r="K53" s="184" t="s">
        <v>1318</v>
      </c>
      <c r="L53" s="184" t="s">
        <v>1457</v>
      </c>
      <c r="M53" s="174" t="s">
        <v>1458</v>
      </c>
      <c r="N53" s="174" t="s">
        <v>1321</v>
      </c>
      <c r="O53" s="174" t="s">
        <v>1322</v>
      </c>
      <c r="P53" s="174" t="s">
        <v>1323</v>
      </c>
    </row>
    <row r="54">
      <c r="A54" s="240" t="s">
        <v>219</v>
      </c>
      <c r="B54" s="241" t="s">
        <v>1459</v>
      </c>
      <c r="C54" s="242" t="str">
        <f>HYPERLINK("https://play.google.com/store/apps/details?id=com.google.android.apps.nbu.files","com.google.android.apps.nbu.files")</f>
        <v>com.google.android.apps.nbu.files</v>
      </c>
      <c r="D54" s="239" t="s">
        <v>1460</v>
      </c>
      <c r="E54" s="163" t="s">
        <v>1460</v>
      </c>
      <c r="F54" s="218" t="s">
        <v>1461</v>
      </c>
      <c r="G54" s="219" t="s">
        <v>1462</v>
      </c>
      <c r="H54" s="220" t="s">
        <v>1463</v>
      </c>
      <c r="I54" s="220" t="s">
        <v>1464</v>
      </c>
      <c r="J54" s="220" t="s">
        <v>1465</v>
      </c>
      <c r="K54" s="223" t="s">
        <v>1465</v>
      </c>
      <c r="L54" s="220" t="s">
        <v>1466</v>
      </c>
      <c r="M54" s="221" t="s">
        <v>1161</v>
      </c>
      <c r="N54" s="221" t="s">
        <v>1162</v>
      </c>
      <c r="O54" s="221" t="s">
        <v>987</v>
      </c>
      <c r="P54" s="224" t="s">
        <v>987</v>
      </c>
    </row>
    <row r="55">
      <c r="A55" s="243" t="s">
        <v>223</v>
      </c>
      <c r="B55" s="244" t="s">
        <v>224</v>
      </c>
      <c r="C55" s="245" t="s">
        <v>1467</v>
      </c>
      <c r="D55" s="239" t="s">
        <v>1468</v>
      </c>
      <c r="E55" s="163" t="s">
        <v>1468</v>
      </c>
      <c r="F55" s="172" t="s">
        <v>1469</v>
      </c>
      <c r="G55" s="173" t="s">
        <v>1470</v>
      </c>
      <c r="H55" s="184" t="s">
        <v>1471</v>
      </c>
      <c r="I55" s="184" t="s">
        <v>1472</v>
      </c>
      <c r="J55" s="184" t="s">
        <v>1473</v>
      </c>
      <c r="K55" s="184" t="s">
        <v>1474</v>
      </c>
      <c r="L55" s="184" t="s">
        <v>1167</v>
      </c>
      <c r="M55" s="174" t="s">
        <v>1475</v>
      </c>
      <c r="N55" s="174" t="s">
        <v>1168</v>
      </c>
      <c r="O55" s="174" t="s">
        <v>991</v>
      </c>
      <c r="P55" s="194" t="s">
        <v>991</v>
      </c>
    </row>
    <row r="56">
      <c r="A56" s="240" t="s">
        <v>1169</v>
      </c>
      <c r="B56" s="241" t="s">
        <v>1170</v>
      </c>
      <c r="C56" s="242" t="str">
        <f>HYPERLINK("https://play.google.com/store/apps/details?id=com.google.android.gm.lite","com.google.android.gm.lite")</f>
        <v>com.google.android.gm.lite</v>
      </c>
      <c r="D56" s="239" t="s">
        <v>1476</v>
      </c>
      <c r="E56" s="163" t="s">
        <v>1477</v>
      </c>
      <c r="F56" s="172" t="s">
        <v>1171</v>
      </c>
      <c r="G56" s="173" t="s">
        <v>1476</v>
      </c>
      <c r="H56" s="193" t="s">
        <v>1476</v>
      </c>
      <c r="I56" s="193" t="s">
        <v>1476</v>
      </c>
      <c r="J56" s="193" t="s">
        <v>1476</v>
      </c>
      <c r="K56" s="193" t="s">
        <v>1476</v>
      </c>
      <c r="L56" s="193" t="s">
        <v>1476</v>
      </c>
      <c r="M56" s="194" t="s">
        <v>1476</v>
      </c>
      <c r="N56" s="194" t="s">
        <v>1476</v>
      </c>
      <c r="O56" s="194" t="s">
        <v>1476</v>
      </c>
      <c r="P56" s="174" t="s">
        <v>1172</v>
      </c>
    </row>
    <row r="57">
      <c r="A57" s="236" t="s">
        <v>226</v>
      </c>
      <c r="B57" s="237" t="s">
        <v>227</v>
      </c>
      <c r="C57" s="246" t="str">
        <f>HYPERLINK("https://android-cret.corp.google.com/#fusion:id=com.google.android.gms","com.google.android.gms")</f>
        <v>com.google.android.gms</v>
      </c>
      <c r="D57" s="239" t="s">
        <v>1203</v>
      </c>
      <c r="E57" s="163" t="s">
        <v>1203</v>
      </c>
      <c r="F57" s="172" t="s">
        <v>1478</v>
      </c>
      <c r="G57" s="173" t="s">
        <v>1206</v>
      </c>
      <c r="H57" s="193" t="s">
        <v>1206</v>
      </c>
      <c r="I57" s="184" t="s">
        <v>1208</v>
      </c>
      <c r="J57" s="184" t="s">
        <v>1209</v>
      </c>
      <c r="K57" s="184" t="s">
        <v>1210</v>
      </c>
      <c r="L57" s="184" t="s">
        <v>1211</v>
      </c>
      <c r="M57" s="174" t="s">
        <v>1016</v>
      </c>
      <c r="N57" s="174" t="s">
        <v>1212</v>
      </c>
      <c r="O57" s="174" t="s">
        <v>1213</v>
      </c>
      <c r="P57" s="174" t="s">
        <v>1214</v>
      </c>
    </row>
    <row r="58">
      <c r="A58" s="240" t="s">
        <v>994</v>
      </c>
      <c r="B58" s="241" t="s">
        <v>995</v>
      </c>
      <c r="C58" s="242" t="str">
        <f>HYPERLINK("https://play.google.com/store/apps/details?id=com.google.android.dialer","com.google.android.dialer")</f>
        <v>com.google.android.dialer</v>
      </c>
      <c r="D58" s="239" t="s">
        <v>1269</v>
      </c>
      <c r="E58" s="163" t="s">
        <v>1479</v>
      </c>
      <c r="F58" s="218" t="s">
        <v>1480</v>
      </c>
      <c r="G58" s="219" t="s">
        <v>1272</v>
      </c>
      <c r="H58" s="220" t="s">
        <v>1273</v>
      </c>
      <c r="I58" s="220" t="s">
        <v>1274</v>
      </c>
      <c r="J58" s="220" t="s">
        <v>1275</v>
      </c>
      <c r="K58" s="220" t="s">
        <v>1276</v>
      </c>
      <c r="L58" s="220" t="s">
        <v>1063</v>
      </c>
      <c r="M58" s="221" t="s">
        <v>1277</v>
      </c>
      <c r="N58" s="174" t="s">
        <v>1278</v>
      </c>
      <c r="O58" s="174" t="s">
        <v>1279</v>
      </c>
      <c r="P58" s="174" t="s">
        <v>1280</v>
      </c>
    </row>
    <row r="59">
      <c r="A59" s="240" t="s">
        <v>229</v>
      </c>
      <c r="B59" s="241" t="s">
        <v>230</v>
      </c>
      <c r="C59" s="242" t="str">
        <f>HYPERLINK("https://play.google.com/store/apps/details?id=com.google.android.apps.searchlite","com.google.android.apps.searchlite")</f>
        <v>com.google.android.apps.searchlite</v>
      </c>
      <c r="D59" s="239" t="s">
        <v>1481</v>
      </c>
      <c r="E59" s="163" t="s">
        <v>1481</v>
      </c>
      <c r="F59" s="172" t="s">
        <v>1482</v>
      </c>
      <c r="G59" s="173" t="s">
        <v>1483</v>
      </c>
      <c r="H59" s="184" t="s">
        <v>1484</v>
      </c>
      <c r="I59" s="184" t="s">
        <v>1485</v>
      </c>
      <c r="J59" s="184" t="s">
        <v>1486</v>
      </c>
      <c r="K59" s="184" t="s">
        <v>1487</v>
      </c>
      <c r="L59" s="184" t="s">
        <v>1488</v>
      </c>
      <c r="M59" s="174" t="s">
        <v>1489</v>
      </c>
      <c r="N59" s="194" t="s">
        <v>1489</v>
      </c>
      <c r="O59" s="194" t="s">
        <v>1489</v>
      </c>
      <c r="P59" s="174" t="s">
        <v>1490</v>
      </c>
    </row>
    <row r="60">
      <c r="A60" s="240" t="s">
        <v>233</v>
      </c>
      <c r="B60" s="241" t="s">
        <v>234</v>
      </c>
      <c r="C60" s="242" t="str">
        <f>HYPERLINK("https://play.google.com/store/apps/details?id=com.google.android.inputmethod.latin","com.google.android.inputmethod.latin")</f>
        <v>com.google.android.inputmethod.latin</v>
      </c>
      <c r="D60" s="239" t="s">
        <v>1429</v>
      </c>
      <c r="E60" s="163" t="s">
        <v>1429</v>
      </c>
      <c r="F60" s="172" t="s">
        <v>1430</v>
      </c>
      <c r="G60" s="173" t="s">
        <v>1430</v>
      </c>
      <c r="H60" s="174" t="s">
        <v>1432</v>
      </c>
      <c r="I60" s="174" t="s">
        <v>1433</v>
      </c>
      <c r="J60" s="194" t="s">
        <v>1433</v>
      </c>
      <c r="K60" s="174" t="s">
        <v>1434</v>
      </c>
      <c r="L60" s="174" t="s">
        <v>1150</v>
      </c>
      <c r="M60" s="174" t="s">
        <v>1435</v>
      </c>
      <c r="N60" s="174" t="s">
        <v>1436</v>
      </c>
      <c r="O60" s="174" t="s">
        <v>1491</v>
      </c>
      <c r="P60" s="194" t="s">
        <v>1491</v>
      </c>
    </row>
    <row r="61">
      <c r="A61" s="240" t="s">
        <v>1178</v>
      </c>
      <c r="B61" s="241" t="s">
        <v>1179</v>
      </c>
      <c r="C61" s="242" t="str">
        <f>HYPERLINK("https://play.google.com/store/apps/details?id=com.google.android.apps.mapslite","com.google.android.apps.mapslite")</f>
        <v>com.google.android.apps.mapslite</v>
      </c>
      <c r="D61" s="168">
        <v>144.0</v>
      </c>
      <c r="E61" s="168">
        <v>144.0</v>
      </c>
      <c r="F61" s="168">
        <v>144.0</v>
      </c>
      <c r="G61" s="137">
        <v>144.0</v>
      </c>
      <c r="H61" s="181">
        <v>152.0</v>
      </c>
      <c r="I61" s="164">
        <v>152.0</v>
      </c>
      <c r="J61" s="164">
        <v>152.0</v>
      </c>
      <c r="K61" s="164">
        <v>152.0</v>
      </c>
      <c r="L61" s="164">
        <v>152.0</v>
      </c>
      <c r="M61" s="164">
        <v>152.0</v>
      </c>
      <c r="N61" s="164">
        <v>152.0</v>
      </c>
      <c r="O61" s="164">
        <v>152.0</v>
      </c>
      <c r="P61" s="181">
        <v>155.0</v>
      </c>
    </row>
    <row r="62">
      <c r="A62" s="236" t="s">
        <v>235</v>
      </c>
      <c r="B62" s="237" t="s">
        <v>236</v>
      </c>
      <c r="C62" s="247" t="str">
        <f>HYPERLINK("https://android-cret.corp.google.com/#fusion:id=com.google.android.apps.messaging","com.google.android.apps.messaging")</f>
        <v>com.google.android.apps.messaging</v>
      </c>
      <c r="D62" s="239" t="s">
        <v>1440</v>
      </c>
      <c r="E62" s="163" t="s">
        <v>1440</v>
      </c>
      <c r="F62" s="172" t="s">
        <v>1441</v>
      </c>
      <c r="G62" s="173" t="s">
        <v>1442</v>
      </c>
      <c r="H62" s="174" t="s">
        <v>1443</v>
      </c>
      <c r="I62" s="174" t="s">
        <v>1444</v>
      </c>
      <c r="J62" s="174" t="s">
        <v>1445</v>
      </c>
      <c r="K62" s="174" t="s">
        <v>1446</v>
      </c>
      <c r="L62" s="174" t="s">
        <v>1447</v>
      </c>
      <c r="M62" s="174" t="s">
        <v>1448</v>
      </c>
      <c r="N62" s="194" t="s">
        <v>1448</v>
      </c>
      <c r="O62" s="174" t="s">
        <v>974</v>
      </c>
      <c r="P62" s="174" t="s">
        <v>1492</v>
      </c>
    </row>
    <row r="63">
      <c r="A63" s="248" t="s">
        <v>1184</v>
      </c>
      <c r="B63" s="249" t="s">
        <v>1185</v>
      </c>
      <c r="C63" s="250" t="str">
        <f>HYPERLINK("https://play.google.com/store/apps/details?id=com.google.android.apps.navlite","com.google.android.apps.navlite")</f>
        <v>com.google.android.apps.navlite</v>
      </c>
      <c r="D63" s="251" t="s">
        <v>1493</v>
      </c>
      <c r="E63" s="163" t="s">
        <v>1493</v>
      </c>
      <c r="F63" s="136" t="s">
        <v>1493</v>
      </c>
      <c r="G63" s="137" t="s">
        <v>1493</v>
      </c>
      <c r="H63" s="164" t="s">
        <v>1493</v>
      </c>
      <c r="I63" s="181" t="s">
        <v>1186</v>
      </c>
      <c r="J63" s="164" t="s">
        <v>1186</v>
      </c>
      <c r="K63" s="164" t="s">
        <v>1186</v>
      </c>
      <c r="L63" s="164" t="s">
        <v>1186</v>
      </c>
      <c r="M63" s="164" t="s">
        <v>1186</v>
      </c>
      <c r="N63" s="181" t="s">
        <v>1187</v>
      </c>
      <c r="O63" s="164" t="s">
        <v>1187</v>
      </c>
      <c r="P63" s="164" t="s">
        <v>1187</v>
      </c>
    </row>
    <row r="64">
      <c r="D64" s="129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</row>
    <row r="65"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</row>
    <row r="66"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</row>
  </sheetData>
  <mergeCells count="18">
    <mergeCell ref="O1:O2"/>
    <mergeCell ref="P1:P2"/>
    <mergeCell ref="H1:H2"/>
    <mergeCell ref="I1:I2"/>
    <mergeCell ref="J1:J2"/>
    <mergeCell ref="K1:K2"/>
    <mergeCell ref="L1:L2"/>
    <mergeCell ref="M1:M2"/>
    <mergeCell ref="N1:N2"/>
    <mergeCell ref="A3:B3"/>
    <mergeCell ref="A27:B27"/>
    <mergeCell ref="A1:A2"/>
    <mergeCell ref="B1:B2"/>
    <mergeCell ref="C1:C2"/>
    <mergeCell ref="D1:D2"/>
    <mergeCell ref="E1:E2"/>
    <mergeCell ref="F1:F2"/>
    <mergeCell ref="G1:G2"/>
  </mergeCells>
  <conditionalFormatting sqref="E4:F4 G4:P66 E6:F23 E25:F40 E42:F60 E62:F66">
    <cfRule type="expression" dxfId="0" priority="1">
      <formula>E4&lt;&gt;D4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3.25"/>
    <col customWidth="1" min="2" max="2" width="27.63"/>
    <col customWidth="1" min="3" max="3" width="37.13"/>
    <col customWidth="1" hidden="1" min="4" max="11" width="18.63"/>
    <col customWidth="1" min="12" max="12" width="18.63"/>
    <col customWidth="1" min="13" max="13" width="21.5"/>
    <col customWidth="1" min="14" max="15" width="24.13"/>
  </cols>
  <sheetData>
    <row r="1">
      <c r="A1" s="130" t="s">
        <v>0</v>
      </c>
      <c r="B1" s="131" t="s">
        <v>1</v>
      </c>
      <c r="C1" s="132" t="s">
        <v>2</v>
      </c>
      <c r="D1" s="252" t="s">
        <v>1494</v>
      </c>
      <c r="E1" s="252" t="s">
        <v>1495</v>
      </c>
      <c r="F1" s="252" t="s">
        <v>1496</v>
      </c>
      <c r="G1" s="252" t="s">
        <v>1497</v>
      </c>
      <c r="H1" s="252" t="s">
        <v>1498</v>
      </c>
      <c r="I1" s="252" t="s">
        <v>1499</v>
      </c>
      <c r="J1" s="252" t="s">
        <v>1500</v>
      </c>
      <c r="K1" s="252" t="s">
        <v>1501</v>
      </c>
      <c r="L1" s="252" t="s">
        <v>1502</v>
      </c>
      <c r="M1" s="252" t="s">
        <v>1503</v>
      </c>
      <c r="N1" s="252" t="s">
        <v>1504</v>
      </c>
      <c r="O1" s="252" t="s">
        <v>1505</v>
      </c>
    </row>
    <row r="2">
      <c r="A2" s="4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53"/>
    </row>
    <row r="3">
      <c r="A3" s="48" t="s">
        <v>6</v>
      </c>
      <c r="B3" s="230"/>
      <c r="C3" s="30"/>
      <c r="D3" s="39"/>
      <c r="E3" s="39"/>
      <c r="F3" s="39"/>
      <c r="G3" s="39"/>
      <c r="H3" s="39"/>
      <c r="I3" s="39"/>
      <c r="J3" s="39"/>
      <c r="K3" s="39"/>
      <c r="L3" s="39"/>
      <c r="M3" s="254"/>
      <c r="N3" s="255"/>
      <c r="O3" s="256"/>
    </row>
    <row r="4">
      <c r="A4" s="159" t="s">
        <v>7</v>
      </c>
      <c r="B4" s="160" t="s">
        <v>7</v>
      </c>
      <c r="C4" s="161" t="s">
        <v>8</v>
      </c>
      <c r="D4" s="257" t="s">
        <v>1506</v>
      </c>
      <c r="E4" s="257" t="s">
        <v>1506</v>
      </c>
      <c r="F4" s="257" t="s">
        <v>1506</v>
      </c>
      <c r="G4" s="257" t="s">
        <v>1506</v>
      </c>
      <c r="H4" s="257" t="s">
        <v>1506</v>
      </c>
      <c r="I4" s="257" t="s">
        <v>1506</v>
      </c>
      <c r="J4" s="257" t="s">
        <v>1506</v>
      </c>
      <c r="K4" s="257" t="s">
        <v>1506</v>
      </c>
      <c r="L4" s="258" t="s">
        <v>1506</v>
      </c>
      <c r="M4" s="150" t="s">
        <v>1506</v>
      </c>
      <c r="N4" s="164" t="s">
        <v>1506</v>
      </c>
      <c r="O4" s="164" t="s">
        <v>1506</v>
      </c>
    </row>
    <row r="5">
      <c r="A5" s="165" t="s">
        <v>12</v>
      </c>
      <c r="B5" s="166" t="s">
        <v>13</v>
      </c>
      <c r="C5" s="167" t="s">
        <v>14</v>
      </c>
      <c r="D5" s="259" t="s">
        <v>1507</v>
      </c>
      <c r="E5" s="259" t="s">
        <v>1507</v>
      </c>
      <c r="F5" s="260" t="s">
        <v>1508</v>
      </c>
      <c r="G5" s="260" t="s">
        <v>1508</v>
      </c>
      <c r="H5" s="260" t="s">
        <v>1508</v>
      </c>
      <c r="I5" s="260" t="s">
        <v>1508</v>
      </c>
      <c r="J5" s="260" t="s">
        <v>1508</v>
      </c>
      <c r="K5" s="260" t="s">
        <v>1202</v>
      </c>
      <c r="L5" s="185" t="s">
        <v>1202</v>
      </c>
      <c r="M5" s="137">
        <v>2.00475003E8</v>
      </c>
      <c r="N5" s="164">
        <v>2.00475003E8</v>
      </c>
      <c r="O5" s="137">
        <v>2.00475003E8</v>
      </c>
    </row>
    <row r="6">
      <c r="A6" s="159" t="s">
        <v>17</v>
      </c>
      <c r="B6" s="160" t="s">
        <v>18</v>
      </c>
      <c r="C6" s="170" t="str">
        <f>HYPERLINK("https://play.google.com/store/apps/details?id=com.google.android.gms",HYPERLINK("https://play.google.com/store/apps/details?id=com.google.android.gms","com.google.android.gms"))</f>
        <v>com.google.android.gms</v>
      </c>
      <c r="D6" s="225" t="s">
        <v>1509</v>
      </c>
      <c r="E6" s="261" t="s">
        <v>1510</v>
      </c>
      <c r="F6" s="262" t="s">
        <v>1511</v>
      </c>
      <c r="G6" s="263" t="s">
        <v>1512</v>
      </c>
      <c r="H6" s="263" t="s">
        <v>1512</v>
      </c>
      <c r="I6" s="263" t="s">
        <v>1513</v>
      </c>
      <c r="J6" s="263" t="s">
        <v>1513</v>
      </c>
      <c r="K6" s="263" t="s">
        <v>1514</v>
      </c>
      <c r="L6" s="168" t="s">
        <v>1514</v>
      </c>
      <c r="M6" s="264" t="s">
        <v>1204</v>
      </c>
      <c r="N6" s="265" t="s">
        <v>1206</v>
      </c>
      <c r="O6" s="265" t="s">
        <v>1207</v>
      </c>
    </row>
    <row r="7">
      <c r="A7" s="159" t="s">
        <v>21</v>
      </c>
      <c r="B7" s="160" t="s">
        <v>22</v>
      </c>
      <c r="C7" s="161" t="s">
        <v>23</v>
      </c>
      <c r="D7" s="266" t="s">
        <v>1506</v>
      </c>
      <c r="E7" s="266" t="s">
        <v>1506</v>
      </c>
      <c r="F7" s="267" t="s">
        <v>1506</v>
      </c>
      <c r="G7" s="267" t="s">
        <v>1506</v>
      </c>
      <c r="H7" s="267" t="s">
        <v>1506</v>
      </c>
      <c r="I7" s="267" t="s">
        <v>1506</v>
      </c>
      <c r="J7" s="267" t="s">
        <v>1506</v>
      </c>
      <c r="K7" s="268" t="s">
        <v>1506</v>
      </c>
      <c r="L7" s="269" t="s">
        <v>1506</v>
      </c>
      <c r="M7" s="270" t="s">
        <v>1506</v>
      </c>
      <c r="N7" s="271" t="s">
        <v>1506</v>
      </c>
      <c r="O7" s="271" t="s">
        <v>1506</v>
      </c>
    </row>
    <row r="8">
      <c r="A8" s="159" t="s">
        <v>261</v>
      </c>
      <c r="B8" s="160" t="s">
        <v>262</v>
      </c>
      <c r="C8" s="161" t="s">
        <v>263</v>
      </c>
      <c r="D8" s="266" t="s">
        <v>1506</v>
      </c>
      <c r="E8" s="266" t="s">
        <v>1506</v>
      </c>
      <c r="F8" s="267" t="s">
        <v>1506</v>
      </c>
      <c r="G8" s="267" t="s">
        <v>1506</v>
      </c>
      <c r="H8" s="267" t="s">
        <v>1506</v>
      </c>
      <c r="I8" s="267" t="s">
        <v>1506</v>
      </c>
      <c r="J8" s="267" t="s">
        <v>1506</v>
      </c>
      <c r="K8" s="268" t="s">
        <v>1506</v>
      </c>
      <c r="L8" s="269" t="s">
        <v>1506</v>
      </c>
      <c r="M8" s="270" t="s">
        <v>1506</v>
      </c>
      <c r="N8" s="271" t="s">
        <v>1506</v>
      </c>
      <c r="O8" s="271" t="s">
        <v>1506</v>
      </c>
    </row>
    <row r="9">
      <c r="A9" s="159" t="s">
        <v>26</v>
      </c>
      <c r="B9" s="160" t="s">
        <v>27</v>
      </c>
      <c r="C9" s="161" t="s">
        <v>28</v>
      </c>
      <c r="D9" s="267" t="s">
        <v>1506</v>
      </c>
      <c r="E9" s="267" t="s">
        <v>1506</v>
      </c>
      <c r="F9" s="267" t="s">
        <v>1515</v>
      </c>
      <c r="G9" s="267" t="s">
        <v>1515</v>
      </c>
      <c r="H9" s="267" t="s">
        <v>1515</v>
      </c>
      <c r="I9" s="267" t="s">
        <v>1515</v>
      </c>
      <c r="J9" s="267" t="s">
        <v>1515</v>
      </c>
      <c r="K9" s="272" t="s">
        <v>1516</v>
      </c>
      <c r="L9" s="269">
        <v>100.3205024</v>
      </c>
      <c r="M9" s="269">
        <v>100.327071041</v>
      </c>
      <c r="N9" s="269">
        <v>100.327071041</v>
      </c>
      <c r="O9" s="273">
        <v>100.327071041</v>
      </c>
    </row>
    <row r="10">
      <c r="A10" s="180" t="s">
        <v>31</v>
      </c>
      <c r="B10" s="166" t="s">
        <v>32</v>
      </c>
      <c r="C10" s="167" t="s">
        <v>33</v>
      </c>
      <c r="D10" s="225" t="s">
        <v>1517</v>
      </c>
      <c r="E10" s="225" t="s">
        <v>1517</v>
      </c>
      <c r="F10" s="225" t="s">
        <v>1518</v>
      </c>
      <c r="G10" s="225" t="s">
        <v>1518</v>
      </c>
      <c r="H10" s="225" t="s">
        <v>1518</v>
      </c>
      <c r="I10" s="225" t="s">
        <v>1216</v>
      </c>
      <c r="J10" s="225" t="s">
        <v>1216</v>
      </c>
      <c r="K10" s="274" t="s">
        <v>1216</v>
      </c>
      <c r="L10" s="168" t="s">
        <v>1216</v>
      </c>
      <c r="M10" s="150" t="s">
        <v>1216</v>
      </c>
      <c r="N10" s="164" t="s">
        <v>1217</v>
      </c>
      <c r="O10" s="164" t="s">
        <v>1217</v>
      </c>
    </row>
    <row r="11">
      <c r="A11" s="159" t="s">
        <v>36</v>
      </c>
      <c r="B11" s="160" t="s">
        <v>37</v>
      </c>
      <c r="C11" s="161" t="s">
        <v>38</v>
      </c>
      <c r="D11" s="267" t="s">
        <v>1506</v>
      </c>
      <c r="E11" s="267" t="s">
        <v>1506</v>
      </c>
      <c r="F11" s="267" t="s">
        <v>1506</v>
      </c>
      <c r="G11" s="267" t="s">
        <v>1506</v>
      </c>
      <c r="H11" s="267" t="s">
        <v>1506</v>
      </c>
      <c r="I11" s="267" t="s">
        <v>1506</v>
      </c>
      <c r="J11" s="267" t="s">
        <v>1506</v>
      </c>
      <c r="K11" s="268" t="s">
        <v>1519</v>
      </c>
      <c r="L11" s="269" t="s">
        <v>1519</v>
      </c>
      <c r="M11" s="270" t="s">
        <v>1519</v>
      </c>
      <c r="N11" s="271" t="s">
        <v>1519</v>
      </c>
      <c r="O11" s="271" t="s">
        <v>1519</v>
      </c>
    </row>
    <row r="12">
      <c r="A12" s="165" t="s">
        <v>39</v>
      </c>
      <c r="B12" s="166" t="s">
        <v>40</v>
      </c>
      <c r="C12" s="167" t="s">
        <v>41</v>
      </c>
      <c r="D12" s="259" t="s">
        <v>412</v>
      </c>
      <c r="E12" s="259" t="s">
        <v>412</v>
      </c>
      <c r="F12" s="259" t="s">
        <v>412</v>
      </c>
      <c r="G12" s="259" t="s">
        <v>412</v>
      </c>
      <c r="H12" s="259" t="s">
        <v>412</v>
      </c>
      <c r="I12" s="259" t="s">
        <v>412</v>
      </c>
      <c r="J12" s="259" t="s">
        <v>412</v>
      </c>
      <c r="K12" s="260" t="s">
        <v>412</v>
      </c>
      <c r="L12" s="260" t="s">
        <v>412</v>
      </c>
      <c r="M12" s="137">
        <v>1.0</v>
      </c>
      <c r="N12" s="137">
        <v>1.0</v>
      </c>
      <c r="O12" s="137">
        <v>1.0</v>
      </c>
    </row>
    <row r="13">
      <c r="A13" s="165" t="s">
        <v>43</v>
      </c>
      <c r="B13" s="166" t="s">
        <v>44</v>
      </c>
      <c r="C13" s="167" t="s">
        <v>45</v>
      </c>
      <c r="D13" s="225" t="s">
        <v>1520</v>
      </c>
      <c r="E13" s="225" t="s">
        <v>1520</v>
      </c>
      <c r="F13" s="225" t="s">
        <v>1520</v>
      </c>
      <c r="G13" s="225" t="s">
        <v>1520</v>
      </c>
      <c r="H13" s="225" t="s">
        <v>1520</v>
      </c>
      <c r="I13" s="225" t="s">
        <v>1520</v>
      </c>
      <c r="J13" s="225" t="s">
        <v>1520</v>
      </c>
      <c r="K13" s="274" t="s">
        <v>1520</v>
      </c>
      <c r="L13" s="168" t="s">
        <v>1520</v>
      </c>
      <c r="M13" s="150" t="s">
        <v>1520</v>
      </c>
      <c r="N13" s="164" t="s">
        <v>1520</v>
      </c>
      <c r="O13" s="164" t="s">
        <v>1520</v>
      </c>
    </row>
    <row r="14">
      <c r="A14" s="159" t="s">
        <v>1218</v>
      </c>
      <c r="B14" s="160" t="s">
        <v>1219</v>
      </c>
      <c r="C14" s="183" t="s">
        <v>1220</v>
      </c>
      <c r="D14" s="225" t="s">
        <v>1521</v>
      </c>
      <c r="E14" s="225" t="s">
        <v>1521</v>
      </c>
      <c r="F14" s="225" t="s">
        <v>1522</v>
      </c>
      <c r="G14" s="225" t="s">
        <v>1522</v>
      </c>
      <c r="H14" s="225" t="s">
        <v>1522</v>
      </c>
      <c r="I14" s="225" t="s">
        <v>1522</v>
      </c>
      <c r="J14" s="225" t="s">
        <v>1522</v>
      </c>
      <c r="K14" s="274" t="s">
        <v>1522</v>
      </c>
      <c r="L14" s="168" t="s">
        <v>1522</v>
      </c>
      <c r="M14" s="150" t="s">
        <v>1522</v>
      </c>
      <c r="N14" s="164" t="s">
        <v>1522</v>
      </c>
      <c r="O14" s="164" t="s">
        <v>1522</v>
      </c>
    </row>
    <row r="15">
      <c r="A15" s="159" t="s">
        <v>48</v>
      </c>
      <c r="B15" s="160" t="s">
        <v>49</v>
      </c>
      <c r="C15" s="161" t="s">
        <v>50</v>
      </c>
      <c r="D15" s="225" t="s">
        <v>1523</v>
      </c>
      <c r="E15" s="225" t="s">
        <v>1524</v>
      </c>
      <c r="F15" s="225" t="s">
        <v>1525</v>
      </c>
      <c r="G15" s="225" t="s">
        <v>1526</v>
      </c>
      <c r="H15" s="274" t="s">
        <v>1527</v>
      </c>
      <c r="I15" s="225" t="s">
        <v>1528</v>
      </c>
      <c r="J15" s="225" t="s">
        <v>1528</v>
      </c>
      <c r="K15" s="274" t="s">
        <v>1528</v>
      </c>
      <c r="L15" s="168" t="s">
        <v>1528</v>
      </c>
      <c r="M15" s="150" t="s">
        <v>1528</v>
      </c>
      <c r="N15" s="164" t="s">
        <v>1225</v>
      </c>
      <c r="O15" s="164" t="s">
        <v>1225</v>
      </c>
    </row>
    <row r="16">
      <c r="A16" s="159" t="s">
        <v>53</v>
      </c>
      <c r="B16" s="160" t="s">
        <v>54</v>
      </c>
      <c r="C16" s="161" t="s">
        <v>55</v>
      </c>
      <c r="D16" s="275" t="s">
        <v>1529</v>
      </c>
      <c r="E16" s="275" t="s">
        <v>1530</v>
      </c>
      <c r="F16" s="275" t="s">
        <v>1530</v>
      </c>
      <c r="G16" s="275" t="s">
        <v>1531</v>
      </c>
      <c r="H16" s="275" t="s">
        <v>1531</v>
      </c>
      <c r="I16" s="275" t="s">
        <v>1532</v>
      </c>
      <c r="J16" s="276" t="s">
        <v>1533</v>
      </c>
      <c r="K16" s="277" t="s">
        <v>1534</v>
      </c>
      <c r="L16" s="168">
        <v>229.305178852</v>
      </c>
      <c r="M16" s="168">
        <v>230.329243634</v>
      </c>
      <c r="N16" s="168">
        <v>230.3460185</v>
      </c>
      <c r="O16" s="265">
        <v>230.358105869</v>
      </c>
    </row>
    <row r="17">
      <c r="A17" s="165" t="s">
        <v>58</v>
      </c>
      <c r="B17" s="166" t="s">
        <v>59</v>
      </c>
      <c r="C17" s="167" t="s">
        <v>60</v>
      </c>
      <c r="D17" s="262"/>
      <c r="E17" s="262"/>
      <c r="F17" s="278"/>
      <c r="G17" s="262" t="s">
        <v>1535</v>
      </c>
      <c r="H17" s="262" t="s">
        <v>1535</v>
      </c>
      <c r="I17" s="262" t="s">
        <v>1535</v>
      </c>
      <c r="J17" s="262" t="s">
        <v>1535</v>
      </c>
      <c r="K17" s="263" t="s">
        <v>1535</v>
      </c>
      <c r="L17" s="168" t="s">
        <v>1240</v>
      </c>
      <c r="M17" s="150" t="s">
        <v>1240</v>
      </c>
      <c r="N17" s="164" t="s">
        <v>1240</v>
      </c>
      <c r="O17" s="164" t="s">
        <v>1240</v>
      </c>
    </row>
    <row r="18">
      <c r="A18" s="159" t="s">
        <v>62</v>
      </c>
      <c r="B18" s="160" t="s">
        <v>63</v>
      </c>
      <c r="C18" s="170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8" s="225" t="s">
        <v>1536</v>
      </c>
      <c r="E18" s="225" t="s">
        <v>1537</v>
      </c>
      <c r="F18" s="279" t="s">
        <v>1538</v>
      </c>
      <c r="G18" s="262" t="s">
        <v>1539</v>
      </c>
      <c r="H18" s="262" t="s">
        <v>1540</v>
      </c>
      <c r="I18" s="262" t="s">
        <v>1541</v>
      </c>
      <c r="J18" s="262" t="s">
        <v>1541</v>
      </c>
      <c r="K18" s="263" t="s">
        <v>1541</v>
      </c>
      <c r="L18" s="168" t="s">
        <v>1242</v>
      </c>
      <c r="M18" s="150" t="s">
        <v>1242</v>
      </c>
      <c r="N18" s="164" t="s">
        <v>1542</v>
      </c>
      <c r="O18" s="265" t="s">
        <v>1245</v>
      </c>
    </row>
    <row r="19">
      <c r="A19" s="165" t="s">
        <v>66</v>
      </c>
      <c r="B19" s="166" t="s">
        <v>67</v>
      </c>
      <c r="C19" s="167" t="s">
        <v>68</v>
      </c>
      <c r="D19" s="225" t="s">
        <v>1543</v>
      </c>
      <c r="E19" s="225" t="s">
        <v>1543</v>
      </c>
      <c r="F19" s="225" t="s">
        <v>1543</v>
      </c>
      <c r="G19" s="225" t="s">
        <v>1543</v>
      </c>
      <c r="H19" s="225" t="s">
        <v>1543</v>
      </c>
      <c r="I19" s="225" t="s">
        <v>1543</v>
      </c>
      <c r="J19" s="225" t="s">
        <v>1543</v>
      </c>
      <c r="K19" s="274" t="s">
        <v>1543</v>
      </c>
      <c r="L19" s="168" t="s">
        <v>1543</v>
      </c>
      <c r="M19" s="150" t="s">
        <v>1543</v>
      </c>
      <c r="N19" s="164" t="s">
        <v>1543</v>
      </c>
      <c r="O19" s="164" t="s">
        <v>1543</v>
      </c>
    </row>
    <row r="20">
      <c r="A20" s="165" t="s">
        <v>72</v>
      </c>
      <c r="B20" s="166" t="s">
        <v>73</v>
      </c>
      <c r="C20" s="192" t="s">
        <v>74</v>
      </c>
      <c r="D20" s="225" t="s">
        <v>1544</v>
      </c>
      <c r="E20" s="225" t="s">
        <v>1544</v>
      </c>
      <c r="F20" s="274" t="s">
        <v>1545</v>
      </c>
      <c r="G20" s="274" t="s">
        <v>1545</v>
      </c>
      <c r="H20" s="225" t="s">
        <v>1546</v>
      </c>
      <c r="I20" s="225" t="s">
        <v>1547</v>
      </c>
      <c r="J20" s="225" t="s">
        <v>1547</v>
      </c>
      <c r="K20" s="274" t="s">
        <v>1547</v>
      </c>
      <c r="L20" s="168" t="s">
        <v>1547</v>
      </c>
      <c r="M20" s="150" t="s">
        <v>1547</v>
      </c>
      <c r="N20" s="164" t="s">
        <v>1254</v>
      </c>
      <c r="O20" s="164" t="s">
        <v>1254</v>
      </c>
    </row>
    <row r="21">
      <c r="A21" s="195" t="s">
        <v>317</v>
      </c>
      <c r="B21" s="196" t="s">
        <v>318</v>
      </c>
      <c r="C21" s="197" t="str">
        <f>HYPERLINK("https://play.google.com/store/apps/details?id=com.google.android.ims","com.google.android.ims")</f>
        <v>com.google.android.ims</v>
      </c>
      <c r="D21" s="280" t="s">
        <v>1548</v>
      </c>
      <c r="E21" s="280" t="s">
        <v>1549</v>
      </c>
      <c r="F21" s="280" t="s">
        <v>1549</v>
      </c>
      <c r="G21" s="280" t="s">
        <v>1549</v>
      </c>
      <c r="H21" s="280" t="s">
        <v>1550</v>
      </c>
      <c r="I21" s="280" t="s">
        <v>1551</v>
      </c>
      <c r="J21" s="280" t="s">
        <v>1551</v>
      </c>
      <c r="K21" s="274" t="s">
        <v>1552</v>
      </c>
      <c r="L21" s="168" t="s">
        <v>1258</v>
      </c>
      <c r="M21" s="281" t="s">
        <v>1258</v>
      </c>
      <c r="N21" s="176" t="s">
        <v>1260</v>
      </c>
      <c r="O21" s="265" t="s">
        <v>1261</v>
      </c>
    </row>
    <row r="22">
      <c r="A22" s="198" t="s">
        <v>97</v>
      </c>
      <c r="B22" s="199" t="s">
        <v>98</v>
      </c>
      <c r="C22" s="200" t="str">
        <f>HYPERLINK("https://play.google.com/store/apps/details?id=com.google.android.dialer","com.google.android.dialer")</f>
        <v>com.google.android.dialer</v>
      </c>
      <c r="D22" s="225" t="s">
        <v>1553</v>
      </c>
      <c r="E22" s="225" t="s">
        <v>1554</v>
      </c>
      <c r="F22" s="225" t="s">
        <v>1555</v>
      </c>
      <c r="G22" s="225" t="s">
        <v>1555</v>
      </c>
      <c r="H22" s="225" t="s">
        <v>1556</v>
      </c>
      <c r="I22" s="225" t="s">
        <v>1557</v>
      </c>
      <c r="J22" s="225" t="s">
        <v>1557</v>
      </c>
      <c r="K22" s="274" t="s">
        <v>1557</v>
      </c>
      <c r="L22" s="168" t="s">
        <v>1557</v>
      </c>
      <c r="M22" s="282" t="s">
        <v>1270</v>
      </c>
      <c r="N22" s="283" t="s">
        <v>1272</v>
      </c>
      <c r="O22" s="283" t="s">
        <v>1273</v>
      </c>
    </row>
    <row r="23">
      <c r="A23" s="198" t="s">
        <v>1281</v>
      </c>
      <c r="B23" s="199" t="s">
        <v>1282</v>
      </c>
      <c r="C23" s="161" t="s">
        <v>1283</v>
      </c>
      <c r="D23" s="225" t="s">
        <v>1558</v>
      </c>
      <c r="E23" s="225" t="s">
        <v>1558</v>
      </c>
      <c r="F23" s="225" t="s">
        <v>1559</v>
      </c>
      <c r="G23" s="225" t="s">
        <v>1559</v>
      </c>
      <c r="H23" s="225" t="s">
        <v>1559</v>
      </c>
      <c r="I23" s="225" t="s">
        <v>1559</v>
      </c>
      <c r="J23" s="168" t="s">
        <v>1560</v>
      </c>
      <c r="K23" s="168" t="s">
        <v>1560</v>
      </c>
      <c r="L23" s="168" t="s">
        <v>1560</v>
      </c>
      <c r="M23" s="150" t="s">
        <v>1560</v>
      </c>
      <c r="N23" s="164" t="s">
        <v>1560</v>
      </c>
      <c r="O23" s="164" t="s">
        <v>1560</v>
      </c>
    </row>
    <row r="24">
      <c r="A24" s="198" t="s">
        <v>327</v>
      </c>
      <c r="B24" s="199" t="s">
        <v>328</v>
      </c>
      <c r="C24" s="161" t="s">
        <v>329</v>
      </c>
      <c r="D24" s="275" t="s">
        <v>330</v>
      </c>
      <c r="E24" s="275" t="s">
        <v>330</v>
      </c>
      <c r="F24" s="275" t="s">
        <v>330</v>
      </c>
      <c r="G24" s="275" t="s">
        <v>330</v>
      </c>
      <c r="H24" s="275" t="s">
        <v>330</v>
      </c>
      <c r="I24" s="275" t="s">
        <v>330</v>
      </c>
      <c r="J24" s="275" t="s">
        <v>330</v>
      </c>
      <c r="K24" s="277" t="s">
        <v>330</v>
      </c>
      <c r="L24" s="277" t="s">
        <v>330</v>
      </c>
      <c r="M24" s="137">
        <v>1.1</v>
      </c>
      <c r="N24" s="164">
        <v>1.1</v>
      </c>
      <c r="O24" s="137">
        <v>1.1</v>
      </c>
    </row>
    <row r="25">
      <c r="A25" s="195" t="s">
        <v>101</v>
      </c>
      <c r="B25" s="196" t="s">
        <v>102</v>
      </c>
      <c r="C25" s="201" t="s">
        <v>1285</v>
      </c>
      <c r="D25" s="225" t="s">
        <v>1561</v>
      </c>
      <c r="E25" s="225" t="s">
        <v>1562</v>
      </c>
      <c r="F25" s="284" t="s">
        <v>1563</v>
      </c>
      <c r="G25" s="284" t="s">
        <v>1563</v>
      </c>
      <c r="H25" s="284" t="s">
        <v>1563</v>
      </c>
      <c r="I25" s="262" t="s">
        <v>1564</v>
      </c>
      <c r="J25" s="262" t="s">
        <v>1564</v>
      </c>
      <c r="K25" s="263" t="s">
        <v>1564</v>
      </c>
      <c r="L25" s="168" t="s">
        <v>1564</v>
      </c>
      <c r="M25" s="150" t="s">
        <v>1564</v>
      </c>
      <c r="N25" s="164" t="s">
        <v>1564</v>
      </c>
      <c r="O25" s="265" t="s">
        <v>1287</v>
      </c>
    </row>
    <row r="26">
      <c r="A26" s="29" t="s">
        <v>110</v>
      </c>
      <c r="B26" s="11" t="s">
        <v>111</v>
      </c>
      <c r="C26" s="11" t="s">
        <v>112</v>
      </c>
      <c r="D26" s="36" t="s">
        <v>1565</v>
      </c>
      <c r="E26" s="36" t="s">
        <v>1565</v>
      </c>
      <c r="F26" s="202" t="s">
        <v>1566</v>
      </c>
      <c r="G26" s="202" t="s">
        <v>1567</v>
      </c>
      <c r="H26" s="202" t="s">
        <v>1567</v>
      </c>
      <c r="I26" s="202" t="s">
        <v>1567</v>
      </c>
      <c r="J26" s="202" t="s">
        <v>1567</v>
      </c>
      <c r="K26" s="202" t="s">
        <v>1567</v>
      </c>
      <c r="L26" s="202" t="s">
        <v>1567</v>
      </c>
      <c r="M26" s="150" t="s">
        <v>1567</v>
      </c>
      <c r="N26" s="164" t="s">
        <v>1567</v>
      </c>
      <c r="O26" s="164" t="s">
        <v>1567</v>
      </c>
    </row>
    <row r="27">
      <c r="A27" s="48" t="s">
        <v>113</v>
      </c>
      <c r="B27" s="230"/>
      <c r="C27" s="30"/>
      <c r="D27" s="39"/>
      <c r="E27" s="39"/>
      <c r="F27" s="39"/>
      <c r="G27" s="39"/>
      <c r="H27" s="39"/>
      <c r="I27" s="39"/>
      <c r="J27" s="39"/>
      <c r="K27" s="39"/>
      <c r="L27" s="39"/>
      <c r="M27" s="150"/>
      <c r="N27" s="164"/>
      <c r="O27" s="285"/>
    </row>
    <row r="28">
      <c r="A28" s="159" t="s">
        <v>114</v>
      </c>
      <c r="B28" s="160" t="s">
        <v>114</v>
      </c>
      <c r="C28" s="208" t="str">
        <f>HYPERLINK("https://play.google.com/store/apps/details?id=com.android.chrome",HYPERLINK("https://play.google.com/store/apps/details?id=com.android.chrome","com.android.chrome"))</f>
        <v>com.android.chrome</v>
      </c>
      <c r="D28" s="257" t="s">
        <v>1568</v>
      </c>
      <c r="E28" s="257" t="s">
        <v>1569</v>
      </c>
      <c r="F28" s="257" t="s">
        <v>1570</v>
      </c>
      <c r="G28" s="257" t="s">
        <v>1570</v>
      </c>
      <c r="H28" s="257" t="s">
        <v>1571</v>
      </c>
      <c r="I28" s="257" t="s">
        <v>1572</v>
      </c>
      <c r="J28" s="257" t="s">
        <v>1572</v>
      </c>
      <c r="K28" s="257" t="s">
        <v>1573</v>
      </c>
      <c r="L28" s="286" t="s">
        <v>1573</v>
      </c>
      <c r="M28" s="150" t="s">
        <v>1573</v>
      </c>
      <c r="N28" s="137" t="s">
        <v>1574</v>
      </c>
      <c r="O28" s="287" t="s">
        <v>1294</v>
      </c>
    </row>
    <row r="29">
      <c r="A29" s="159" t="s">
        <v>117</v>
      </c>
      <c r="B29" s="160" t="s">
        <v>117</v>
      </c>
      <c r="C29" s="170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9" s="225" t="s">
        <v>1575</v>
      </c>
      <c r="E29" s="225" t="s">
        <v>1576</v>
      </c>
      <c r="F29" s="225" t="s">
        <v>1576</v>
      </c>
      <c r="G29" s="274" t="s">
        <v>1577</v>
      </c>
      <c r="H29" s="225" t="s">
        <v>1577</v>
      </c>
      <c r="I29" s="225" t="s">
        <v>1577</v>
      </c>
      <c r="J29" s="225" t="s">
        <v>1577</v>
      </c>
      <c r="K29" s="274" t="s">
        <v>1577</v>
      </c>
      <c r="L29" s="261" t="s">
        <v>1577</v>
      </c>
      <c r="M29" s="150" t="s">
        <v>1577</v>
      </c>
      <c r="N29" s="137" t="s">
        <v>1578</v>
      </c>
      <c r="O29" s="287" t="s">
        <v>1579</v>
      </c>
    </row>
    <row r="30">
      <c r="A30" s="159" t="s">
        <v>886</v>
      </c>
      <c r="B30" s="160" t="s">
        <v>886</v>
      </c>
      <c r="C30" s="209" t="str">
        <f>HYPERLINK("https://play.google.com/store/apps/details?id=com.google.android.apps.tachyon","com.google.android.apps.tachyon")</f>
        <v>com.google.android.apps.tachyon</v>
      </c>
      <c r="D30" s="225" t="s">
        <v>1580</v>
      </c>
      <c r="E30" s="225" t="s">
        <v>1580</v>
      </c>
      <c r="F30" s="225" t="s">
        <v>1581</v>
      </c>
      <c r="G30" s="225" t="s">
        <v>1582</v>
      </c>
      <c r="H30" s="225" t="s">
        <v>1583</v>
      </c>
      <c r="I30" s="225" t="s">
        <v>1583</v>
      </c>
      <c r="J30" s="225" t="s">
        <v>1583</v>
      </c>
      <c r="K30" s="274" t="s">
        <v>1583</v>
      </c>
      <c r="L30" s="261" t="s">
        <v>1583</v>
      </c>
      <c r="M30" s="150" t="s">
        <v>1583</v>
      </c>
      <c r="N30" s="137" t="s">
        <v>1314</v>
      </c>
      <c r="O30" s="287" t="s">
        <v>1315</v>
      </c>
    </row>
    <row r="31">
      <c r="A31" s="159" t="s">
        <v>123</v>
      </c>
      <c r="B31" s="160" t="s">
        <v>124</v>
      </c>
      <c r="C31" s="170" t="str">
        <f>HYPERLINK("https://play.google.com/store/apps/details?id=com.google.android.gm",HYPERLINK("https://play.google.com/store/apps/details?id=com.google.android.gm","com.google.android.gm"))</f>
        <v>com.google.android.gm</v>
      </c>
      <c r="D31" s="225" t="s">
        <v>1584</v>
      </c>
      <c r="E31" s="225" t="s">
        <v>1585</v>
      </c>
      <c r="F31" s="225" t="s">
        <v>1585</v>
      </c>
      <c r="G31" s="225" t="s">
        <v>1586</v>
      </c>
      <c r="H31" s="225" t="s">
        <v>1587</v>
      </c>
      <c r="I31" s="225" t="s">
        <v>1587</v>
      </c>
      <c r="J31" s="225" t="s">
        <v>1587</v>
      </c>
      <c r="K31" s="274" t="s">
        <v>1587</v>
      </c>
      <c r="L31" s="261" t="s">
        <v>1587</v>
      </c>
      <c r="M31" s="150" t="s">
        <v>1587</v>
      </c>
      <c r="N31" s="137" t="s">
        <v>1588</v>
      </c>
      <c r="O31" s="287" t="s">
        <v>1327</v>
      </c>
    </row>
    <row r="32">
      <c r="A32" s="159" t="s">
        <v>127</v>
      </c>
      <c r="B32" s="160" t="s">
        <v>128</v>
      </c>
      <c r="C32" s="161" t="s">
        <v>129</v>
      </c>
      <c r="D32" s="225" t="s">
        <v>1589</v>
      </c>
      <c r="E32" s="225" t="s">
        <v>1589</v>
      </c>
      <c r="F32" s="225" t="s">
        <v>1589</v>
      </c>
      <c r="G32" s="225" t="s">
        <v>1589</v>
      </c>
      <c r="H32" s="225" t="s">
        <v>1589</v>
      </c>
      <c r="I32" s="225" t="s">
        <v>1590</v>
      </c>
      <c r="J32" s="225" t="s">
        <v>1590</v>
      </c>
      <c r="K32" s="274" t="s">
        <v>1590</v>
      </c>
      <c r="L32" s="261" t="s">
        <v>1590</v>
      </c>
      <c r="M32" s="150" t="s">
        <v>1590</v>
      </c>
      <c r="N32" s="137" t="s">
        <v>1590</v>
      </c>
      <c r="O32" s="288" t="s">
        <v>1590</v>
      </c>
    </row>
    <row r="33">
      <c r="A33" s="159" t="s">
        <v>1098</v>
      </c>
      <c r="B33" s="160" t="s">
        <v>1099</v>
      </c>
      <c r="C33" s="161" t="s">
        <v>1100</v>
      </c>
      <c r="D33" s="267" t="s">
        <v>1506</v>
      </c>
      <c r="E33" s="267" t="s">
        <v>1506</v>
      </c>
      <c r="F33" s="267" t="s">
        <v>1506</v>
      </c>
      <c r="G33" s="267" t="s">
        <v>1506</v>
      </c>
      <c r="H33" s="267" t="s">
        <v>1506</v>
      </c>
      <c r="I33" s="267" t="s">
        <v>1506</v>
      </c>
      <c r="J33" s="267" t="s">
        <v>1506</v>
      </c>
      <c r="K33" s="268" t="s">
        <v>1506</v>
      </c>
      <c r="L33" s="289" t="s">
        <v>1506</v>
      </c>
      <c r="M33" s="270" t="s">
        <v>1506</v>
      </c>
      <c r="N33" s="290" t="s">
        <v>1506</v>
      </c>
      <c r="O33" s="291" t="s">
        <v>1506</v>
      </c>
    </row>
    <row r="34">
      <c r="A34" s="159" t="s">
        <v>131</v>
      </c>
      <c r="B34" s="160" t="s">
        <v>131</v>
      </c>
      <c r="C34" s="170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4" s="225" t="s">
        <v>1591</v>
      </c>
      <c r="E34" s="225" t="s">
        <v>1591</v>
      </c>
      <c r="F34" s="225" t="s">
        <v>1591</v>
      </c>
      <c r="G34" s="225" t="s">
        <v>1591</v>
      </c>
      <c r="H34" s="225" t="s">
        <v>1591</v>
      </c>
      <c r="I34" s="225" t="s">
        <v>1591</v>
      </c>
      <c r="J34" s="225" t="s">
        <v>1591</v>
      </c>
      <c r="K34" s="274" t="s">
        <v>1336</v>
      </c>
      <c r="L34" s="261" t="s">
        <v>1336</v>
      </c>
      <c r="M34" s="150" t="s">
        <v>1336</v>
      </c>
      <c r="N34" s="137" t="s">
        <v>1592</v>
      </c>
      <c r="O34" s="287" t="s">
        <v>1593</v>
      </c>
    </row>
    <row r="35">
      <c r="A35" s="159" t="s">
        <v>1594</v>
      </c>
      <c r="B35" s="160" t="s">
        <v>1595</v>
      </c>
      <c r="C35" s="170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5" s="292" t="s">
        <v>1596</v>
      </c>
      <c r="E35" s="293" t="s">
        <v>1596</v>
      </c>
      <c r="F35" s="280" t="s">
        <v>1597</v>
      </c>
      <c r="G35" s="280" t="s">
        <v>1597</v>
      </c>
      <c r="H35" s="280" t="s">
        <v>1597</v>
      </c>
      <c r="I35" s="280" t="s">
        <v>1597</v>
      </c>
      <c r="J35" s="280" t="s">
        <v>1597</v>
      </c>
      <c r="K35" s="274" t="s">
        <v>1597</v>
      </c>
      <c r="L35" s="261" t="s">
        <v>1597</v>
      </c>
      <c r="M35" s="281" t="s">
        <v>1597</v>
      </c>
      <c r="N35" s="294" t="s">
        <v>1597</v>
      </c>
      <c r="O35" s="295" t="s">
        <v>1597</v>
      </c>
    </row>
    <row r="36">
      <c r="A36" s="159" t="s">
        <v>134</v>
      </c>
      <c r="B36" s="160" t="s">
        <v>135</v>
      </c>
      <c r="C36" s="210" t="str">
        <f>HYPERLINK("https://play.google.com/store/apps/details?id=com.google.android.apps.photos","com.google.android.apps.photos")</f>
        <v>com.google.android.apps.photos</v>
      </c>
      <c r="D36" s="225" t="s">
        <v>1598</v>
      </c>
      <c r="E36" s="225" t="s">
        <v>1599</v>
      </c>
      <c r="F36" s="225" t="s">
        <v>1599</v>
      </c>
      <c r="G36" s="296" t="s">
        <v>1600</v>
      </c>
      <c r="H36" s="296" t="s">
        <v>1600</v>
      </c>
      <c r="I36" s="296" t="s">
        <v>1600</v>
      </c>
      <c r="J36" s="296" t="s">
        <v>1600</v>
      </c>
      <c r="K36" s="297" t="s">
        <v>1600</v>
      </c>
      <c r="L36" s="298" t="s">
        <v>1601</v>
      </c>
      <c r="M36" s="299" t="s">
        <v>1601</v>
      </c>
      <c r="N36" s="300" t="s">
        <v>1602</v>
      </c>
      <c r="O36" s="301" t="s">
        <v>1603</v>
      </c>
    </row>
    <row r="37">
      <c r="A37" s="159" t="s">
        <v>138</v>
      </c>
      <c r="B37" s="160" t="s">
        <v>139</v>
      </c>
      <c r="C37" s="170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7" s="225" t="s">
        <v>1604</v>
      </c>
      <c r="E37" s="225" t="s">
        <v>1605</v>
      </c>
      <c r="F37" s="225" t="s">
        <v>1605</v>
      </c>
      <c r="G37" s="296" t="s">
        <v>1606</v>
      </c>
      <c r="H37" s="296" t="s">
        <v>1607</v>
      </c>
      <c r="I37" s="296" t="s">
        <v>1607</v>
      </c>
      <c r="J37" s="296" t="s">
        <v>1607</v>
      </c>
      <c r="K37" s="297" t="s">
        <v>1607</v>
      </c>
      <c r="L37" s="298" t="s">
        <v>1607</v>
      </c>
      <c r="M37" s="299" t="s">
        <v>1607</v>
      </c>
      <c r="N37" s="300" t="s">
        <v>1362</v>
      </c>
      <c r="O37" s="302" t="s">
        <v>1362</v>
      </c>
    </row>
    <row r="38">
      <c r="A38" s="159" t="s">
        <v>142</v>
      </c>
      <c r="B38" s="160" t="s">
        <v>143</v>
      </c>
      <c r="C38" s="170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8" s="225" t="s">
        <v>1568</v>
      </c>
      <c r="E38" s="225" t="s">
        <v>1569</v>
      </c>
      <c r="F38" s="225" t="s">
        <v>1570</v>
      </c>
      <c r="G38" s="225" t="s">
        <v>1570</v>
      </c>
      <c r="H38" s="225" t="s">
        <v>1571</v>
      </c>
      <c r="I38" s="225" t="s">
        <v>1572</v>
      </c>
      <c r="J38" s="225" t="s">
        <v>1572</v>
      </c>
      <c r="K38" s="274" t="s">
        <v>1573</v>
      </c>
      <c r="L38" s="261" t="s">
        <v>1573</v>
      </c>
      <c r="M38" s="150" t="s">
        <v>1573</v>
      </c>
      <c r="N38" s="137" t="s">
        <v>1574</v>
      </c>
      <c r="O38" s="287" t="s">
        <v>1294</v>
      </c>
    </row>
    <row r="39">
      <c r="A39" s="159" t="s">
        <v>145</v>
      </c>
      <c r="B39" s="160" t="s">
        <v>145</v>
      </c>
      <c r="C39" s="170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9" s="225" t="s">
        <v>1608</v>
      </c>
      <c r="E39" s="225" t="s">
        <v>1608</v>
      </c>
      <c r="F39" s="225" t="s">
        <v>1608</v>
      </c>
      <c r="G39" s="296" t="s">
        <v>1609</v>
      </c>
      <c r="H39" s="296" t="s">
        <v>1610</v>
      </c>
      <c r="I39" s="296" t="s">
        <v>1610</v>
      </c>
      <c r="J39" s="296" t="s">
        <v>1610</v>
      </c>
      <c r="K39" s="297" t="s">
        <v>1610</v>
      </c>
      <c r="L39" s="298" t="s">
        <v>1610</v>
      </c>
      <c r="M39" s="299" t="s">
        <v>1610</v>
      </c>
      <c r="N39" s="300" t="s">
        <v>1611</v>
      </c>
      <c r="O39" s="301" t="s">
        <v>1369</v>
      </c>
    </row>
    <row r="40">
      <c r="A40" s="215" t="s">
        <v>148</v>
      </c>
      <c r="B40" s="216" t="s">
        <v>149</v>
      </c>
      <c r="C40" s="201" t="s">
        <v>150</v>
      </c>
      <c r="D40" s="225" t="s">
        <v>1612</v>
      </c>
      <c r="E40" s="225" t="s">
        <v>1613</v>
      </c>
      <c r="F40" s="225" t="s">
        <v>1613</v>
      </c>
      <c r="G40" s="296" t="s">
        <v>1614</v>
      </c>
      <c r="H40" s="296" t="s">
        <v>1615</v>
      </c>
      <c r="I40" s="296" t="s">
        <v>1615</v>
      </c>
      <c r="J40" s="296" t="s">
        <v>1615</v>
      </c>
      <c r="K40" s="297" t="s">
        <v>1615</v>
      </c>
      <c r="L40" s="298" t="s">
        <v>1615</v>
      </c>
      <c r="M40" s="299" t="s">
        <v>1615</v>
      </c>
      <c r="N40" s="300" t="s">
        <v>1616</v>
      </c>
      <c r="O40" s="301" t="s">
        <v>1381</v>
      </c>
    </row>
    <row r="41">
      <c r="A41" s="159" t="s">
        <v>1388</v>
      </c>
      <c r="B41" s="160" t="s">
        <v>1389</v>
      </c>
      <c r="C41" s="170" t="str">
        <f>HYPERLINK("https://play.google.com/store/apps/details?id=com.google.android.tts",HYPERLINK("https://play.google.com/store/apps/details?id=com.google.android.tts","com.google.android.tts"))</f>
        <v>com.google.android.tts</v>
      </c>
      <c r="D41" s="225" t="s">
        <v>1617</v>
      </c>
      <c r="E41" s="225" t="s">
        <v>1618</v>
      </c>
      <c r="F41" s="225" t="s">
        <v>1618</v>
      </c>
      <c r="G41" s="225" t="s">
        <v>1618</v>
      </c>
      <c r="H41" s="225" t="s">
        <v>1619</v>
      </c>
      <c r="I41" s="225" t="s">
        <v>1619</v>
      </c>
      <c r="J41" s="225" t="s">
        <v>1619</v>
      </c>
      <c r="K41" s="274" t="s">
        <v>1619</v>
      </c>
      <c r="L41" s="261" t="s">
        <v>1619</v>
      </c>
      <c r="M41" s="150" t="s">
        <v>1619</v>
      </c>
      <c r="N41" s="137" t="s">
        <v>1391</v>
      </c>
      <c r="O41" s="287" t="s">
        <v>1392</v>
      </c>
    </row>
    <row r="42">
      <c r="A42" s="198" t="s">
        <v>157</v>
      </c>
      <c r="B42" s="199" t="s">
        <v>158</v>
      </c>
      <c r="C42" s="161" t="s">
        <v>159</v>
      </c>
      <c r="D42" s="274" t="s">
        <v>1620</v>
      </c>
      <c r="E42" s="259" t="s">
        <v>1395</v>
      </c>
      <c r="F42" s="259" t="s">
        <v>1395</v>
      </c>
      <c r="G42" s="259" t="s">
        <v>1395</v>
      </c>
      <c r="H42" s="259" t="s">
        <v>1395</v>
      </c>
      <c r="I42" s="259" t="s">
        <v>1395</v>
      </c>
      <c r="J42" s="259" t="s">
        <v>1395</v>
      </c>
      <c r="K42" s="260" t="s">
        <v>1395</v>
      </c>
      <c r="L42" s="303" t="s">
        <v>1395</v>
      </c>
      <c r="M42" s="137">
        <v>7.8</v>
      </c>
      <c r="N42" s="137">
        <v>7.8</v>
      </c>
      <c r="O42" s="137">
        <v>7.8</v>
      </c>
    </row>
    <row r="43">
      <c r="A43" s="198" t="s">
        <v>162</v>
      </c>
      <c r="B43" s="199" t="s">
        <v>163</v>
      </c>
      <c r="C43" s="170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3" s="225" t="s">
        <v>1621</v>
      </c>
      <c r="E43" s="225" t="s">
        <v>1622</v>
      </c>
      <c r="F43" s="225" t="s">
        <v>1623</v>
      </c>
      <c r="G43" s="225" t="s">
        <v>1624</v>
      </c>
      <c r="H43" s="225" t="s">
        <v>1624</v>
      </c>
      <c r="I43" s="225" t="s">
        <v>1624</v>
      </c>
      <c r="J43" s="225" t="s">
        <v>1624</v>
      </c>
      <c r="K43" s="274" t="s">
        <v>1624</v>
      </c>
      <c r="L43" s="261" t="s">
        <v>1624</v>
      </c>
      <c r="M43" s="304" t="s">
        <v>1624</v>
      </c>
      <c r="N43" s="137" t="s">
        <v>1625</v>
      </c>
      <c r="O43" s="287" t="s">
        <v>1626</v>
      </c>
    </row>
    <row r="44">
      <c r="A44" s="198" t="s">
        <v>179</v>
      </c>
      <c r="B44" s="199" t="s">
        <v>180</v>
      </c>
      <c r="C44" s="222" t="str">
        <f>HYPERLINK("https://play.google.com/store/apps/details?id=com.google.android.deskclock","com.google.android.deskclock")</f>
        <v>com.google.android.deskclock</v>
      </c>
      <c r="D44" s="259" t="s">
        <v>1627</v>
      </c>
      <c r="E44" s="259" t="s">
        <v>1627</v>
      </c>
      <c r="F44" s="259" t="s">
        <v>1627</v>
      </c>
      <c r="G44" s="225" t="s">
        <v>1628</v>
      </c>
      <c r="H44" s="225" t="s">
        <v>1628</v>
      </c>
      <c r="I44" s="225" t="s">
        <v>1628</v>
      </c>
      <c r="J44" s="225" t="s">
        <v>1628</v>
      </c>
      <c r="K44" s="274" t="s">
        <v>1628</v>
      </c>
      <c r="L44" s="261" t="s">
        <v>1628</v>
      </c>
      <c r="M44" s="150" t="s">
        <v>1628</v>
      </c>
      <c r="N44" s="137" t="s">
        <v>1408</v>
      </c>
      <c r="O44" s="288" t="s">
        <v>1408</v>
      </c>
    </row>
    <row r="45">
      <c r="A45" s="198" t="s">
        <v>1629</v>
      </c>
      <c r="B45" s="199" t="s">
        <v>1630</v>
      </c>
      <c r="C45" s="161" t="s">
        <v>1631</v>
      </c>
      <c r="D45" s="267" t="s">
        <v>1506</v>
      </c>
      <c r="E45" s="267" t="s">
        <v>1506</v>
      </c>
      <c r="F45" s="267" t="s">
        <v>1506</v>
      </c>
      <c r="G45" s="267" t="s">
        <v>1506</v>
      </c>
      <c r="H45" s="267" t="s">
        <v>1506</v>
      </c>
      <c r="I45" s="267" t="s">
        <v>1506</v>
      </c>
      <c r="J45" s="267" t="s">
        <v>1506</v>
      </c>
      <c r="K45" s="268" t="s">
        <v>1506</v>
      </c>
      <c r="L45" s="289" t="s">
        <v>1506</v>
      </c>
      <c r="M45" s="270" t="s">
        <v>1506</v>
      </c>
      <c r="N45" s="290" t="s">
        <v>1506</v>
      </c>
      <c r="O45" s="291" t="s">
        <v>1506</v>
      </c>
    </row>
    <row r="46">
      <c r="A46" s="198" t="s">
        <v>187</v>
      </c>
      <c r="B46" s="199" t="s">
        <v>188</v>
      </c>
      <c r="C46" s="200" t="str">
        <f>HYPERLINK("https://play.google.com/store/apps/details?id=com.google.android.contacts","com.google.android.contacts")</f>
        <v>com.google.android.contacts</v>
      </c>
      <c r="D46" s="225" t="s">
        <v>1632</v>
      </c>
      <c r="E46" s="225" t="s">
        <v>1633</v>
      </c>
      <c r="F46" s="225" t="s">
        <v>1633</v>
      </c>
      <c r="G46" s="225" t="s">
        <v>1633</v>
      </c>
      <c r="H46" s="225" t="s">
        <v>1633</v>
      </c>
      <c r="I46" s="225" t="s">
        <v>1634</v>
      </c>
      <c r="J46" s="305" t="s">
        <v>1635</v>
      </c>
      <c r="K46" s="263" t="s">
        <v>1636</v>
      </c>
      <c r="L46" s="261" t="s">
        <v>1636</v>
      </c>
      <c r="M46" s="150" t="s">
        <v>1636</v>
      </c>
      <c r="N46" s="137" t="s">
        <v>1412</v>
      </c>
      <c r="O46" s="287" t="s">
        <v>1637</v>
      </c>
    </row>
    <row r="47">
      <c r="A47" s="198" t="s">
        <v>191</v>
      </c>
      <c r="B47" s="199" t="s">
        <v>191</v>
      </c>
      <c r="C47" s="170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47" s="225" t="s">
        <v>1638</v>
      </c>
      <c r="E47" s="225" t="s">
        <v>1639</v>
      </c>
      <c r="F47" s="225" t="s">
        <v>1640</v>
      </c>
      <c r="G47" s="225" t="s">
        <v>1641</v>
      </c>
      <c r="H47" s="225" t="s">
        <v>1641</v>
      </c>
      <c r="I47" s="225" t="s">
        <v>1641</v>
      </c>
      <c r="J47" s="225" t="s">
        <v>1641</v>
      </c>
      <c r="K47" s="274" t="s">
        <v>1641</v>
      </c>
      <c r="L47" s="261" t="s">
        <v>1641</v>
      </c>
      <c r="M47" s="150" t="s">
        <v>1641</v>
      </c>
      <c r="N47" s="137" t="s">
        <v>1423</v>
      </c>
      <c r="O47" s="287" t="s">
        <v>1424</v>
      </c>
    </row>
    <row r="48">
      <c r="A48" s="198" t="s">
        <v>194</v>
      </c>
      <c r="B48" s="199" t="s">
        <v>195</v>
      </c>
      <c r="C48" s="170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48" s="225" t="s">
        <v>1642</v>
      </c>
      <c r="E48" s="225" t="s">
        <v>1643</v>
      </c>
      <c r="F48" s="225" t="s">
        <v>1644</v>
      </c>
      <c r="G48" s="225" t="s">
        <v>1644</v>
      </c>
      <c r="H48" s="225" t="s">
        <v>1644</v>
      </c>
      <c r="I48" s="225" t="s">
        <v>1644</v>
      </c>
      <c r="J48" s="225" t="s">
        <v>1644</v>
      </c>
      <c r="K48" s="274" t="s">
        <v>1644</v>
      </c>
      <c r="L48" s="261" t="s">
        <v>1644</v>
      </c>
      <c r="M48" s="150" t="s">
        <v>1644</v>
      </c>
      <c r="N48" s="137" t="s">
        <v>1430</v>
      </c>
      <c r="O48" s="287" t="s">
        <v>1432</v>
      </c>
    </row>
    <row r="49">
      <c r="A49" s="198" t="s">
        <v>198</v>
      </c>
      <c r="B49" s="199" t="s">
        <v>199</v>
      </c>
      <c r="C49" s="170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49" s="262" t="s">
        <v>1645</v>
      </c>
      <c r="E49" s="262" t="s">
        <v>1645</v>
      </c>
      <c r="F49" s="262" t="s">
        <v>1645</v>
      </c>
      <c r="G49" s="262" t="s">
        <v>1646</v>
      </c>
      <c r="H49" s="262" t="s">
        <v>1646</v>
      </c>
      <c r="I49" s="262" t="s">
        <v>1646</v>
      </c>
      <c r="J49" s="262" t="s">
        <v>1646</v>
      </c>
      <c r="K49" s="263" t="s">
        <v>1646</v>
      </c>
      <c r="L49" s="261" t="s">
        <v>1646</v>
      </c>
      <c r="M49" s="150" t="s">
        <v>1646</v>
      </c>
      <c r="N49" s="137" t="s">
        <v>1437</v>
      </c>
      <c r="O49" s="287" t="s">
        <v>1439</v>
      </c>
    </row>
    <row r="50">
      <c r="A50" s="198" t="s">
        <v>202</v>
      </c>
      <c r="B50" s="199" t="s">
        <v>202</v>
      </c>
      <c r="C50" s="210" t="str">
        <f>HYPERLINK("https://play.google.com/store/apps/details?id=com.google.android.apps.messaging","com.google.android.apps.messaging")</f>
        <v>com.google.android.apps.messaging</v>
      </c>
      <c r="D50" s="225" t="s">
        <v>1647</v>
      </c>
      <c r="E50" s="225" t="s">
        <v>1648</v>
      </c>
      <c r="F50" s="225" t="s">
        <v>1648</v>
      </c>
      <c r="G50" s="225" t="s">
        <v>1648</v>
      </c>
      <c r="H50" s="225" t="s">
        <v>1649</v>
      </c>
      <c r="I50" s="225" t="s">
        <v>1649</v>
      </c>
      <c r="J50" s="225" t="s">
        <v>1649</v>
      </c>
      <c r="K50" s="274" t="s">
        <v>1650</v>
      </c>
      <c r="L50" s="261" t="s">
        <v>1440</v>
      </c>
      <c r="M50" s="150" t="s">
        <v>1440</v>
      </c>
      <c r="N50" s="137" t="s">
        <v>1442</v>
      </c>
      <c r="O50" s="287" t="s">
        <v>1443</v>
      </c>
    </row>
    <row r="51">
      <c r="A51" s="225" t="s">
        <v>205</v>
      </c>
      <c r="B51" s="226" t="s">
        <v>206</v>
      </c>
      <c r="C51" s="226" t="s">
        <v>207</v>
      </c>
      <c r="D51" s="227" t="s">
        <v>1651</v>
      </c>
      <c r="E51" s="227" t="s">
        <v>1651</v>
      </c>
      <c r="F51" s="227" t="s">
        <v>1651</v>
      </c>
      <c r="G51" s="227" t="s">
        <v>1651</v>
      </c>
      <c r="H51" s="227" t="s">
        <v>1651</v>
      </c>
      <c r="I51" s="227" t="s">
        <v>1651</v>
      </c>
      <c r="J51" s="227" t="s">
        <v>1651</v>
      </c>
      <c r="K51" s="227" t="s">
        <v>1651</v>
      </c>
      <c r="L51" s="227" t="s">
        <v>1651</v>
      </c>
      <c r="M51" s="150" t="s">
        <v>1651</v>
      </c>
      <c r="N51" s="137" t="s">
        <v>1651</v>
      </c>
      <c r="O51" s="288" t="s">
        <v>1651</v>
      </c>
    </row>
    <row r="52">
      <c r="A52" s="36" t="s">
        <v>208</v>
      </c>
      <c r="B52" s="37" t="s">
        <v>209</v>
      </c>
      <c r="C52" s="37" t="s">
        <v>210</v>
      </c>
      <c r="D52" s="306" t="s">
        <v>211</v>
      </c>
      <c r="E52" s="306" t="s">
        <v>211</v>
      </c>
      <c r="F52" s="306" t="s">
        <v>211</v>
      </c>
      <c r="G52" s="306" t="s">
        <v>211</v>
      </c>
      <c r="H52" s="306" t="s">
        <v>211</v>
      </c>
      <c r="I52" s="306" t="s">
        <v>211</v>
      </c>
      <c r="J52" s="306" t="s">
        <v>211</v>
      </c>
      <c r="K52" s="307" t="s">
        <v>211</v>
      </c>
      <c r="L52" s="307" t="s">
        <v>211</v>
      </c>
      <c r="M52" s="150" t="s">
        <v>211</v>
      </c>
      <c r="N52" s="137" t="s">
        <v>211</v>
      </c>
      <c r="O52" s="288" t="s">
        <v>211</v>
      </c>
    </row>
    <row r="53">
      <c r="A53" s="229" t="s">
        <v>213</v>
      </c>
      <c r="B53" s="230"/>
      <c r="C53" s="30"/>
      <c r="D53" s="39"/>
      <c r="E53" s="39"/>
      <c r="F53" s="39"/>
      <c r="G53" s="39"/>
      <c r="H53" s="39"/>
      <c r="I53" s="39"/>
      <c r="J53" s="39"/>
      <c r="K53" s="39"/>
      <c r="L53" s="39"/>
      <c r="M53" s="150"/>
      <c r="N53" s="164"/>
      <c r="O53" s="285"/>
    </row>
    <row r="54">
      <c r="A54" s="232" t="s">
        <v>214</v>
      </c>
      <c r="B54" s="233" t="s">
        <v>215</v>
      </c>
      <c r="C54" s="234" t="str">
        <f>HYPERLINK("https://play.google.com/store/apps/details?id=com.google.android.apps.assistant","com.google.android.apps.assistant")</f>
        <v>com.google.android.apps.assistant</v>
      </c>
      <c r="D54" s="257" t="s">
        <v>1652</v>
      </c>
      <c r="E54" s="257" t="s">
        <v>1652</v>
      </c>
      <c r="F54" s="257" t="s">
        <v>1653</v>
      </c>
      <c r="G54" s="257" t="s">
        <v>1653</v>
      </c>
      <c r="H54" s="257" t="s">
        <v>1653</v>
      </c>
      <c r="I54" s="257" t="s">
        <v>1653</v>
      </c>
      <c r="J54" s="257" t="s">
        <v>1653</v>
      </c>
      <c r="K54" s="257" t="s">
        <v>1653</v>
      </c>
      <c r="L54" s="150" t="s">
        <v>1653</v>
      </c>
      <c r="M54" s="150" t="s">
        <v>1653</v>
      </c>
      <c r="N54" s="137" t="s">
        <v>1452</v>
      </c>
      <c r="O54" s="308" t="s">
        <v>1453</v>
      </c>
    </row>
    <row r="55">
      <c r="A55" s="236" t="s">
        <v>984</v>
      </c>
      <c r="B55" s="237" t="s">
        <v>985</v>
      </c>
      <c r="C55" s="238" t="s">
        <v>1455</v>
      </c>
      <c r="D55" s="225"/>
      <c r="E55" s="225"/>
      <c r="F55" s="225"/>
      <c r="G55" s="225" t="s">
        <v>1582</v>
      </c>
      <c r="H55" s="225" t="s">
        <v>1582</v>
      </c>
      <c r="I55" s="225" t="s">
        <v>1582</v>
      </c>
      <c r="J55" s="225" t="s">
        <v>1582</v>
      </c>
      <c r="K55" s="274" t="s">
        <v>1582</v>
      </c>
      <c r="L55" s="150" t="s">
        <v>1582</v>
      </c>
      <c r="M55" s="150" t="s">
        <v>1582</v>
      </c>
      <c r="N55" s="137" t="s">
        <v>1314</v>
      </c>
      <c r="O55" s="287" t="s">
        <v>1315</v>
      </c>
    </row>
    <row r="56">
      <c r="A56" s="240" t="s">
        <v>219</v>
      </c>
      <c r="B56" s="241" t="s">
        <v>1459</v>
      </c>
      <c r="C56" s="242" t="str">
        <f>HYPERLINK("https://play.google.com/store/apps/details?id=com.google.android.apps.nbu.files","com.google.android.apps.nbu.files")</f>
        <v>com.google.android.apps.nbu.files</v>
      </c>
      <c r="D56" s="225" t="s">
        <v>1654</v>
      </c>
      <c r="E56" s="274" t="s">
        <v>1655</v>
      </c>
      <c r="F56" s="225" t="s">
        <v>1656</v>
      </c>
      <c r="G56" s="225" t="s">
        <v>1656</v>
      </c>
      <c r="H56" s="225" t="s">
        <v>1656</v>
      </c>
      <c r="I56" s="225" t="s">
        <v>1656</v>
      </c>
      <c r="J56" s="225" t="s">
        <v>1656</v>
      </c>
      <c r="K56" s="274" t="s">
        <v>1656</v>
      </c>
      <c r="L56" s="150" t="s">
        <v>1656</v>
      </c>
      <c r="M56" s="150" t="s">
        <v>1656</v>
      </c>
      <c r="N56" s="137" t="s">
        <v>1657</v>
      </c>
      <c r="O56" s="287" t="s">
        <v>1463</v>
      </c>
    </row>
    <row r="57">
      <c r="A57" s="243" t="s">
        <v>223</v>
      </c>
      <c r="B57" s="244" t="s">
        <v>224</v>
      </c>
      <c r="C57" s="245" t="s">
        <v>1467</v>
      </c>
      <c r="D57" s="225" t="s">
        <v>1658</v>
      </c>
      <c r="E57" s="225" t="s">
        <v>1659</v>
      </c>
      <c r="F57" s="225" t="s">
        <v>1660</v>
      </c>
      <c r="G57" s="225" t="s">
        <v>1660</v>
      </c>
      <c r="H57" s="225" t="s">
        <v>1660</v>
      </c>
      <c r="I57" s="225" t="s">
        <v>1660</v>
      </c>
      <c r="J57" s="225" t="s">
        <v>1660</v>
      </c>
      <c r="K57" s="274" t="s">
        <v>1660</v>
      </c>
      <c r="L57" s="150" t="s">
        <v>1660</v>
      </c>
      <c r="M57" s="150" t="s">
        <v>1660</v>
      </c>
      <c r="N57" s="137" t="s">
        <v>1470</v>
      </c>
      <c r="O57" s="287" t="s">
        <v>1471</v>
      </c>
    </row>
    <row r="58">
      <c r="A58" s="240" t="s">
        <v>1169</v>
      </c>
      <c r="B58" s="241" t="s">
        <v>1170</v>
      </c>
      <c r="C58" s="242" t="str">
        <f>HYPERLINK("https://play.google.com/store/apps/details?id=com.google.android.gm.lite","com.google.android.gm.lite")</f>
        <v>com.google.android.gm.lite</v>
      </c>
      <c r="D58" s="225" t="s">
        <v>1476</v>
      </c>
      <c r="E58" s="225" t="s">
        <v>1476</v>
      </c>
      <c r="F58" s="225" t="s">
        <v>1476</v>
      </c>
      <c r="G58" s="225" t="s">
        <v>1476</v>
      </c>
      <c r="H58" s="225" t="s">
        <v>1476</v>
      </c>
      <c r="I58" s="225" t="s">
        <v>1476</v>
      </c>
      <c r="J58" s="225" t="s">
        <v>1476</v>
      </c>
      <c r="K58" s="274" t="s">
        <v>1476</v>
      </c>
      <c r="L58" s="150" t="s">
        <v>1476</v>
      </c>
      <c r="M58" s="150" t="s">
        <v>1476</v>
      </c>
      <c r="N58" s="137" t="s">
        <v>1476</v>
      </c>
      <c r="O58" s="288" t="s">
        <v>1476</v>
      </c>
    </row>
    <row r="59">
      <c r="A59" s="236" t="s">
        <v>226</v>
      </c>
      <c r="B59" s="237" t="s">
        <v>227</v>
      </c>
      <c r="C59" s="246" t="str">
        <f>HYPERLINK("https://android-cret.corp.google.com/#fusion:id=com.google.android.gms","com.google.android.gms")</f>
        <v>com.google.android.gms</v>
      </c>
      <c r="D59" s="225" t="s">
        <v>1509</v>
      </c>
      <c r="E59" s="225" t="s">
        <v>1661</v>
      </c>
      <c r="F59" s="225" t="s">
        <v>1511</v>
      </c>
      <c r="G59" s="225" t="s">
        <v>1512</v>
      </c>
      <c r="H59" s="225" t="s">
        <v>1512</v>
      </c>
      <c r="I59" s="274" t="s">
        <v>1513</v>
      </c>
      <c r="J59" s="274" t="s">
        <v>1513</v>
      </c>
      <c r="K59" s="274" t="s">
        <v>1514</v>
      </c>
      <c r="L59" s="150" t="s">
        <v>1514</v>
      </c>
      <c r="M59" s="264" t="s">
        <v>1204</v>
      </c>
      <c r="N59" s="309" t="s">
        <v>1206</v>
      </c>
      <c r="O59" s="287" t="s">
        <v>1207</v>
      </c>
    </row>
    <row r="60">
      <c r="A60" s="240" t="s">
        <v>994</v>
      </c>
      <c r="B60" s="241" t="s">
        <v>995</v>
      </c>
      <c r="C60" s="242" t="str">
        <f>HYPERLINK("https://play.google.com/store/apps/details?id=com.google.android.dialer","com.google.android.dialer")</f>
        <v>com.google.android.dialer</v>
      </c>
      <c r="D60" s="225" t="s">
        <v>1553</v>
      </c>
      <c r="E60" s="225" t="s">
        <v>1554</v>
      </c>
      <c r="F60" s="225" t="s">
        <v>1555</v>
      </c>
      <c r="G60" s="225" t="s">
        <v>1555</v>
      </c>
      <c r="H60" s="274" t="s">
        <v>1556</v>
      </c>
      <c r="I60" s="225" t="s">
        <v>1557</v>
      </c>
      <c r="J60" s="225" t="s">
        <v>1557</v>
      </c>
      <c r="K60" s="274" t="s">
        <v>1557</v>
      </c>
      <c r="L60" s="150" t="s">
        <v>1557</v>
      </c>
      <c r="M60" s="264" t="s">
        <v>1479</v>
      </c>
      <c r="N60" s="309" t="s">
        <v>1272</v>
      </c>
      <c r="O60" s="287" t="s">
        <v>1273</v>
      </c>
    </row>
    <row r="61">
      <c r="A61" s="240" t="s">
        <v>229</v>
      </c>
      <c r="B61" s="241" t="s">
        <v>230</v>
      </c>
      <c r="C61" s="242" t="str">
        <f>HYPERLINK("https://play.google.com/store/apps/details?id=com.google.android.apps.searchlite","com.google.android.apps.searchlite")</f>
        <v>com.google.android.apps.searchlite</v>
      </c>
      <c r="D61" s="225" t="s">
        <v>1662</v>
      </c>
      <c r="E61" s="225" t="s">
        <v>1663</v>
      </c>
      <c r="F61" s="225" t="s">
        <v>1664</v>
      </c>
      <c r="G61" s="225" t="s">
        <v>1664</v>
      </c>
      <c r="H61" s="225" t="s">
        <v>1665</v>
      </c>
      <c r="I61" s="225" t="s">
        <v>1665</v>
      </c>
      <c r="J61" s="225" t="s">
        <v>1665</v>
      </c>
      <c r="K61" s="274" t="s">
        <v>1665</v>
      </c>
      <c r="L61" s="150" t="s">
        <v>1665</v>
      </c>
      <c r="M61" s="150" t="s">
        <v>1665</v>
      </c>
      <c r="N61" s="137" t="s">
        <v>1483</v>
      </c>
      <c r="O61" s="287" t="s">
        <v>1484</v>
      </c>
    </row>
    <row r="62">
      <c r="A62" s="240" t="s">
        <v>233</v>
      </c>
      <c r="B62" s="241" t="s">
        <v>234</v>
      </c>
      <c r="C62" s="242" t="str">
        <f>HYPERLINK("https://play.google.com/store/apps/details?id=com.google.android.inputmethod.latin","com.google.android.inputmethod.latin")</f>
        <v>com.google.android.inputmethod.latin</v>
      </c>
      <c r="D62" s="225" t="s">
        <v>1642</v>
      </c>
      <c r="E62" s="225" t="s">
        <v>1643</v>
      </c>
      <c r="F62" s="225" t="s">
        <v>1644</v>
      </c>
      <c r="G62" s="225" t="s">
        <v>1644</v>
      </c>
      <c r="H62" s="225" t="s">
        <v>1644</v>
      </c>
      <c r="I62" s="225" t="s">
        <v>1644</v>
      </c>
      <c r="J62" s="225" t="s">
        <v>1644</v>
      </c>
      <c r="K62" s="274" t="s">
        <v>1644</v>
      </c>
      <c r="L62" s="150" t="s">
        <v>1644</v>
      </c>
      <c r="M62" s="150" t="s">
        <v>1644</v>
      </c>
      <c r="N62" s="137" t="s">
        <v>1431</v>
      </c>
      <c r="O62" s="287" t="s">
        <v>1432</v>
      </c>
    </row>
    <row r="63">
      <c r="A63" s="240" t="s">
        <v>1178</v>
      </c>
      <c r="B63" s="241" t="s">
        <v>1179</v>
      </c>
      <c r="C63" s="242" t="str">
        <f>HYPERLINK("https://play.google.com/store/apps/details?id=com.google.android.apps.mapslite","com.google.android.apps.mapslite")</f>
        <v>com.google.android.apps.mapslite</v>
      </c>
      <c r="D63" s="259" t="s">
        <v>1666</v>
      </c>
      <c r="E63" s="259" t="s">
        <v>1666</v>
      </c>
      <c r="F63" s="259" t="s">
        <v>1666</v>
      </c>
      <c r="G63" s="259" t="s">
        <v>1666</v>
      </c>
      <c r="H63" s="259" t="s">
        <v>1666</v>
      </c>
      <c r="I63" s="259" t="s">
        <v>1666</v>
      </c>
      <c r="J63" s="259" t="s">
        <v>1666</v>
      </c>
      <c r="K63" s="260" t="s">
        <v>1666</v>
      </c>
      <c r="L63" s="310" t="s">
        <v>1666</v>
      </c>
      <c r="M63" s="137">
        <v>98.0</v>
      </c>
      <c r="N63" s="137">
        <v>98.0</v>
      </c>
      <c r="O63" s="137">
        <v>98.0</v>
      </c>
    </row>
    <row r="64">
      <c r="A64" s="236" t="s">
        <v>235</v>
      </c>
      <c r="B64" s="237" t="s">
        <v>236</v>
      </c>
      <c r="C64" s="247" t="str">
        <f>HYPERLINK("https://android-cret.corp.google.com/#fusion:id=com.google.android.apps.messaging","com.google.android.apps.messaging")</f>
        <v>com.google.android.apps.messaging</v>
      </c>
      <c r="D64" s="225" t="s">
        <v>1647</v>
      </c>
      <c r="E64" s="225" t="s">
        <v>1648</v>
      </c>
      <c r="F64" s="225" t="s">
        <v>1648</v>
      </c>
      <c r="G64" s="225" t="s">
        <v>1648</v>
      </c>
      <c r="H64" s="225" t="s">
        <v>1649</v>
      </c>
      <c r="I64" s="225" t="s">
        <v>1667</v>
      </c>
      <c r="J64" s="225" t="s">
        <v>1667</v>
      </c>
      <c r="K64" s="274" t="s">
        <v>1650</v>
      </c>
      <c r="L64" s="150" t="s">
        <v>1440</v>
      </c>
      <c r="M64" s="150" t="s">
        <v>1440</v>
      </c>
      <c r="N64" s="137" t="s">
        <v>1442</v>
      </c>
      <c r="O64" s="287" t="s">
        <v>1443</v>
      </c>
    </row>
    <row r="65">
      <c r="A65" s="243" t="s">
        <v>1184</v>
      </c>
      <c r="B65" s="244" t="s">
        <v>1185</v>
      </c>
      <c r="C65" s="311" t="str">
        <f>HYPERLINK("https://play.google.com/store/apps/details?id=com.google.android.apps.navlite","com.google.android.apps.navlite")</f>
        <v>com.google.android.apps.navlite</v>
      </c>
      <c r="D65" s="225" t="s">
        <v>1668</v>
      </c>
      <c r="E65" s="225" t="s">
        <v>1668</v>
      </c>
      <c r="F65" s="225" t="s">
        <v>1668</v>
      </c>
      <c r="G65" s="225" t="s">
        <v>1668</v>
      </c>
      <c r="H65" s="225" t="s">
        <v>1668</v>
      </c>
      <c r="I65" s="225" t="s">
        <v>1668</v>
      </c>
      <c r="J65" s="225" t="s">
        <v>1668</v>
      </c>
      <c r="K65" s="274" t="s">
        <v>1668</v>
      </c>
      <c r="L65" s="150" t="s">
        <v>1668</v>
      </c>
      <c r="M65" s="150" t="s">
        <v>1668</v>
      </c>
      <c r="N65" s="137" t="s">
        <v>1493</v>
      </c>
      <c r="O65" s="288" t="s">
        <v>1493</v>
      </c>
    </row>
    <row r="66">
      <c r="A66" s="40" t="s">
        <v>1669</v>
      </c>
      <c r="B66" s="41" t="s">
        <v>1670</v>
      </c>
      <c r="C66" s="312" t="str">
        <f>HYPERLINK("https://play.google.com/store/apps/details?id=com.google.android.apps.youtube.mango","com.google.android.apps.youtube.mango")</f>
        <v>com.google.android.apps.youtube.mango</v>
      </c>
      <c r="D66" s="313" t="s">
        <v>1671</v>
      </c>
      <c r="E66" s="313" t="s">
        <v>1671</v>
      </c>
      <c r="F66" s="313" t="s">
        <v>1671</v>
      </c>
      <c r="G66" s="313" t="s">
        <v>1671</v>
      </c>
      <c r="H66" s="313" t="s">
        <v>1671</v>
      </c>
      <c r="I66" s="313" t="s">
        <v>1671</v>
      </c>
      <c r="J66" s="313" t="s">
        <v>1671</v>
      </c>
      <c r="K66" s="314" t="s">
        <v>1671</v>
      </c>
      <c r="L66" s="288" t="s">
        <v>1597</v>
      </c>
      <c r="M66" s="150" t="s">
        <v>1597</v>
      </c>
      <c r="N66" s="137" t="s">
        <v>1597</v>
      </c>
      <c r="O66" s="288" t="s">
        <v>1597</v>
      </c>
    </row>
    <row r="67">
      <c r="M67" s="65"/>
      <c r="N67" s="256"/>
      <c r="O67" s="256"/>
    </row>
    <row r="68">
      <c r="N68" s="315"/>
      <c r="O68" s="315"/>
    </row>
    <row r="69">
      <c r="N69" s="315"/>
      <c r="O69" s="315"/>
    </row>
  </sheetData>
  <mergeCells count="15">
    <mergeCell ref="H1:H2"/>
    <mergeCell ref="I1:I2"/>
    <mergeCell ref="J1:J2"/>
    <mergeCell ref="K1:K2"/>
    <mergeCell ref="L1:L2"/>
    <mergeCell ref="M1:M2"/>
    <mergeCell ref="N1:N2"/>
    <mergeCell ref="O1:O2"/>
    <mergeCell ref="A1:A2"/>
    <mergeCell ref="B1:B2"/>
    <mergeCell ref="C1:C2"/>
    <mergeCell ref="D1:D2"/>
    <mergeCell ref="E1:E2"/>
    <mergeCell ref="F1:F2"/>
    <mergeCell ref="G1:G2"/>
  </mergeCells>
  <conditionalFormatting sqref="N4:O69">
    <cfRule type="expression" dxfId="1" priority="1">
      <formula>M4&lt;&gt;N4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7.63"/>
    <col customWidth="1" min="3" max="3" width="37.13"/>
    <col customWidth="1" min="4" max="18" width="15.13"/>
  </cols>
  <sheetData>
    <row r="1">
      <c r="A1" s="130" t="s">
        <v>0</v>
      </c>
      <c r="B1" s="131" t="s">
        <v>1</v>
      </c>
      <c r="C1" s="132" t="s">
        <v>2</v>
      </c>
      <c r="D1" s="252" t="s">
        <v>1672</v>
      </c>
      <c r="E1" s="252" t="s">
        <v>1673</v>
      </c>
      <c r="F1" s="252" t="s">
        <v>1674</v>
      </c>
      <c r="G1" s="252" t="s">
        <v>1675</v>
      </c>
      <c r="H1" s="252" t="s">
        <v>1676</v>
      </c>
      <c r="I1" s="252" t="s">
        <v>1677</v>
      </c>
      <c r="J1" s="252" t="s">
        <v>1678</v>
      </c>
      <c r="K1" s="252" t="s">
        <v>1679</v>
      </c>
      <c r="L1" s="252" t="s">
        <v>1680</v>
      </c>
      <c r="M1" s="252" t="s">
        <v>1681</v>
      </c>
      <c r="N1" s="252" t="s">
        <v>1682</v>
      </c>
      <c r="O1" s="252" t="s">
        <v>1683</v>
      </c>
      <c r="P1" s="252" t="s">
        <v>1684</v>
      </c>
      <c r="Q1" s="252" t="s">
        <v>1685</v>
      </c>
      <c r="R1" s="252" t="s">
        <v>1686</v>
      </c>
    </row>
    <row r="2">
      <c r="A2" s="4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48" t="s">
        <v>6</v>
      </c>
      <c r="B3" s="5"/>
      <c r="C3" s="30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>
      <c r="A4" s="159" t="s">
        <v>7</v>
      </c>
      <c r="B4" s="160" t="s">
        <v>7</v>
      </c>
      <c r="C4" s="161" t="s">
        <v>8</v>
      </c>
      <c r="D4" s="257" t="s">
        <v>1687</v>
      </c>
      <c r="E4" s="257" t="s">
        <v>1687</v>
      </c>
      <c r="F4" s="257" t="s">
        <v>1687</v>
      </c>
      <c r="G4" s="257" t="s">
        <v>1687</v>
      </c>
      <c r="H4" s="257" t="s">
        <v>1687</v>
      </c>
      <c r="I4" s="257" t="s">
        <v>1687</v>
      </c>
      <c r="J4" s="257" t="s">
        <v>1687</v>
      </c>
      <c r="K4" s="257" t="s">
        <v>1687</v>
      </c>
      <c r="L4" s="257" t="s">
        <v>1687</v>
      </c>
      <c r="M4" s="257" t="s">
        <v>1687</v>
      </c>
      <c r="N4" s="257" t="s">
        <v>1687</v>
      </c>
      <c r="O4" s="257" t="s">
        <v>1687</v>
      </c>
      <c r="P4" s="257" t="s">
        <v>1687</v>
      </c>
      <c r="Q4" s="257" t="s">
        <v>1687</v>
      </c>
      <c r="R4" s="257" t="s">
        <v>1687</v>
      </c>
    </row>
    <row r="5">
      <c r="A5" s="165" t="s">
        <v>12</v>
      </c>
      <c r="B5" s="166" t="s">
        <v>13</v>
      </c>
      <c r="C5" s="167" t="s">
        <v>14</v>
      </c>
      <c r="D5" s="259" t="s">
        <v>1688</v>
      </c>
      <c r="E5" s="259" t="s">
        <v>1688</v>
      </c>
      <c r="F5" s="259" t="s">
        <v>1688</v>
      </c>
      <c r="G5" s="259" t="s">
        <v>1688</v>
      </c>
      <c r="H5" s="259" t="s">
        <v>1688</v>
      </c>
      <c r="I5" s="259" t="s">
        <v>1688</v>
      </c>
      <c r="J5" s="260" t="s">
        <v>1688</v>
      </c>
      <c r="K5" s="260" t="s">
        <v>1688</v>
      </c>
      <c r="L5" s="260" t="s">
        <v>1688</v>
      </c>
      <c r="M5" s="260" t="s">
        <v>1688</v>
      </c>
      <c r="N5" s="260" t="s">
        <v>1688</v>
      </c>
      <c r="O5" s="260" t="s">
        <v>1688</v>
      </c>
      <c r="P5" s="260" t="s">
        <v>1508</v>
      </c>
      <c r="Q5" s="260" t="s">
        <v>1508</v>
      </c>
      <c r="R5" s="260" t="s">
        <v>1508</v>
      </c>
    </row>
    <row r="6">
      <c r="A6" s="159" t="s">
        <v>17</v>
      </c>
      <c r="B6" s="160" t="s">
        <v>18</v>
      </c>
      <c r="C6" s="170" t="str">
        <f>HYPERLINK("https://play.google.com/store/apps/details?id=com.google.android.gms",HYPERLINK("https://play.google.com/store/apps/details?id=com.google.android.gms","com.google.android.gms"))</f>
        <v>com.google.android.gms</v>
      </c>
      <c r="D6" s="225" t="s">
        <v>1689</v>
      </c>
      <c r="E6" s="225" t="s">
        <v>1689</v>
      </c>
      <c r="F6" s="274" t="s">
        <v>1690</v>
      </c>
      <c r="G6" s="225" t="s">
        <v>1691</v>
      </c>
      <c r="H6" s="274" t="s">
        <v>1692</v>
      </c>
      <c r="I6" s="225" t="s">
        <v>1692</v>
      </c>
      <c r="J6" s="225" t="s">
        <v>1693</v>
      </c>
      <c r="K6" s="274" t="s">
        <v>1694</v>
      </c>
      <c r="L6" s="274" t="s">
        <v>1695</v>
      </c>
      <c r="M6" s="274" t="s">
        <v>1696</v>
      </c>
      <c r="N6" s="274" t="s">
        <v>1509</v>
      </c>
      <c r="O6" s="261" t="s">
        <v>1510</v>
      </c>
      <c r="P6" s="262" t="s">
        <v>1511</v>
      </c>
      <c r="Q6" s="263" t="s">
        <v>1512</v>
      </c>
      <c r="R6" s="263" t="s">
        <v>1512</v>
      </c>
    </row>
    <row r="7">
      <c r="A7" s="159" t="s">
        <v>1697</v>
      </c>
      <c r="B7" s="160" t="s">
        <v>1698</v>
      </c>
      <c r="C7" s="161" t="s">
        <v>1699</v>
      </c>
      <c r="D7" s="225" t="s">
        <v>1687</v>
      </c>
      <c r="E7" s="225" t="s">
        <v>1687</v>
      </c>
      <c r="F7" s="225" t="s">
        <v>1687</v>
      </c>
      <c r="G7" s="225" t="s">
        <v>1687</v>
      </c>
      <c r="H7" s="225" t="s">
        <v>1687</v>
      </c>
      <c r="I7" s="225" t="s">
        <v>1687</v>
      </c>
      <c r="J7" s="225" t="s">
        <v>1687</v>
      </c>
      <c r="K7" s="225" t="s">
        <v>1687</v>
      </c>
      <c r="L7" s="225" t="s">
        <v>1687</v>
      </c>
      <c r="M7" s="225" t="s">
        <v>1687</v>
      </c>
      <c r="N7" s="225" t="s">
        <v>1687</v>
      </c>
      <c r="O7" s="225" t="s">
        <v>1687</v>
      </c>
      <c r="P7" s="225" t="s">
        <v>1687</v>
      </c>
      <c r="Q7" s="225" t="s">
        <v>1687</v>
      </c>
      <c r="R7" s="225" t="s">
        <v>1687</v>
      </c>
    </row>
    <row r="8">
      <c r="A8" s="159" t="s">
        <v>21</v>
      </c>
      <c r="B8" s="160" t="s">
        <v>22</v>
      </c>
      <c r="C8" s="161" t="s">
        <v>23</v>
      </c>
      <c r="D8" s="225" t="s">
        <v>1687</v>
      </c>
      <c r="E8" s="225" t="s">
        <v>1687</v>
      </c>
      <c r="F8" s="225" t="s">
        <v>1687</v>
      </c>
      <c r="G8" s="225" t="s">
        <v>1687</v>
      </c>
      <c r="H8" s="225" t="s">
        <v>1687</v>
      </c>
      <c r="I8" s="225" t="s">
        <v>1687</v>
      </c>
      <c r="J8" s="225" t="s">
        <v>1687</v>
      </c>
      <c r="K8" s="225" t="s">
        <v>1687</v>
      </c>
      <c r="L8" s="225" t="s">
        <v>1687</v>
      </c>
      <c r="M8" s="225" t="s">
        <v>1687</v>
      </c>
      <c r="N8" s="225" t="s">
        <v>1687</v>
      </c>
      <c r="O8" s="225" t="s">
        <v>1687</v>
      </c>
      <c r="P8" s="225" t="s">
        <v>1687</v>
      </c>
      <c r="Q8" s="225" t="s">
        <v>1687</v>
      </c>
      <c r="R8" s="225" t="s">
        <v>1687</v>
      </c>
    </row>
    <row r="9">
      <c r="A9" s="159" t="s">
        <v>261</v>
      </c>
      <c r="B9" s="160" t="s">
        <v>262</v>
      </c>
      <c r="C9" s="161" t="s">
        <v>263</v>
      </c>
      <c r="D9" s="225" t="s">
        <v>1687</v>
      </c>
      <c r="E9" s="225" t="s">
        <v>1687</v>
      </c>
      <c r="F9" s="225" t="s">
        <v>1687</v>
      </c>
      <c r="G9" s="225" t="s">
        <v>1687</v>
      </c>
      <c r="H9" s="225" t="s">
        <v>1687</v>
      </c>
      <c r="I9" s="225" t="s">
        <v>1687</v>
      </c>
      <c r="J9" s="225" t="s">
        <v>1687</v>
      </c>
      <c r="K9" s="225" t="s">
        <v>1687</v>
      </c>
      <c r="L9" s="225" t="s">
        <v>1687</v>
      </c>
      <c r="M9" s="225" t="s">
        <v>1687</v>
      </c>
      <c r="N9" s="225" t="s">
        <v>1687</v>
      </c>
      <c r="O9" s="225" t="s">
        <v>1687</v>
      </c>
      <c r="P9" s="225" t="s">
        <v>1687</v>
      </c>
      <c r="Q9" s="225" t="s">
        <v>1687</v>
      </c>
      <c r="R9" s="225" t="s">
        <v>1687</v>
      </c>
    </row>
    <row r="10">
      <c r="A10" s="159" t="s">
        <v>26</v>
      </c>
      <c r="B10" s="160" t="s">
        <v>27</v>
      </c>
      <c r="C10" s="161" t="s">
        <v>28</v>
      </c>
      <c r="D10" s="225" t="s">
        <v>1687</v>
      </c>
      <c r="E10" s="225" t="s">
        <v>1687</v>
      </c>
      <c r="F10" s="225" t="s">
        <v>1687</v>
      </c>
      <c r="G10" s="225" t="s">
        <v>1687</v>
      </c>
      <c r="H10" s="225" t="s">
        <v>1687</v>
      </c>
      <c r="I10" s="225" t="s">
        <v>1687</v>
      </c>
      <c r="J10" s="225" t="s">
        <v>1687</v>
      </c>
      <c r="K10" s="225" t="s">
        <v>1687</v>
      </c>
      <c r="L10" s="225" t="s">
        <v>1687</v>
      </c>
      <c r="M10" s="225" t="s">
        <v>1687</v>
      </c>
      <c r="N10" s="225" t="s">
        <v>1687</v>
      </c>
      <c r="O10" s="225" t="s">
        <v>1687</v>
      </c>
      <c r="P10" s="225" t="s">
        <v>1687</v>
      </c>
      <c r="Q10" s="225" t="s">
        <v>1687</v>
      </c>
      <c r="R10" s="225" t="s">
        <v>1687</v>
      </c>
    </row>
    <row r="11">
      <c r="A11" s="180" t="s">
        <v>31</v>
      </c>
      <c r="B11" s="166" t="s">
        <v>32</v>
      </c>
      <c r="C11" s="167" t="s">
        <v>33</v>
      </c>
      <c r="D11" s="225" t="s">
        <v>1700</v>
      </c>
      <c r="E11" s="225" t="s">
        <v>1701</v>
      </c>
      <c r="F11" s="225" t="s">
        <v>1702</v>
      </c>
      <c r="G11" s="225" t="s">
        <v>1702</v>
      </c>
      <c r="H11" s="225" t="s">
        <v>1702</v>
      </c>
      <c r="I11" s="225" t="s">
        <v>1702</v>
      </c>
      <c r="J11" s="225" t="s">
        <v>1703</v>
      </c>
      <c r="K11" s="225" t="s">
        <v>1703</v>
      </c>
      <c r="L11" s="225" t="s">
        <v>1703</v>
      </c>
      <c r="M11" s="225" t="s">
        <v>1703</v>
      </c>
      <c r="N11" s="225" t="s">
        <v>1517</v>
      </c>
      <c r="O11" s="225" t="s">
        <v>1517</v>
      </c>
      <c r="P11" s="225" t="s">
        <v>1518</v>
      </c>
      <c r="Q11" s="225" t="s">
        <v>1518</v>
      </c>
      <c r="R11" s="225" t="s">
        <v>1518</v>
      </c>
    </row>
    <row r="12">
      <c r="A12" s="159" t="s">
        <v>36</v>
      </c>
      <c r="B12" s="160" t="s">
        <v>37</v>
      </c>
      <c r="C12" s="161" t="s">
        <v>38</v>
      </c>
      <c r="D12" s="225" t="s">
        <v>1687</v>
      </c>
      <c r="E12" s="225" t="s">
        <v>1687</v>
      </c>
      <c r="F12" s="225" t="s">
        <v>1687</v>
      </c>
      <c r="G12" s="225" t="s">
        <v>1687</v>
      </c>
      <c r="H12" s="225" t="s">
        <v>1687</v>
      </c>
      <c r="I12" s="225" t="s">
        <v>1704</v>
      </c>
      <c r="J12" s="225" t="s">
        <v>1704</v>
      </c>
      <c r="K12" s="225" t="s">
        <v>1704</v>
      </c>
      <c r="L12" s="225" t="s">
        <v>1704</v>
      </c>
      <c r="M12" s="225" t="s">
        <v>1704</v>
      </c>
      <c r="N12" s="225" t="s">
        <v>1704</v>
      </c>
      <c r="O12" s="225" t="s">
        <v>1704</v>
      </c>
      <c r="P12" s="225" t="s">
        <v>1704</v>
      </c>
      <c r="Q12" s="225" t="s">
        <v>1704</v>
      </c>
      <c r="R12" s="225" t="s">
        <v>1704</v>
      </c>
    </row>
    <row r="13">
      <c r="A13" s="165" t="s">
        <v>43</v>
      </c>
      <c r="B13" s="166" t="s">
        <v>44</v>
      </c>
      <c r="C13" s="167" t="s">
        <v>45</v>
      </c>
      <c r="D13" s="225"/>
      <c r="E13" s="225"/>
      <c r="F13" s="225" t="s">
        <v>1705</v>
      </c>
      <c r="G13" s="225" t="s">
        <v>1705</v>
      </c>
      <c r="H13" s="225" t="s">
        <v>1705</v>
      </c>
      <c r="I13" s="225" t="s">
        <v>1705</v>
      </c>
      <c r="J13" s="225" t="s">
        <v>1706</v>
      </c>
      <c r="K13" s="225" t="s">
        <v>1706</v>
      </c>
      <c r="L13" s="225" t="s">
        <v>1520</v>
      </c>
      <c r="M13" s="225" t="s">
        <v>1520</v>
      </c>
      <c r="N13" s="225" t="s">
        <v>1520</v>
      </c>
      <c r="O13" s="225" t="s">
        <v>1520</v>
      </c>
      <c r="P13" s="225" t="s">
        <v>1520</v>
      </c>
      <c r="Q13" s="225" t="s">
        <v>1520</v>
      </c>
      <c r="R13" s="225" t="s">
        <v>1520</v>
      </c>
    </row>
    <row r="14">
      <c r="A14" s="159" t="s">
        <v>1218</v>
      </c>
      <c r="B14" s="160" t="s">
        <v>1219</v>
      </c>
      <c r="C14" s="183" t="s">
        <v>1220</v>
      </c>
      <c r="D14" s="225" t="s">
        <v>1521</v>
      </c>
      <c r="E14" s="225" t="s">
        <v>1521</v>
      </c>
      <c r="F14" s="225" t="s">
        <v>1521</v>
      </c>
      <c r="G14" s="225" t="s">
        <v>1521</v>
      </c>
      <c r="H14" s="225" t="s">
        <v>1521</v>
      </c>
      <c r="I14" s="225" t="s">
        <v>1521</v>
      </c>
      <c r="J14" s="225" t="s">
        <v>1521</v>
      </c>
      <c r="K14" s="225" t="s">
        <v>1521</v>
      </c>
      <c r="L14" s="225" t="s">
        <v>1522</v>
      </c>
      <c r="M14" s="225" t="s">
        <v>1522</v>
      </c>
      <c r="N14" s="225" t="s">
        <v>1521</v>
      </c>
      <c r="O14" s="225" t="s">
        <v>1521</v>
      </c>
      <c r="P14" s="225" t="s">
        <v>1522</v>
      </c>
      <c r="Q14" s="225" t="s">
        <v>1522</v>
      </c>
      <c r="R14" s="225" t="s">
        <v>1522</v>
      </c>
    </row>
    <row r="15">
      <c r="A15" s="159" t="s">
        <v>48</v>
      </c>
      <c r="B15" s="160" t="s">
        <v>49</v>
      </c>
      <c r="C15" s="161" t="s">
        <v>50</v>
      </c>
      <c r="D15" s="280" t="s">
        <v>1707</v>
      </c>
      <c r="E15" s="280" t="s">
        <v>1708</v>
      </c>
      <c r="F15" s="225" t="s">
        <v>1709</v>
      </c>
      <c r="G15" s="225" t="s">
        <v>1710</v>
      </c>
      <c r="H15" s="225" t="s">
        <v>1711</v>
      </c>
      <c r="I15" s="225" t="s">
        <v>1712</v>
      </c>
      <c r="J15" s="225" t="s">
        <v>1713</v>
      </c>
      <c r="K15" s="225" t="s">
        <v>1714</v>
      </c>
      <c r="L15" s="225" t="s">
        <v>1714</v>
      </c>
      <c r="M15" s="225" t="s">
        <v>1714</v>
      </c>
      <c r="N15" s="225" t="s">
        <v>1715</v>
      </c>
      <c r="O15" s="225" t="s">
        <v>1524</v>
      </c>
      <c r="P15" s="225" t="s">
        <v>1525</v>
      </c>
      <c r="Q15" s="225" t="s">
        <v>1526</v>
      </c>
      <c r="R15" s="316" t="s">
        <v>1527</v>
      </c>
    </row>
    <row r="16">
      <c r="A16" s="159" t="s">
        <v>53</v>
      </c>
      <c r="B16" s="160" t="s">
        <v>54</v>
      </c>
      <c r="C16" s="161" t="s">
        <v>55</v>
      </c>
      <c r="D16" s="317" t="s">
        <v>1716</v>
      </c>
      <c r="E16" s="317" t="s">
        <v>1717</v>
      </c>
      <c r="F16" s="317" t="s">
        <v>1718</v>
      </c>
      <c r="G16" s="317" t="s">
        <v>1719</v>
      </c>
      <c r="H16" s="317" t="s">
        <v>1720</v>
      </c>
      <c r="I16" s="317" t="s">
        <v>1720</v>
      </c>
      <c r="J16" s="317" t="s">
        <v>1720</v>
      </c>
      <c r="K16" s="317" t="s">
        <v>1720</v>
      </c>
      <c r="L16" s="317" t="s">
        <v>1720</v>
      </c>
      <c r="M16" s="317" t="s">
        <v>1720</v>
      </c>
      <c r="N16" s="317" t="s">
        <v>1720</v>
      </c>
      <c r="O16" s="317" t="s">
        <v>1721</v>
      </c>
      <c r="P16" s="317" t="s">
        <v>1721</v>
      </c>
      <c r="Q16" s="317" t="s">
        <v>1722</v>
      </c>
      <c r="R16" s="317" t="s">
        <v>1722</v>
      </c>
    </row>
    <row r="17">
      <c r="A17" s="165" t="s">
        <v>58</v>
      </c>
      <c r="B17" s="166" t="s">
        <v>59</v>
      </c>
      <c r="C17" s="167" t="s">
        <v>60</v>
      </c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318"/>
      <c r="O17" s="318"/>
      <c r="P17" s="318"/>
      <c r="Q17" s="262" t="s">
        <v>1535</v>
      </c>
      <c r="R17" s="262" t="s">
        <v>1535</v>
      </c>
    </row>
    <row r="18">
      <c r="A18" s="159" t="s">
        <v>62</v>
      </c>
      <c r="B18" s="160" t="s">
        <v>63</v>
      </c>
      <c r="C18" s="170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8" s="225" t="s">
        <v>1723</v>
      </c>
      <c r="E18" s="225" t="s">
        <v>1724</v>
      </c>
      <c r="F18" s="225" t="s">
        <v>1725</v>
      </c>
      <c r="G18" s="225" t="s">
        <v>1726</v>
      </c>
      <c r="H18" s="225" t="s">
        <v>1727</v>
      </c>
      <c r="I18" s="225" t="s">
        <v>1728</v>
      </c>
      <c r="J18" s="225" t="s">
        <v>1729</v>
      </c>
      <c r="K18" s="225" t="s">
        <v>1730</v>
      </c>
      <c r="L18" s="225" t="s">
        <v>1731</v>
      </c>
      <c r="M18" s="225" t="s">
        <v>1536</v>
      </c>
      <c r="N18" s="225" t="s">
        <v>1536</v>
      </c>
      <c r="O18" s="225" t="s">
        <v>1537</v>
      </c>
      <c r="P18" s="274" t="s">
        <v>1538</v>
      </c>
      <c r="Q18" s="225" t="s">
        <v>1539</v>
      </c>
      <c r="R18" s="319" t="s">
        <v>1540</v>
      </c>
    </row>
    <row r="19">
      <c r="A19" s="165" t="s">
        <v>72</v>
      </c>
      <c r="B19" s="166" t="s">
        <v>73</v>
      </c>
      <c r="C19" s="192" t="s">
        <v>74</v>
      </c>
      <c r="D19" s="225"/>
      <c r="E19" s="225"/>
      <c r="F19" s="225"/>
      <c r="G19" s="225"/>
      <c r="H19" s="225"/>
      <c r="I19" s="225"/>
      <c r="J19" s="225"/>
      <c r="K19" s="225"/>
      <c r="L19" s="274" t="s">
        <v>1732</v>
      </c>
      <c r="M19" s="225" t="s">
        <v>1732</v>
      </c>
      <c r="N19" s="225" t="s">
        <v>1544</v>
      </c>
      <c r="O19" s="225" t="s">
        <v>1544</v>
      </c>
      <c r="P19" s="225" t="s">
        <v>1545</v>
      </c>
      <c r="Q19" s="225" t="s">
        <v>1545</v>
      </c>
      <c r="R19" s="320" t="s">
        <v>1546</v>
      </c>
    </row>
    <row r="20">
      <c r="A20" s="195" t="s">
        <v>317</v>
      </c>
      <c r="B20" s="196" t="s">
        <v>318</v>
      </c>
      <c r="C20" s="197" t="str">
        <f>HYPERLINK("https://play.google.com/store/apps/details?id=com.google.android.ims","com.google.android.ims")</f>
        <v>com.google.android.ims</v>
      </c>
      <c r="D20" s="321" t="s">
        <v>1733</v>
      </c>
      <c r="E20" s="280" t="s">
        <v>1734</v>
      </c>
      <c r="F20" s="225" t="s">
        <v>1735</v>
      </c>
      <c r="G20" s="225" t="s">
        <v>1736</v>
      </c>
      <c r="H20" s="225" t="s">
        <v>1737</v>
      </c>
      <c r="I20" s="225" t="s">
        <v>1738</v>
      </c>
      <c r="J20" s="225" t="s">
        <v>1739</v>
      </c>
      <c r="K20" s="225" t="s">
        <v>1740</v>
      </c>
      <c r="L20" s="225" t="s">
        <v>1741</v>
      </c>
      <c r="M20" s="280" t="s">
        <v>1742</v>
      </c>
      <c r="N20" s="280" t="s">
        <v>1548</v>
      </c>
      <c r="O20" s="280" t="s">
        <v>1549</v>
      </c>
      <c r="P20" s="280" t="s">
        <v>1549</v>
      </c>
      <c r="Q20" s="280" t="s">
        <v>1549</v>
      </c>
      <c r="R20" s="322" t="s">
        <v>1550</v>
      </c>
    </row>
    <row r="21">
      <c r="A21" s="198" t="s">
        <v>97</v>
      </c>
      <c r="B21" s="199" t="s">
        <v>98</v>
      </c>
      <c r="C21" s="200" t="str">
        <f>HYPERLINK("https://play.google.com/store/apps/details?id=com.google.android.dialer","com.google.android.dialer")</f>
        <v>com.google.android.dialer</v>
      </c>
      <c r="D21" s="280" t="s">
        <v>1743</v>
      </c>
      <c r="E21" s="280" t="s">
        <v>1744</v>
      </c>
      <c r="F21" s="225" t="s">
        <v>1745</v>
      </c>
      <c r="G21" s="225" t="s">
        <v>1746</v>
      </c>
      <c r="H21" s="225" t="s">
        <v>1747</v>
      </c>
      <c r="I21" s="225" t="s">
        <v>1748</v>
      </c>
      <c r="J21" s="225" t="s">
        <v>1749</v>
      </c>
      <c r="K21" s="225" t="s">
        <v>1749</v>
      </c>
      <c r="L21" s="225" t="s">
        <v>1750</v>
      </c>
      <c r="M21" s="225" t="s">
        <v>1751</v>
      </c>
      <c r="N21" s="225" t="s">
        <v>1553</v>
      </c>
      <c r="O21" s="225" t="s">
        <v>1554</v>
      </c>
      <c r="P21" s="225" t="s">
        <v>1555</v>
      </c>
      <c r="Q21" s="225" t="s">
        <v>1555</v>
      </c>
      <c r="R21" s="320" t="s">
        <v>1556</v>
      </c>
    </row>
    <row r="22">
      <c r="A22" s="198" t="s">
        <v>1281</v>
      </c>
      <c r="B22" s="199" t="s">
        <v>1282</v>
      </c>
      <c r="C22" s="161" t="s">
        <v>1283</v>
      </c>
      <c r="D22" s="280" t="s">
        <v>1752</v>
      </c>
      <c r="E22" s="280" t="s">
        <v>1752</v>
      </c>
      <c r="F22" s="280" t="s">
        <v>1753</v>
      </c>
      <c r="G22" s="225" t="s">
        <v>1753</v>
      </c>
      <c r="H22" s="225" t="s">
        <v>1753</v>
      </c>
      <c r="I22" s="225" t="s">
        <v>1753</v>
      </c>
      <c r="J22" s="225" t="s">
        <v>1753</v>
      </c>
      <c r="K22" s="225" t="s">
        <v>1753</v>
      </c>
      <c r="L22" s="274" t="s">
        <v>1753</v>
      </c>
      <c r="M22" s="225" t="s">
        <v>1753</v>
      </c>
      <c r="N22" s="225" t="s">
        <v>1753</v>
      </c>
      <c r="O22" s="225" t="s">
        <v>1753</v>
      </c>
      <c r="P22" s="225" t="s">
        <v>1559</v>
      </c>
      <c r="Q22" s="225" t="s">
        <v>1559</v>
      </c>
      <c r="R22" s="225" t="s">
        <v>1559</v>
      </c>
    </row>
    <row r="23">
      <c r="A23" s="198" t="s">
        <v>327</v>
      </c>
      <c r="B23" s="199" t="s">
        <v>328</v>
      </c>
      <c r="C23" s="161" t="s">
        <v>329</v>
      </c>
      <c r="D23" s="323" t="s">
        <v>330</v>
      </c>
      <c r="E23" s="323" t="s">
        <v>330</v>
      </c>
      <c r="F23" s="323" t="s">
        <v>330</v>
      </c>
      <c r="G23" s="317" t="s">
        <v>330</v>
      </c>
      <c r="H23" s="317" t="s">
        <v>330</v>
      </c>
      <c r="I23" s="317" t="s">
        <v>330</v>
      </c>
      <c r="J23" s="317" t="s">
        <v>330</v>
      </c>
      <c r="K23" s="317" t="s">
        <v>330</v>
      </c>
      <c r="L23" s="275" t="s">
        <v>330</v>
      </c>
      <c r="M23" s="275" t="s">
        <v>330</v>
      </c>
      <c r="N23" s="275" t="s">
        <v>330</v>
      </c>
      <c r="O23" s="275" t="s">
        <v>330</v>
      </c>
      <c r="P23" s="275" t="s">
        <v>330</v>
      </c>
      <c r="Q23" s="275" t="s">
        <v>330</v>
      </c>
      <c r="R23" s="275" t="s">
        <v>330</v>
      </c>
    </row>
    <row r="24">
      <c r="A24" s="195" t="s">
        <v>101</v>
      </c>
      <c r="B24" s="196" t="s">
        <v>102</v>
      </c>
      <c r="C24" s="201" t="s">
        <v>1285</v>
      </c>
      <c r="D24" s="280" t="s">
        <v>1754</v>
      </c>
      <c r="E24" s="280" t="s">
        <v>1754</v>
      </c>
      <c r="F24" s="225" t="s">
        <v>1755</v>
      </c>
      <c r="G24" s="225" t="s">
        <v>1755</v>
      </c>
      <c r="H24" s="225" t="s">
        <v>1756</v>
      </c>
      <c r="I24" s="225" t="s">
        <v>1757</v>
      </c>
      <c r="J24" s="225" t="s">
        <v>1757</v>
      </c>
      <c r="K24" s="225" t="s">
        <v>1758</v>
      </c>
      <c r="L24" s="225" t="s">
        <v>1561</v>
      </c>
      <c r="M24" s="225" t="s">
        <v>1561</v>
      </c>
      <c r="N24" s="225" t="s">
        <v>1561</v>
      </c>
      <c r="O24" s="225" t="s">
        <v>1562</v>
      </c>
      <c r="P24" s="225" t="s">
        <v>1563</v>
      </c>
      <c r="Q24" s="225" t="s">
        <v>1563</v>
      </c>
      <c r="R24" s="225" t="s">
        <v>1563</v>
      </c>
    </row>
    <row r="25">
      <c r="A25" s="122" t="s">
        <v>1759</v>
      </c>
      <c r="B25" s="161" t="s">
        <v>1760</v>
      </c>
      <c r="C25" s="161" t="s">
        <v>1761</v>
      </c>
      <c r="D25" s="225" t="s">
        <v>1687</v>
      </c>
      <c r="E25" s="225" t="s">
        <v>1687</v>
      </c>
      <c r="F25" s="225" t="s">
        <v>1687</v>
      </c>
      <c r="G25" s="225" t="s">
        <v>1687</v>
      </c>
      <c r="H25" s="225" t="s">
        <v>1687</v>
      </c>
      <c r="I25" s="225" t="s">
        <v>1687</v>
      </c>
      <c r="J25" s="225" t="s">
        <v>1687</v>
      </c>
      <c r="K25" s="225" t="s">
        <v>1687</v>
      </c>
      <c r="L25" s="225" t="s">
        <v>1687</v>
      </c>
      <c r="M25" s="225" t="s">
        <v>1687</v>
      </c>
      <c r="N25" s="225" t="s">
        <v>1687</v>
      </c>
      <c r="O25" s="225" t="s">
        <v>1687</v>
      </c>
      <c r="P25" s="225" t="s">
        <v>1687</v>
      </c>
      <c r="Q25" s="225" t="s">
        <v>1687</v>
      </c>
      <c r="R25" s="225" t="s">
        <v>1687</v>
      </c>
    </row>
    <row r="26">
      <c r="A26" s="29" t="s">
        <v>110</v>
      </c>
      <c r="B26" s="11" t="s">
        <v>111</v>
      </c>
      <c r="C26" s="11" t="s">
        <v>112</v>
      </c>
      <c r="D26" s="306" t="s">
        <v>1687</v>
      </c>
      <c r="E26" s="306" t="s">
        <v>1687</v>
      </c>
      <c r="F26" s="306" t="s">
        <v>1687</v>
      </c>
      <c r="G26" s="306" t="s">
        <v>1762</v>
      </c>
      <c r="H26" s="306" t="s">
        <v>1762</v>
      </c>
      <c r="I26" s="306" t="s">
        <v>1763</v>
      </c>
      <c r="J26" s="306" t="s">
        <v>1763</v>
      </c>
      <c r="K26" s="306" t="s">
        <v>1763</v>
      </c>
      <c r="L26" s="313" t="s">
        <v>1763</v>
      </c>
      <c r="M26" s="313" t="s">
        <v>1764</v>
      </c>
      <c r="N26" s="313" t="s">
        <v>1764</v>
      </c>
      <c r="O26" s="313" t="s">
        <v>1764</v>
      </c>
      <c r="P26" s="313" t="s">
        <v>1764</v>
      </c>
      <c r="Q26" s="313" t="s">
        <v>1764</v>
      </c>
      <c r="R26" s="313" t="s">
        <v>1764</v>
      </c>
    </row>
    <row r="27">
      <c r="A27" s="48" t="s">
        <v>113</v>
      </c>
      <c r="B27" s="5"/>
      <c r="C27" s="30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</row>
    <row r="28">
      <c r="A28" s="159" t="s">
        <v>114</v>
      </c>
      <c r="B28" s="160" t="s">
        <v>114</v>
      </c>
      <c r="C28" s="208" t="str">
        <f>HYPERLINK("https://play.google.com/store/apps/details?id=com.android.chrome",HYPERLINK("https://play.google.com/store/apps/details?id=com.android.chrome","com.android.chrome"))</f>
        <v>com.android.chrome</v>
      </c>
      <c r="D28" s="257" t="s">
        <v>1765</v>
      </c>
      <c r="E28" s="257" t="s">
        <v>1765</v>
      </c>
      <c r="F28" s="257" t="s">
        <v>1766</v>
      </c>
      <c r="G28" s="257" t="s">
        <v>1767</v>
      </c>
      <c r="H28" s="257" t="s">
        <v>1768</v>
      </c>
      <c r="I28" s="257" t="s">
        <v>1768</v>
      </c>
      <c r="J28" s="257" t="s">
        <v>1769</v>
      </c>
      <c r="K28" s="257" t="s">
        <v>1770</v>
      </c>
      <c r="L28" s="257" t="s">
        <v>1770</v>
      </c>
      <c r="M28" s="257" t="s">
        <v>1770</v>
      </c>
      <c r="N28" s="257" t="s">
        <v>1770</v>
      </c>
      <c r="O28" s="257" t="s">
        <v>1569</v>
      </c>
      <c r="P28" s="257" t="s">
        <v>1570</v>
      </c>
      <c r="Q28" s="257" t="s">
        <v>1570</v>
      </c>
      <c r="R28" s="324" t="s">
        <v>1571</v>
      </c>
    </row>
    <row r="29">
      <c r="A29" s="159" t="s">
        <v>117</v>
      </c>
      <c r="B29" s="160" t="s">
        <v>117</v>
      </c>
      <c r="C29" s="170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9" s="225" t="s">
        <v>1771</v>
      </c>
      <c r="E29" s="225" t="s">
        <v>1772</v>
      </c>
      <c r="F29" s="225" t="s">
        <v>1773</v>
      </c>
      <c r="G29" s="225" t="s">
        <v>1774</v>
      </c>
      <c r="H29" s="225" t="s">
        <v>1775</v>
      </c>
      <c r="I29" s="225" t="s">
        <v>1776</v>
      </c>
      <c r="J29" s="225" t="s">
        <v>1777</v>
      </c>
      <c r="K29" s="225" t="s">
        <v>1778</v>
      </c>
      <c r="L29" s="274" t="s">
        <v>1575</v>
      </c>
      <c r="M29" s="274" t="s">
        <v>1575</v>
      </c>
      <c r="N29" s="274" t="s">
        <v>1575</v>
      </c>
      <c r="O29" s="225" t="s">
        <v>1576</v>
      </c>
      <c r="P29" s="225" t="s">
        <v>1576</v>
      </c>
      <c r="Q29" s="274" t="s">
        <v>1577</v>
      </c>
      <c r="R29" s="225" t="s">
        <v>1577</v>
      </c>
    </row>
    <row r="30">
      <c r="A30" s="159" t="s">
        <v>886</v>
      </c>
      <c r="B30" s="160" t="s">
        <v>886</v>
      </c>
      <c r="C30" s="209" t="str">
        <f>HYPERLINK("https://play.google.com/store/apps/details?id=com.google.android.apps.tachyon","com.google.android.apps.tachyon")</f>
        <v>com.google.android.apps.tachyon</v>
      </c>
      <c r="D30" s="325" t="s">
        <v>1779</v>
      </c>
      <c r="E30" s="325" t="s">
        <v>1780</v>
      </c>
      <c r="F30" s="325" t="s">
        <v>1781</v>
      </c>
      <c r="G30" s="325" t="s">
        <v>1782</v>
      </c>
      <c r="H30" s="325" t="s">
        <v>1783</v>
      </c>
      <c r="I30" s="325" t="s">
        <v>1784</v>
      </c>
      <c r="J30" s="325" t="s">
        <v>1785</v>
      </c>
      <c r="K30" s="325" t="s">
        <v>1785</v>
      </c>
      <c r="L30" s="325" t="s">
        <v>1786</v>
      </c>
      <c r="M30" s="274" t="s">
        <v>1580</v>
      </c>
      <c r="N30" s="274" t="s">
        <v>1580</v>
      </c>
      <c r="O30" s="225" t="s">
        <v>1580</v>
      </c>
      <c r="P30" s="225" t="s">
        <v>1580</v>
      </c>
      <c r="Q30" s="225" t="s">
        <v>1582</v>
      </c>
      <c r="R30" s="320" t="s">
        <v>1583</v>
      </c>
    </row>
    <row r="31">
      <c r="A31" s="159" t="s">
        <v>123</v>
      </c>
      <c r="B31" s="160" t="s">
        <v>124</v>
      </c>
      <c r="C31" s="170" t="str">
        <f>HYPERLINK("https://play.google.com/store/apps/details?id=com.google.android.gm",HYPERLINK("https://play.google.com/store/apps/details?id=com.google.android.gm","com.google.android.gm"))</f>
        <v>com.google.android.gm</v>
      </c>
      <c r="D31" s="225" t="s">
        <v>1787</v>
      </c>
      <c r="E31" s="225" t="s">
        <v>1788</v>
      </c>
      <c r="F31" s="225" t="s">
        <v>1789</v>
      </c>
      <c r="G31" s="225" t="s">
        <v>1790</v>
      </c>
      <c r="H31" s="225" t="s">
        <v>1791</v>
      </c>
      <c r="I31" s="225" t="s">
        <v>1792</v>
      </c>
      <c r="J31" s="225" t="s">
        <v>1793</v>
      </c>
      <c r="K31" s="225" t="s">
        <v>1794</v>
      </c>
      <c r="L31" s="225" t="s">
        <v>1795</v>
      </c>
      <c r="M31" s="225" t="s">
        <v>1796</v>
      </c>
      <c r="N31" s="274" t="s">
        <v>1584</v>
      </c>
      <c r="O31" s="225" t="s">
        <v>1585</v>
      </c>
      <c r="P31" s="225" t="s">
        <v>1585</v>
      </c>
      <c r="Q31" s="225" t="s">
        <v>1586</v>
      </c>
      <c r="R31" s="320" t="s">
        <v>1587</v>
      </c>
    </row>
    <row r="32">
      <c r="A32" s="159" t="s">
        <v>127</v>
      </c>
      <c r="B32" s="160" t="s">
        <v>128</v>
      </c>
      <c r="C32" s="161" t="s">
        <v>129</v>
      </c>
      <c r="D32" s="225" t="s">
        <v>1797</v>
      </c>
      <c r="E32" s="225" t="s">
        <v>1797</v>
      </c>
      <c r="F32" s="225" t="s">
        <v>1797</v>
      </c>
      <c r="G32" s="225" t="s">
        <v>1797</v>
      </c>
      <c r="H32" s="225" t="s">
        <v>1797</v>
      </c>
      <c r="I32" s="225" t="s">
        <v>1797</v>
      </c>
      <c r="J32" s="225" t="s">
        <v>1797</v>
      </c>
      <c r="K32" s="225" t="s">
        <v>1797</v>
      </c>
      <c r="L32" s="225" t="s">
        <v>1797</v>
      </c>
      <c r="M32" s="225" t="s">
        <v>1797</v>
      </c>
      <c r="N32" s="225" t="s">
        <v>1797</v>
      </c>
      <c r="O32" s="225" t="s">
        <v>1797</v>
      </c>
      <c r="P32" s="225" t="s">
        <v>1797</v>
      </c>
      <c r="Q32" s="225" t="s">
        <v>1797</v>
      </c>
      <c r="R32" s="225" t="s">
        <v>1797</v>
      </c>
    </row>
    <row r="33">
      <c r="A33" s="159" t="s">
        <v>1098</v>
      </c>
      <c r="B33" s="160" t="s">
        <v>1099</v>
      </c>
      <c r="C33" s="161" t="s">
        <v>1100</v>
      </c>
      <c r="D33" s="225" t="s">
        <v>1687</v>
      </c>
      <c r="E33" s="225" t="s">
        <v>1687</v>
      </c>
      <c r="F33" s="225" t="s">
        <v>1687</v>
      </c>
      <c r="G33" s="225" t="s">
        <v>1687</v>
      </c>
      <c r="H33" s="225" t="s">
        <v>1687</v>
      </c>
      <c r="I33" s="225" t="s">
        <v>1687</v>
      </c>
      <c r="J33" s="225" t="s">
        <v>1687</v>
      </c>
      <c r="K33" s="225" t="s">
        <v>1687</v>
      </c>
      <c r="L33" s="225" t="s">
        <v>1687</v>
      </c>
      <c r="M33" s="225" t="s">
        <v>1687</v>
      </c>
      <c r="N33" s="225" t="s">
        <v>1687</v>
      </c>
      <c r="O33" s="225" t="s">
        <v>1687</v>
      </c>
      <c r="P33" s="225" t="s">
        <v>1687</v>
      </c>
      <c r="Q33" s="225" t="s">
        <v>1687</v>
      </c>
      <c r="R33" s="225" t="s">
        <v>1687</v>
      </c>
    </row>
    <row r="34">
      <c r="A34" s="159" t="s">
        <v>1798</v>
      </c>
      <c r="B34" s="160" t="s">
        <v>1798</v>
      </c>
      <c r="C34" s="170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34" s="225" t="s">
        <v>1799</v>
      </c>
      <c r="E34" s="225" t="s">
        <v>1799</v>
      </c>
      <c r="F34" s="225" t="s">
        <v>1799</v>
      </c>
      <c r="G34" s="225" t="s">
        <v>1799</v>
      </c>
      <c r="H34" s="225" t="s">
        <v>1799</v>
      </c>
      <c r="I34" s="225" t="s">
        <v>1799</v>
      </c>
      <c r="J34" s="225" t="s">
        <v>1800</v>
      </c>
      <c r="K34" s="225" t="s">
        <v>1800</v>
      </c>
      <c r="L34" s="225" t="s">
        <v>1800</v>
      </c>
      <c r="M34" s="225" t="s">
        <v>1800</v>
      </c>
      <c r="N34" s="280" t="s">
        <v>1597</v>
      </c>
      <c r="O34" s="280" t="s">
        <v>1597</v>
      </c>
      <c r="P34" s="280" t="s">
        <v>1597</v>
      </c>
      <c r="Q34" s="280" t="s">
        <v>1597</v>
      </c>
      <c r="R34" s="280" t="s">
        <v>1597</v>
      </c>
    </row>
    <row r="35">
      <c r="A35" s="159" t="s">
        <v>131</v>
      </c>
      <c r="B35" s="160" t="s">
        <v>131</v>
      </c>
      <c r="C35" s="170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5" s="225" t="s">
        <v>1801</v>
      </c>
      <c r="E35" s="225" t="s">
        <v>1802</v>
      </c>
      <c r="F35" s="225" t="s">
        <v>1802</v>
      </c>
      <c r="G35" s="225" t="s">
        <v>1802</v>
      </c>
      <c r="H35" s="225" t="s">
        <v>1802</v>
      </c>
      <c r="I35" s="225" t="s">
        <v>1802</v>
      </c>
      <c r="J35" s="225" t="s">
        <v>1802</v>
      </c>
      <c r="K35" s="225" t="s">
        <v>1802</v>
      </c>
      <c r="L35" s="225" t="s">
        <v>1802</v>
      </c>
      <c r="M35" s="225" t="s">
        <v>1591</v>
      </c>
      <c r="N35" s="225" t="s">
        <v>1591</v>
      </c>
      <c r="O35" s="225" t="s">
        <v>1591</v>
      </c>
      <c r="P35" s="225" t="s">
        <v>1591</v>
      </c>
      <c r="Q35" s="225" t="s">
        <v>1591</v>
      </c>
      <c r="R35" s="225" t="s">
        <v>1591</v>
      </c>
    </row>
    <row r="36">
      <c r="A36" s="159" t="s">
        <v>1594</v>
      </c>
      <c r="B36" s="160" t="s">
        <v>1595</v>
      </c>
      <c r="C36" s="170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6" s="225" t="s">
        <v>1803</v>
      </c>
      <c r="E36" s="225" t="s">
        <v>1803</v>
      </c>
      <c r="F36" s="225" t="s">
        <v>1804</v>
      </c>
      <c r="G36" s="225" t="s">
        <v>1805</v>
      </c>
      <c r="H36" s="225" t="s">
        <v>1806</v>
      </c>
      <c r="I36" s="225" t="s">
        <v>1806</v>
      </c>
      <c r="J36" s="225" t="s">
        <v>1807</v>
      </c>
      <c r="K36" s="225" t="s">
        <v>1808</v>
      </c>
      <c r="L36" s="225" t="s">
        <v>1809</v>
      </c>
      <c r="M36" s="225" t="s">
        <v>1809</v>
      </c>
      <c r="N36" s="326" t="s">
        <v>1596</v>
      </c>
      <c r="O36" s="293" t="s">
        <v>1596</v>
      </c>
      <c r="P36" s="280" t="s">
        <v>1597</v>
      </c>
      <c r="Q36" s="280" t="s">
        <v>1597</v>
      </c>
      <c r="R36" s="280" t="s">
        <v>1597</v>
      </c>
    </row>
    <row r="37">
      <c r="A37" s="159" t="s">
        <v>134</v>
      </c>
      <c r="B37" s="160" t="s">
        <v>135</v>
      </c>
      <c r="C37" s="210" t="str">
        <f>HYPERLINK("https://play.google.com/store/apps/details?id=com.google.android.apps.photos","com.google.android.apps.photos")</f>
        <v>com.google.android.apps.photos</v>
      </c>
      <c r="D37" s="225" t="s">
        <v>1810</v>
      </c>
      <c r="E37" s="225" t="s">
        <v>1811</v>
      </c>
      <c r="F37" s="225" t="s">
        <v>1812</v>
      </c>
      <c r="G37" s="225" t="s">
        <v>1813</v>
      </c>
      <c r="H37" s="225" t="s">
        <v>1814</v>
      </c>
      <c r="I37" s="225" t="s">
        <v>1815</v>
      </c>
      <c r="J37" s="225" t="s">
        <v>1816</v>
      </c>
      <c r="K37" s="225" t="s">
        <v>1817</v>
      </c>
      <c r="L37" s="225" t="s">
        <v>1818</v>
      </c>
      <c r="M37" s="225" t="s">
        <v>1598</v>
      </c>
      <c r="N37" s="225" t="s">
        <v>1598</v>
      </c>
      <c r="O37" s="225" t="s">
        <v>1599</v>
      </c>
      <c r="P37" s="225" t="s">
        <v>1599</v>
      </c>
      <c r="Q37" s="296" t="s">
        <v>1600</v>
      </c>
      <c r="R37" s="296" t="s">
        <v>1600</v>
      </c>
    </row>
    <row r="38">
      <c r="A38" s="159" t="s">
        <v>138</v>
      </c>
      <c r="B38" s="160" t="s">
        <v>139</v>
      </c>
      <c r="C38" s="170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8" s="225" t="s">
        <v>1819</v>
      </c>
      <c r="E38" s="225" t="s">
        <v>1820</v>
      </c>
      <c r="F38" s="225" t="s">
        <v>1820</v>
      </c>
      <c r="G38" s="225" t="s">
        <v>1821</v>
      </c>
      <c r="H38" s="225" t="s">
        <v>1822</v>
      </c>
      <c r="I38" s="225" t="s">
        <v>1822</v>
      </c>
      <c r="J38" s="225" t="s">
        <v>1822</v>
      </c>
      <c r="K38" s="225" t="s">
        <v>1823</v>
      </c>
      <c r="L38" s="225" t="s">
        <v>1824</v>
      </c>
      <c r="M38" s="225" t="s">
        <v>1824</v>
      </c>
      <c r="N38" s="225" t="s">
        <v>1604</v>
      </c>
      <c r="O38" s="225" t="s">
        <v>1605</v>
      </c>
      <c r="P38" s="225" t="s">
        <v>1605</v>
      </c>
      <c r="Q38" s="296" t="s">
        <v>1606</v>
      </c>
      <c r="R38" s="327" t="s">
        <v>1607</v>
      </c>
    </row>
    <row r="39">
      <c r="A39" s="159" t="s">
        <v>142</v>
      </c>
      <c r="B39" s="160" t="s">
        <v>143</v>
      </c>
      <c r="C39" s="170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9" s="225" t="s">
        <v>1765</v>
      </c>
      <c r="E39" s="225" t="s">
        <v>1765</v>
      </c>
      <c r="F39" s="225" t="s">
        <v>1766</v>
      </c>
      <c r="G39" s="225" t="s">
        <v>1767</v>
      </c>
      <c r="H39" s="225" t="s">
        <v>1768</v>
      </c>
      <c r="I39" s="225" t="s">
        <v>1768</v>
      </c>
      <c r="J39" s="225" t="s">
        <v>1769</v>
      </c>
      <c r="K39" s="225" t="s">
        <v>1770</v>
      </c>
      <c r="L39" s="225" t="s">
        <v>1770</v>
      </c>
      <c r="M39" s="225" t="s">
        <v>1770</v>
      </c>
      <c r="N39" s="225" t="s">
        <v>1770</v>
      </c>
      <c r="O39" s="225" t="s">
        <v>1569</v>
      </c>
      <c r="P39" s="225" t="s">
        <v>1570</v>
      </c>
      <c r="Q39" s="225" t="s">
        <v>1570</v>
      </c>
      <c r="R39" s="320" t="s">
        <v>1571</v>
      </c>
    </row>
    <row r="40">
      <c r="A40" s="159" t="s">
        <v>145</v>
      </c>
      <c r="B40" s="160" t="s">
        <v>145</v>
      </c>
      <c r="C40" s="170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40" s="225" t="s">
        <v>1825</v>
      </c>
      <c r="E40" s="225" t="s">
        <v>1826</v>
      </c>
      <c r="F40" s="225" t="s">
        <v>1827</v>
      </c>
      <c r="G40" s="225" t="s">
        <v>1828</v>
      </c>
      <c r="H40" s="225" t="s">
        <v>1829</v>
      </c>
      <c r="I40" s="225" t="s">
        <v>1830</v>
      </c>
      <c r="J40" s="225" t="s">
        <v>1831</v>
      </c>
      <c r="K40" s="225" t="s">
        <v>1832</v>
      </c>
      <c r="L40" s="225" t="s">
        <v>1833</v>
      </c>
      <c r="M40" s="225" t="s">
        <v>1608</v>
      </c>
      <c r="N40" s="225" t="s">
        <v>1608</v>
      </c>
      <c r="O40" s="225" t="s">
        <v>1608</v>
      </c>
      <c r="P40" s="225" t="s">
        <v>1608</v>
      </c>
      <c r="Q40" s="296" t="s">
        <v>1609</v>
      </c>
      <c r="R40" s="327" t="s">
        <v>1610</v>
      </c>
    </row>
    <row r="41">
      <c r="A41" s="215" t="s">
        <v>148</v>
      </c>
      <c r="B41" s="216" t="s">
        <v>149</v>
      </c>
      <c r="C41" s="201" t="s">
        <v>150</v>
      </c>
      <c r="D41" s="225"/>
      <c r="E41" s="225"/>
      <c r="F41" s="225"/>
      <c r="G41" s="225"/>
      <c r="H41" s="225"/>
      <c r="I41" s="225"/>
      <c r="J41" s="225"/>
      <c r="K41" s="225"/>
      <c r="L41" s="225"/>
      <c r="M41" s="225"/>
      <c r="N41" s="225" t="s">
        <v>1612</v>
      </c>
      <c r="O41" s="225" t="s">
        <v>1613</v>
      </c>
      <c r="P41" s="225" t="s">
        <v>1613</v>
      </c>
      <c r="Q41" s="296" t="s">
        <v>1614</v>
      </c>
      <c r="R41" s="327" t="s">
        <v>1615</v>
      </c>
    </row>
    <row r="42">
      <c r="A42" s="159" t="s">
        <v>1388</v>
      </c>
      <c r="B42" s="160" t="s">
        <v>1389</v>
      </c>
      <c r="C42" s="170" t="str">
        <f>HYPERLINK("https://play.google.com/store/apps/details?id=com.google.android.tts",HYPERLINK("https://play.google.com/store/apps/details?id=com.google.android.tts","com.google.android.tts"))</f>
        <v>com.google.android.tts</v>
      </c>
      <c r="D42" s="225" t="s">
        <v>1834</v>
      </c>
      <c r="E42" s="225" t="s">
        <v>1834</v>
      </c>
      <c r="F42" s="225" t="s">
        <v>1834</v>
      </c>
      <c r="G42" s="225" t="s">
        <v>1834</v>
      </c>
      <c r="H42" s="225" t="s">
        <v>1834</v>
      </c>
      <c r="I42" s="225" t="s">
        <v>1834</v>
      </c>
      <c r="J42" s="225" t="s">
        <v>1835</v>
      </c>
      <c r="K42" s="225" t="s">
        <v>1835</v>
      </c>
      <c r="L42" s="225" t="s">
        <v>1836</v>
      </c>
      <c r="M42" s="225" t="s">
        <v>1836</v>
      </c>
      <c r="N42" s="225" t="s">
        <v>1836</v>
      </c>
      <c r="O42" s="225" t="s">
        <v>1618</v>
      </c>
      <c r="P42" s="225" t="s">
        <v>1618</v>
      </c>
      <c r="Q42" s="225" t="s">
        <v>1618</v>
      </c>
      <c r="R42" s="320" t="s">
        <v>1619</v>
      </c>
    </row>
    <row r="43">
      <c r="A43" s="198" t="s">
        <v>157</v>
      </c>
      <c r="B43" s="199" t="s">
        <v>158</v>
      </c>
      <c r="C43" s="161" t="s">
        <v>159</v>
      </c>
      <c r="D43" s="274" t="s">
        <v>1837</v>
      </c>
      <c r="E43" s="225" t="s">
        <v>1837</v>
      </c>
      <c r="F43" s="259" t="s">
        <v>949</v>
      </c>
      <c r="G43" s="259" t="s">
        <v>949</v>
      </c>
      <c r="H43" s="259" t="s">
        <v>949</v>
      </c>
      <c r="I43" s="259" t="s">
        <v>949</v>
      </c>
      <c r="J43" s="259" t="s">
        <v>949</v>
      </c>
      <c r="K43" s="259" t="s">
        <v>950</v>
      </c>
      <c r="L43" s="259" t="s">
        <v>950</v>
      </c>
      <c r="M43" s="259" t="s">
        <v>950</v>
      </c>
      <c r="N43" s="225" t="s">
        <v>1620</v>
      </c>
      <c r="O43" s="259" t="s">
        <v>1395</v>
      </c>
      <c r="P43" s="259" t="s">
        <v>1395</v>
      </c>
      <c r="Q43" s="259" t="s">
        <v>1395</v>
      </c>
      <c r="R43" s="259" t="s">
        <v>1395</v>
      </c>
    </row>
    <row r="44">
      <c r="A44" s="198" t="s">
        <v>162</v>
      </c>
      <c r="B44" s="199" t="s">
        <v>163</v>
      </c>
      <c r="C44" s="170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4" s="225" t="s">
        <v>1838</v>
      </c>
      <c r="E44" s="225" t="s">
        <v>1839</v>
      </c>
      <c r="F44" s="225" t="s">
        <v>1840</v>
      </c>
      <c r="G44" s="225" t="s">
        <v>1841</v>
      </c>
      <c r="H44" s="225" t="s">
        <v>1842</v>
      </c>
      <c r="I44" s="225" t="s">
        <v>1843</v>
      </c>
      <c r="J44" s="225" t="s">
        <v>1844</v>
      </c>
      <c r="K44" s="225" t="s">
        <v>1845</v>
      </c>
      <c r="L44" s="225" t="s">
        <v>1846</v>
      </c>
      <c r="M44" s="225" t="s">
        <v>1621</v>
      </c>
      <c r="N44" s="225" t="s">
        <v>1621</v>
      </c>
      <c r="O44" s="225" t="s">
        <v>1622</v>
      </c>
      <c r="P44" s="225" t="s">
        <v>1623</v>
      </c>
      <c r="Q44" s="225" t="s">
        <v>1624</v>
      </c>
      <c r="R44" s="225" t="s">
        <v>1624</v>
      </c>
    </row>
    <row r="45">
      <c r="A45" s="198" t="s">
        <v>179</v>
      </c>
      <c r="B45" s="199" t="s">
        <v>180</v>
      </c>
      <c r="C45" s="222" t="str">
        <f>HYPERLINK("https://play.google.com/store/apps/details?id=com.google.android.deskclock","com.google.android.deskclock")</f>
        <v>com.google.android.deskclock</v>
      </c>
      <c r="D45" s="259" t="s">
        <v>1847</v>
      </c>
      <c r="E45" s="259" t="s">
        <v>1847</v>
      </c>
      <c r="F45" s="259" t="s">
        <v>1848</v>
      </c>
      <c r="G45" s="259" t="s">
        <v>1849</v>
      </c>
      <c r="H45" s="259" t="s">
        <v>1849</v>
      </c>
      <c r="I45" s="259" t="s">
        <v>1849</v>
      </c>
      <c r="J45" s="225" t="s">
        <v>1850</v>
      </c>
      <c r="K45" s="225" t="s">
        <v>1851</v>
      </c>
      <c r="L45" s="225" t="s">
        <v>1851</v>
      </c>
      <c r="M45" s="225" t="s">
        <v>1851</v>
      </c>
      <c r="N45" s="259" t="s">
        <v>1627</v>
      </c>
      <c r="O45" s="259" t="s">
        <v>1627</v>
      </c>
      <c r="P45" s="259" t="s">
        <v>1627</v>
      </c>
      <c r="Q45" s="225" t="s">
        <v>1628</v>
      </c>
      <c r="R45" s="225" t="s">
        <v>1628</v>
      </c>
    </row>
    <row r="46">
      <c r="A46" s="198" t="s">
        <v>1629</v>
      </c>
      <c r="B46" s="199" t="s">
        <v>1630</v>
      </c>
      <c r="C46" s="161" t="s">
        <v>1631</v>
      </c>
      <c r="D46" s="225" t="s">
        <v>1687</v>
      </c>
      <c r="E46" s="225" t="s">
        <v>1687</v>
      </c>
      <c r="F46" s="225" t="s">
        <v>1687</v>
      </c>
      <c r="G46" s="225" t="s">
        <v>1687</v>
      </c>
      <c r="H46" s="225" t="s">
        <v>1687</v>
      </c>
      <c r="I46" s="225" t="s">
        <v>1687</v>
      </c>
      <c r="J46" s="225" t="s">
        <v>1687</v>
      </c>
      <c r="K46" s="225" t="s">
        <v>1687</v>
      </c>
      <c r="L46" s="225" t="s">
        <v>1687</v>
      </c>
      <c r="M46" s="225" t="s">
        <v>1687</v>
      </c>
      <c r="N46" s="225" t="s">
        <v>1687</v>
      </c>
      <c r="O46" s="225" t="s">
        <v>1687</v>
      </c>
      <c r="P46" s="225" t="s">
        <v>1687</v>
      </c>
      <c r="Q46" s="225" t="s">
        <v>1687</v>
      </c>
      <c r="R46" s="225" t="s">
        <v>1687</v>
      </c>
    </row>
    <row r="47">
      <c r="A47" s="198" t="s">
        <v>187</v>
      </c>
      <c r="B47" s="199" t="s">
        <v>188</v>
      </c>
      <c r="C47" s="200" t="str">
        <f>HYPERLINK("https://play.google.com/store/apps/details?id=com.google.android.contacts","com.google.android.contacts")</f>
        <v>com.google.android.contacts</v>
      </c>
      <c r="D47" s="280" t="s">
        <v>1852</v>
      </c>
      <c r="E47" s="280" t="s">
        <v>1853</v>
      </c>
      <c r="F47" s="225" t="s">
        <v>1853</v>
      </c>
      <c r="G47" s="225" t="s">
        <v>1854</v>
      </c>
      <c r="H47" s="225" t="s">
        <v>1854</v>
      </c>
      <c r="I47" s="225" t="s">
        <v>1855</v>
      </c>
      <c r="J47" s="225" t="s">
        <v>1856</v>
      </c>
      <c r="K47" s="225" t="s">
        <v>1857</v>
      </c>
      <c r="L47" s="225" t="s">
        <v>1858</v>
      </c>
      <c r="M47" s="225" t="s">
        <v>1632</v>
      </c>
      <c r="N47" s="225" t="s">
        <v>1632</v>
      </c>
      <c r="O47" s="225" t="s">
        <v>1633</v>
      </c>
      <c r="P47" s="225" t="s">
        <v>1633</v>
      </c>
      <c r="Q47" s="225" t="s">
        <v>1633</v>
      </c>
      <c r="R47" s="225" t="s">
        <v>1633</v>
      </c>
    </row>
    <row r="48">
      <c r="A48" s="198" t="s">
        <v>191</v>
      </c>
      <c r="B48" s="199" t="s">
        <v>191</v>
      </c>
      <c r="C48" s="170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48" s="225" t="s">
        <v>1859</v>
      </c>
      <c r="E48" s="225" t="s">
        <v>1860</v>
      </c>
      <c r="F48" s="225" t="s">
        <v>1861</v>
      </c>
      <c r="G48" s="225" t="s">
        <v>1862</v>
      </c>
      <c r="H48" s="225" t="s">
        <v>1863</v>
      </c>
      <c r="I48" s="225" t="s">
        <v>1864</v>
      </c>
      <c r="J48" s="225" t="s">
        <v>1865</v>
      </c>
      <c r="K48" s="225" t="s">
        <v>1866</v>
      </c>
      <c r="L48" s="225" t="s">
        <v>1638</v>
      </c>
      <c r="M48" s="225" t="s">
        <v>1638</v>
      </c>
      <c r="N48" s="225" t="s">
        <v>1638</v>
      </c>
      <c r="O48" s="225" t="s">
        <v>1639</v>
      </c>
      <c r="P48" s="225" t="s">
        <v>1640</v>
      </c>
      <c r="Q48" s="225" t="s">
        <v>1641</v>
      </c>
      <c r="R48" s="225" t="s">
        <v>1641</v>
      </c>
    </row>
    <row r="49">
      <c r="A49" s="198" t="s">
        <v>194</v>
      </c>
      <c r="B49" s="199" t="s">
        <v>195</v>
      </c>
      <c r="C49" s="170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49" s="225" t="s">
        <v>1867</v>
      </c>
      <c r="E49" s="225" t="s">
        <v>1868</v>
      </c>
      <c r="F49" s="225" t="s">
        <v>1869</v>
      </c>
      <c r="G49" s="225" t="s">
        <v>1870</v>
      </c>
      <c r="H49" s="225" t="s">
        <v>1871</v>
      </c>
      <c r="I49" s="225" t="s">
        <v>1872</v>
      </c>
      <c r="J49" s="225" t="s">
        <v>1873</v>
      </c>
      <c r="K49" s="225" t="s">
        <v>1874</v>
      </c>
      <c r="L49" s="225" t="s">
        <v>1875</v>
      </c>
      <c r="M49" s="225" t="s">
        <v>1876</v>
      </c>
      <c r="N49" s="225" t="s">
        <v>1642</v>
      </c>
      <c r="O49" s="225" t="s">
        <v>1643</v>
      </c>
      <c r="P49" s="225" t="s">
        <v>1644</v>
      </c>
      <c r="Q49" s="225" t="s">
        <v>1644</v>
      </c>
      <c r="R49" s="225" t="s">
        <v>1644</v>
      </c>
    </row>
    <row r="50">
      <c r="A50" s="198" t="s">
        <v>198</v>
      </c>
      <c r="B50" s="199" t="s">
        <v>199</v>
      </c>
      <c r="C50" s="170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50" s="280" t="s">
        <v>1877</v>
      </c>
      <c r="E50" s="328" t="s">
        <v>1878</v>
      </c>
      <c r="F50" s="262" t="s">
        <v>1878</v>
      </c>
      <c r="G50" s="262" t="s">
        <v>1879</v>
      </c>
      <c r="H50" s="262" t="s">
        <v>1879</v>
      </c>
      <c r="I50" s="262" t="s">
        <v>1879</v>
      </c>
      <c r="J50" s="262" t="s">
        <v>1879</v>
      </c>
      <c r="K50" s="262" t="s">
        <v>1880</v>
      </c>
      <c r="L50" s="262" t="s">
        <v>1880</v>
      </c>
      <c r="M50" s="262" t="s">
        <v>1880</v>
      </c>
      <c r="N50" s="262" t="s">
        <v>1880</v>
      </c>
      <c r="O50" s="262" t="s">
        <v>1880</v>
      </c>
      <c r="P50" s="262" t="s">
        <v>1880</v>
      </c>
      <c r="Q50" s="262" t="s">
        <v>1646</v>
      </c>
      <c r="R50" s="262" t="s">
        <v>1646</v>
      </c>
    </row>
    <row r="51">
      <c r="A51" s="198" t="s">
        <v>202</v>
      </c>
      <c r="B51" s="199" t="s">
        <v>202</v>
      </c>
      <c r="C51" s="210" t="str">
        <f>HYPERLINK("https://play.google.com/store/apps/details?id=com.google.android.apps.messaging","com.google.android.apps.messaging")</f>
        <v>com.google.android.apps.messaging</v>
      </c>
      <c r="D51" s="225" t="s">
        <v>1881</v>
      </c>
      <c r="E51" s="225" t="s">
        <v>1881</v>
      </c>
      <c r="F51" s="225" t="s">
        <v>1882</v>
      </c>
      <c r="G51" s="225" t="s">
        <v>1883</v>
      </c>
      <c r="H51" s="225" t="s">
        <v>1884</v>
      </c>
      <c r="I51" s="225" t="s">
        <v>1884</v>
      </c>
      <c r="J51" s="225" t="s">
        <v>1885</v>
      </c>
      <c r="K51" s="225" t="s">
        <v>1886</v>
      </c>
      <c r="L51" s="225" t="s">
        <v>1887</v>
      </c>
      <c r="M51" s="225" t="s">
        <v>1888</v>
      </c>
      <c r="N51" s="225" t="s">
        <v>1647</v>
      </c>
      <c r="O51" s="225" t="s">
        <v>1648</v>
      </c>
      <c r="P51" s="225" t="s">
        <v>1648</v>
      </c>
      <c r="Q51" s="225" t="s">
        <v>1648</v>
      </c>
      <c r="R51" s="329" t="s">
        <v>1649</v>
      </c>
    </row>
    <row r="52">
      <c r="A52" s="225" t="s">
        <v>205</v>
      </c>
      <c r="B52" s="226" t="s">
        <v>206</v>
      </c>
      <c r="C52" s="226" t="s">
        <v>207</v>
      </c>
      <c r="D52" s="330" t="s">
        <v>1687</v>
      </c>
      <c r="E52" s="330" t="s">
        <v>1687</v>
      </c>
      <c r="F52" s="330" t="s">
        <v>1687</v>
      </c>
      <c r="G52" s="330" t="s">
        <v>1687</v>
      </c>
      <c r="H52" s="330" t="s">
        <v>1687</v>
      </c>
      <c r="I52" s="330" t="s">
        <v>1687</v>
      </c>
      <c r="J52" s="330" t="s">
        <v>1687</v>
      </c>
      <c r="K52" s="330" t="s">
        <v>1687</v>
      </c>
      <c r="L52" s="330" t="s">
        <v>1687</v>
      </c>
      <c r="M52" s="330" t="s">
        <v>1687</v>
      </c>
      <c r="N52" s="330" t="s">
        <v>1687</v>
      </c>
      <c r="O52" s="330" t="s">
        <v>1687</v>
      </c>
      <c r="P52" s="330" t="s">
        <v>1687</v>
      </c>
      <c r="Q52" s="330" t="s">
        <v>1687</v>
      </c>
      <c r="R52" s="330" t="s">
        <v>1687</v>
      </c>
    </row>
    <row r="53">
      <c r="A53" s="36" t="s">
        <v>208</v>
      </c>
      <c r="B53" s="37" t="s">
        <v>209</v>
      </c>
      <c r="C53" s="37" t="s">
        <v>210</v>
      </c>
      <c r="D53" s="306" t="s">
        <v>211</v>
      </c>
      <c r="E53" s="306" t="s">
        <v>211</v>
      </c>
      <c r="F53" s="306" t="s">
        <v>211</v>
      </c>
      <c r="G53" s="306" t="s">
        <v>211</v>
      </c>
      <c r="H53" s="306" t="s">
        <v>211</v>
      </c>
      <c r="I53" s="306" t="s">
        <v>211</v>
      </c>
      <c r="J53" s="306" t="s">
        <v>211</v>
      </c>
      <c r="K53" s="306" t="s">
        <v>211</v>
      </c>
      <c r="L53" s="306" t="s">
        <v>211</v>
      </c>
      <c r="M53" s="306" t="s">
        <v>211</v>
      </c>
      <c r="N53" s="306" t="s">
        <v>211</v>
      </c>
      <c r="O53" s="306" t="s">
        <v>211</v>
      </c>
      <c r="P53" s="306" t="s">
        <v>211</v>
      </c>
      <c r="Q53" s="306" t="s">
        <v>211</v>
      </c>
      <c r="R53" s="306" t="s">
        <v>211</v>
      </c>
    </row>
    <row r="54">
      <c r="A54" s="229" t="s">
        <v>213</v>
      </c>
      <c r="B54" s="230"/>
      <c r="C54" s="30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</row>
    <row r="55">
      <c r="A55" s="232" t="s">
        <v>214</v>
      </c>
      <c r="B55" s="233" t="s">
        <v>215</v>
      </c>
      <c r="C55" s="234" t="str">
        <f>HYPERLINK("https://play.google.com/store/apps/details?id=com.google.android.apps.assistant","com.google.android.apps.assistant")</f>
        <v>com.google.android.apps.assistant</v>
      </c>
      <c r="D55" s="257" t="s">
        <v>1889</v>
      </c>
      <c r="E55" s="257" t="s">
        <v>1889</v>
      </c>
      <c r="F55" s="257" t="s">
        <v>1889</v>
      </c>
      <c r="G55" s="257" t="s">
        <v>1890</v>
      </c>
      <c r="H55" s="257" t="s">
        <v>1890</v>
      </c>
      <c r="I55" s="257" t="s">
        <v>1891</v>
      </c>
      <c r="J55" s="257" t="s">
        <v>1892</v>
      </c>
      <c r="K55" s="331" t="s">
        <v>1893</v>
      </c>
      <c r="L55" s="257" t="s">
        <v>1652</v>
      </c>
      <c r="M55" s="257" t="s">
        <v>1652</v>
      </c>
      <c r="N55" s="257" t="s">
        <v>1652</v>
      </c>
      <c r="O55" s="257" t="s">
        <v>1652</v>
      </c>
      <c r="P55" s="257" t="s">
        <v>1653</v>
      </c>
      <c r="Q55" s="257" t="s">
        <v>1653</v>
      </c>
      <c r="R55" s="257" t="s">
        <v>1653</v>
      </c>
    </row>
    <row r="56">
      <c r="A56" s="236" t="s">
        <v>984</v>
      </c>
      <c r="B56" s="237" t="s">
        <v>985</v>
      </c>
      <c r="C56" s="238" t="s">
        <v>1455</v>
      </c>
      <c r="D56" s="225"/>
      <c r="E56" s="225"/>
      <c r="F56" s="225"/>
      <c r="G56" s="225"/>
      <c r="H56" s="225"/>
      <c r="I56" s="225"/>
      <c r="J56" s="225"/>
      <c r="K56" s="332"/>
      <c r="L56" s="225"/>
      <c r="M56" s="225"/>
      <c r="N56" s="225"/>
      <c r="O56" s="225"/>
      <c r="P56" s="225"/>
      <c r="Q56" s="225" t="s">
        <v>1582</v>
      </c>
      <c r="R56" s="225" t="s">
        <v>1582</v>
      </c>
    </row>
    <row r="57">
      <c r="A57" s="240" t="s">
        <v>219</v>
      </c>
      <c r="B57" s="241" t="s">
        <v>1459</v>
      </c>
      <c r="C57" s="242" t="str">
        <f>HYPERLINK("https://play.google.com/store/apps/details?id=com.google.android.apps.nbu.files","com.google.android.apps.nbu.files")</f>
        <v>com.google.android.apps.nbu.files</v>
      </c>
      <c r="D57" s="225" t="s">
        <v>1894</v>
      </c>
      <c r="E57" s="225" t="s">
        <v>1894</v>
      </c>
      <c r="F57" s="225" t="s">
        <v>1895</v>
      </c>
      <c r="G57" s="225" t="s">
        <v>1896</v>
      </c>
      <c r="H57" s="225" t="s">
        <v>1897</v>
      </c>
      <c r="I57" s="225" t="s">
        <v>1898</v>
      </c>
      <c r="J57" s="225" t="s">
        <v>1899</v>
      </c>
      <c r="K57" s="332" t="s">
        <v>1900</v>
      </c>
      <c r="L57" s="225" t="s">
        <v>1901</v>
      </c>
      <c r="M57" s="274" t="s">
        <v>1654</v>
      </c>
      <c r="N57" s="274" t="s">
        <v>1654</v>
      </c>
      <c r="O57" s="274" t="s">
        <v>1655</v>
      </c>
      <c r="P57" s="225" t="s">
        <v>1656</v>
      </c>
      <c r="Q57" s="225" t="s">
        <v>1656</v>
      </c>
      <c r="R57" s="225" t="s">
        <v>1656</v>
      </c>
    </row>
    <row r="58">
      <c r="A58" s="243" t="s">
        <v>223</v>
      </c>
      <c r="B58" s="244" t="s">
        <v>224</v>
      </c>
      <c r="C58" s="245" t="s">
        <v>1467</v>
      </c>
      <c r="D58" s="225"/>
      <c r="E58" s="225"/>
      <c r="F58" s="225"/>
      <c r="G58" s="225"/>
      <c r="H58" s="225"/>
      <c r="I58" s="225"/>
      <c r="J58" s="225"/>
      <c r="K58" s="225"/>
      <c r="L58" s="225"/>
      <c r="M58" s="225"/>
      <c r="N58" s="274" t="s">
        <v>1658</v>
      </c>
      <c r="O58" s="225" t="s">
        <v>1659</v>
      </c>
      <c r="P58" s="225" t="s">
        <v>1660</v>
      </c>
      <c r="Q58" s="225" t="s">
        <v>1660</v>
      </c>
      <c r="R58" s="225" t="s">
        <v>1660</v>
      </c>
    </row>
    <row r="59">
      <c r="A59" s="240" t="s">
        <v>1169</v>
      </c>
      <c r="B59" s="241" t="s">
        <v>1170</v>
      </c>
      <c r="C59" s="242" t="str">
        <f>HYPERLINK("https://play.google.com/store/apps/details?id=com.google.android.gm.lite","com.google.android.gm.lite")</f>
        <v>com.google.android.gm.lite</v>
      </c>
      <c r="D59" s="225" t="s">
        <v>1476</v>
      </c>
      <c r="E59" s="225" t="s">
        <v>1476</v>
      </c>
      <c r="F59" s="225" t="s">
        <v>1476</v>
      </c>
      <c r="G59" s="225" t="s">
        <v>1476</v>
      </c>
      <c r="H59" s="225" t="s">
        <v>1476</v>
      </c>
      <c r="I59" s="225" t="s">
        <v>1476</v>
      </c>
      <c r="J59" s="225" t="s">
        <v>1476</v>
      </c>
      <c r="K59" s="225" t="s">
        <v>1476</v>
      </c>
      <c r="L59" s="225" t="s">
        <v>1476</v>
      </c>
      <c r="M59" s="225" t="s">
        <v>1476</v>
      </c>
      <c r="N59" s="225" t="s">
        <v>1476</v>
      </c>
      <c r="O59" s="225" t="s">
        <v>1476</v>
      </c>
      <c r="P59" s="225" t="s">
        <v>1476</v>
      </c>
      <c r="Q59" s="225" t="s">
        <v>1476</v>
      </c>
      <c r="R59" s="225" t="s">
        <v>1476</v>
      </c>
    </row>
    <row r="60">
      <c r="A60" s="236" t="s">
        <v>226</v>
      </c>
      <c r="B60" s="237" t="s">
        <v>227</v>
      </c>
      <c r="C60" s="246" t="str">
        <f>HYPERLINK("https://android-cret.corp.google.com/#fusion:id=com.google.android.gms","com.google.android.gms")</f>
        <v>com.google.android.gms</v>
      </c>
      <c r="D60" s="225"/>
      <c r="E60" s="225"/>
      <c r="F60" s="225" t="s">
        <v>1690</v>
      </c>
      <c r="G60" s="225" t="s">
        <v>1691</v>
      </c>
      <c r="H60" s="225" t="s">
        <v>1692</v>
      </c>
      <c r="I60" s="225" t="s">
        <v>1692</v>
      </c>
      <c r="J60" s="225" t="s">
        <v>1693</v>
      </c>
      <c r="K60" s="225" t="s">
        <v>1694</v>
      </c>
      <c r="L60" s="225" t="s">
        <v>1695</v>
      </c>
      <c r="M60" s="225" t="s">
        <v>1696</v>
      </c>
      <c r="N60" s="225" t="s">
        <v>1509</v>
      </c>
      <c r="O60" s="225" t="s">
        <v>1661</v>
      </c>
      <c r="P60" s="225" t="s">
        <v>1511</v>
      </c>
      <c r="Q60" s="225" t="s">
        <v>1512</v>
      </c>
      <c r="R60" s="225" t="s">
        <v>1512</v>
      </c>
    </row>
    <row r="61">
      <c r="A61" s="240" t="s">
        <v>994</v>
      </c>
      <c r="B61" s="241" t="s">
        <v>995</v>
      </c>
      <c r="C61" s="242" t="str">
        <f>HYPERLINK("https://play.google.com/store/apps/details?id=com.google.android.dialer","com.google.android.dialer")</f>
        <v>com.google.android.dialer</v>
      </c>
      <c r="D61" s="225" t="s">
        <v>1743</v>
      </c>
      <c r="E61" s="280" t="s">
        <v>1744</v>
      </c>
      <c r="F61" s="280" t="s">
        <v>1745</v>
      </c>
      <c r="G61" s="225" t="s">
        <v>1746</v>
      </c>
      <c r="H61" s="225" t="s">
        <v>1747</v>
      </c>
      <c r="I61" s="225" t="s">
        <v>1748</v>
      </c>
      <c r="J61" s="225" t="s">
        <v>1749</v>
      </c>
      <c r="K61" s="225" t="s">
        <v>1902</v>
      </c>
      <c r="L61" s="225" t="s">
        <v>1750</v>
      </c>
      <c r="M61" s="225" t="s">
        <v>1751</v>
      </c>
      <c r="N61" s="225" t="s">
        <v>1553</v>
      </c>
      <c r="O61" s="225" t="s">
        <v>1554</v>
      </c>
      <c r="P61" s="225" t="s">
        <v>1555</v>
      </c>
      <c r="Q61" s="225" t="s">
        <v>1555</v>
      </c>
      <c r="R61" s="333" t="s">
        <v>1556</v>
      </c>
    </row>
    <row r="62">
      <c r="A62" s="240" t="s">
        <v>229</v>
      </c>
      <c r="B62" s="241" t="s">
        <v>230</v>
      </c>
      <c r="C62" s="242" t="str">
        <f>HYPERLINK("https://play.google.com/store/apps/details?id=com.google.android.apps.searchlite","com.google.android.apps.searchlite")</f>
        <v>com.google.android.apps.searchlite</v>
      </c>
      <c r="D62" s="225" t="s">
        <v>1903</v>
      </c>
      <c r="E62" s="225" t="s">
        <v>1903</v>
      </c>
      <c r="F62" s="225" t="s">
        <v>1904</v>
      </c>
      <c r="G62" s="225" t="s">
        <v>1905</v>
      </c>
      <c r="H62" s="225" t="s">
        <v>1906</v>
      </c>
      <c r="I62" s="225" t="s">
        <v>1907</v>
      </c>
      <c r="J62" s="225" t="s">
        <v>1908</v>
      </c>
      <c r="K62" s="225" t="s">
        <v>1909</v>
      </c>
      <c r="L62" s="225" t="s">
        <v>1910</v>
      </c>
      <c r="M62" s="225" t="s">
        <v>1911</v>
      </c>
      <c r="N62" s="225" t="s">
        <v>1662</v>
      </c>
      <c r="O62" s="225" t="s">
        <v>1663</v>
      </c>
      <c r="P62" s="225" t="s">
        <v>1664</v>
      </c>
      <c r="Q62" s="225" t="s">
        <v>1664</v>
      </c>
      <c r="R62" s="320" t="s">
        <v>1665</v>
      </c>
    </row>
    <row r="63">
      <c r="A63" s="240" t="s">
        <v>233</v>
      </c>
      <c r="B63" s="241" t="s">
        <v>234</v>
      </c>
      <c r="C63" s="242" t="str">
        <f>HYPERLINK("https://play.google.com/store/apps/details?id=com.google.android.inputmethod.latin","com.google.android.inputmethod.latin")</f>
        <v>com.google.android.inputmethod.latin</v>
      </c>
      <c r="D63" s="225" t="s">
        <v>1867</v>
      </c>
      <c r="E63" s="225" t="s">
        <v>1868</v>
      </c>
      <c r="F63" s="225" t="s">
        <v>1912</v>
      </c>
      <c r="G63" s="225" t="s">
        <v>1870</v>
      </c>
      <c r="H63" s="225" t="s">
        <v>1913</v>
      </c>
      <c r="I63" s="225" t="s">
        <v>1872</v>
      </c>
      <c r="J63" s="225" t="s">
        <v>1873</v>
      </c>
      <c r="K63" s="225" t="s">
        <v>1874</v>
      </c>
      <c r="L63" s="225" t="s">
        <v>1875</v>
      </c>
      <c r="M63" s="225" t="s">
        <v>1876</v>
      </c>
      <c r="N63" s="225" t="s">
        <v>1642</v>
      </c>
      <c r="O63" s="225" t="s">
        <v>1643</v>
      </c>
      <c r="P63" s="225" t="s">
        <v>1644</v>
      </c>
      <c r="Q63" s="225" t="s">
        <v>1644</v>
      </c>
      <c r="R63" s="225" t="s">
        <v>1644</v>
      </c>
    </row>
    <row r="64">
      <c r="A64" s="240" t="s">
        <v>1178</v>
      </c>
      <c r="B64" s="241" t="s">
        <v>1179</v>
      </c>
      <c r="C64" s="242" t="str">
        <f>HYPERLINK("https://play.google.com/store/apps/details?id=com.google.android.apps.mapslite","com.google.android.apps.mapslite")</f>
        <v>com.google.android.apps.mapslite</v>
      </c>
      <c r="D64" s="259" t="s">
        <v>1914</v>
      </c>
      <c r="E64" s="259" t="s">
        <v>1914</v>
      </c>
      <c r="F64" s="259" t="s">
        <v>1914</v>
      </c>
      <c r="G64" s="259" t="s">
        <v>1914</v>
      </c>
      <c r="H64" s="259" t="s">
        <v>1666</v>
      </c>
      <c r="I64" s="259" t="s">
        <v>1666</v>
      </c>
      <c r="J64" s="259" t="s">
        <v>1666</v>
      </c>
      <c r="K64" s="259" t="s">
        <v>1666</v>
      </c>
      <c r="L64" s="259" t="s">
        <v>1666</v>
      </c>
      <c r="M64" s="259" t="s">
        <v>1666</v>
      </c>
      <c r="N64" s="259" t="s">
        <v>1666</v>
      </c>
      <c r="O64" s="259" t="s">
        <v>1666</v>
      </c>
      <c r="P64" s="259" t="s">
        <v>1666</v>
      </c>
      <c r="Q64" s="259" t="s">
        <v>1666</v>
      </c>
      <c r="R64" s="259" t="s">
        <v>1666</v>
      </c>
    </row>
    <row r="65">
      <c r="A65" s="236" t="s">
        <v>235</v>
      </c>
      <c r="B65" s="237" t="s">
        <v>236</v>
      </c>
      <c r="C65" s="247" t="str">
        <f>HYPERLINK("https://android-cret.corp.google.com/#fusion:id=com.google.android.apps.messaging","com.google.android.apps.messaging")</f>
        <v>com.google.android.apps.messaging</v>
      </c>
      <c r="D65" s="225" t="s">
        <v>1881</v>
      </c>
      <c r="E65" s="225" t="s">
        <v>1881</v>
      </c>
      <c r="F65" s="225" t="s">
        <v>1882</v>
      </c>
      <c r="G65" s="225" t="s">
        <v>1883</v>
      </c>
      <c r="H65" s="225" t="s">
        <v>1884</v>
      </c>
      <c r="I65" s="225" t="s">
        <v>1884</v>
      </c>
      <c r="J65" s="225" t="s">
        <v>1885</v>
      </c>
      <c r="K65" s="225" t="s">
        <v>1886</v>
      </c>
      <c r="L65" s="225" t="s">
        <v>1887</v>
      </c>
      <c r="M65" s="225" t="s">
        <v>1888</v>
      </c>
      <c r="N65" s="225" t="s">
        <v>1647</v>
      </c>
      <c r="O65" s="225" t="s">
        <v>1648</v>
      </c>
      <c r="P65" s="225" t="s">
        <v>1648</v>
      </c>
      <c r="Q65" s="225" t="s">
        <v>1648</v>
      </c>
      <c r="R65" s="320" t="s">
        <v>1649</v>
      </c>
    </row>
    <row r="66">
      <c r="A66" s="243" t="s">
        <v>1184</v>
      </c>
      <c r="B66" s="244" t="s">
        <v>1185</v>
      </c>
      <c r="C66" s="311" t="str">
        <f>HYPERLINK("https://play.google.com/store/apps/details?id=com.google.android.apps.navlite","com.google.android.apps.navlite")</f>
        <v>com.google.android.apps.navlite</v>
      </c>
      <c r="D66" s="225" t="s">
        <v>1915</v>
      </c>
      <c r="E66" s="225" t="s">
        <v>1916</v>
      </c>
      <c r="F66" s="225" t="s">
        <v>1916</v>
      </c>
      <c r="G66" s="225" t="s">
        <v>1916</v>
      </c>
      <c r="H66" s="225" t="s">
        <v>1916</v>
      </c>
      <c r="I66" s="225" t="s">
        <v>1917</v>
      </c>
      <c r="J66" s="225" t="s">
        <v>1917</v>
      </c>
      <c r="K66" s="225" t="s">
        <v>1917</v>
      </c>
      <c r="L66" s="225" t="s">
        <v>1918</v>
      </c>
      <c r="M66" s="225" t="s">
        <v>1918</v>
      </c>
      <c r="N66" s="225" t="s">
        <v>1918</v>
      </c>
      <c r="O66" s="225" t="s">
        <v>1918</v>
      </c>
      <c r="P66" s="225" t="s">
        <v>1918</v>
      </c>
      <c r="Q66" s="225" t="s">
        <v>1918</v>
      </c>
      <c r="R66" s="225" t="s">
        <v>1918</v>
      </c>
    </row>
    <row r="67">
      <c r="A67" s="240" t="s">
        <v>1919</v>
      </c>
      <c r="B67" s="241" t="s">
        <v>1920</v>
      </c>
      <c r="C67" s="242" t="str">
        <f>HYPERLINK("https://play.google.com/store/apps/details?id=com.google.android.apps.pdfviewer","com.google.android.apps.pdfviewer")</f>
        <v>com.google.android.apps.pdfviewer</v>
      </c>
      <c r="D67" s="280" t="s">
        <v>1921</v>
      </c>
      <c r="E67" s="280" t="s">
        <v>1921</v>
      </c>
      <c r="F67" s="280" t="s">
        <v>1921</v>
      </c>
      <c r="G67" s="280" t="s">
        <v>1921</v>
      </c>
      <c r="H67" s="280" t="s">
        <v>1921</v>
      </c>
      <c r="I67" s="280" t="s">
        <v>1921</v>
      </c>
      <c r="J67" s="280" t="s">
        <v>1921</v>
      </c>
      <c r="K67" s="280" t="s">
        <v>1921</v>
      </c>
      <c r="L67" s="280" t="s">
        <v>1597</v>
      </c>
      <c r="M67" s="280" t="s">
        <v>1597</v>
      </c>
      <c r="N67" s="280" t="s">
        <v>1597</v>
      </c>
      <c r="O67" s="280" t="s">
        <v>1597</v>
      </c>
      <c r="P67" s="280" t="s">
        <v>1597</v>
      </c>
      <c r="Q67" s="280" t="s">
        <v>1597</v>
      </c>
      <c r="R67" s="280" t="s">
        <v>1597</v>
      </c>
    </row>
    <row r="68">
      <c r="A68" s="40" t="s">
        <v>1669</v>
      </c>
      <c r="B68" s="41" t="s">
        <v>1670</v>
      </c>
      <c r="C68" s="312" t="str">
        <f>HYPERLINK("https://play.google.com/store/apps/details?id=com.google.android.apps.youtube.mango","com.google.android.apps.youtube.mango")</f>
        <v>com.google.android.apps.youtube.mango</v>
      </c>
      <c r="D68" s="313" t="s">
        <v>1922</v>
      </c>
      <c r="E68" s="313" t="s">
        <v>1923</v>
      </c>
      <c r="F68" s="313" t="s">
        <v>1924</v>
      </c>
      <c r="G68" s="313" t="s">
        <v>1925</v>
      </c>
      <c r="H68" s="313" t="s">
        <v>1926</v>
      </c>
      <c r="I68" s="313" t="s">
        <v>1926</v>
      </c>
      <c r="J68" s="313" t="s">
        <v>1926</v>
      </c>
      <c r="K68" s="313" t="s">
        <v>1927</v>
      </c>
      <c r="L68" s="313" t="s">
        <v>1928</v>
      </c>
      <c r="M68" s="313" t="s">
        <v>1928</v>
      </c>
      <c r="N68" s="313" t="s">
        <v>1928</v>
      </c>
      <c r="O68" s="313" t="s">
        <v>1928</v>
      </c>
      <c r="P68" s="313" t="s">
        <v>1928</v>
      </c>
      <c r="Q68" s="313" t="s">
        <v>1928</v>
      </c>
      <c r="R68" s="313" t="s">
        <v>1928</v>
      </c>
    </row>
  </sheetData>
  <mergeCells count="20"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  <mergeCell ref="A3:B3"/>
    <mergeCell ref="A27:B27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7.63"/>
    <col customWidth="1" min="3" max="3" width="37.13"/>
    <col customWidth="1" min="4" max="15" width="15.13"/>
  </cols>
  <sheetData>
    <row r="1">
      <c r="A1" s="130" t="s">
        <v>0</v>
      </c>
      <c r="B1" s="131" t="s">
        <v>1</v>
      </c>
      <c r="C1" s="132" t="s">
        <v>2</v>
      </c>
      <c r="D1" s="334" t="s">
        <v>1929</v>
      </c>
      <c r="E1" s="252" t="s">
        <v>1930</v>
      </c>
      <c r="F1" s="252" t="s">
        <v>1931</v>
      </c>
      <c r="G1" s="252" t="s">
        <v>1932</v>
      </c>
      <c r="H1" s="252" t="s">
        <v>1933</v>
      </c>
      <c r="I1" s="252" t="s">
        <v>1934</v>
      </c>
      <c r="J1" s="252" t="s">
        <v>1935</v>
      </c>
      <c r="K1" s="252" t="s">
        <v>1936</v>
      </c>
      <c r="L1" s="252" t="s">
        <v>1937</v>
      </c>
      <c r="M1" s="252" t="s">
        <v>1938</v>
      </c>
      <c r="N1" s="252" t="s">
        <v>1939</v>
      </c>
      <c r="O1" s="252" t="s">
        <v>1940</v>
      </c>
    </row>
    <row r="2">
      <c r="A2" s="4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48" t="s">
        <v>6</v>
      </c>
      <c r="B3" s="5"/>
      <c r="C3" s="30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>
      <c r="A4" s="159" t="s">
        <v>7</v>
      </c>
      <c r="B4" s="160" t="s">
        <v>7</v>
      </c>
      <c r="C4" s="161" t="s">
        <v>8</v>
      </c>
      <c r="D4" s="257" t="s">
        <v>1941</v>
      </c>
      <c r="E4" s="257" t="s">
        <v>1941</v>
      </c>
      <c r="F4" s="257" t="s">
        <v>1941</v>
      </c>
      <c r="G4" s="257" t="s">
        <v>1941</v>
      </c>
      <c r="H4" s="257" t="s">
        <v>1941</v>
      </c>
      <c r="I4" s="257" t="s">
        <v>1941</v>
      </c>
      <c r="J4" s="257" t="s">
        <v>1941</v>
      </c>
      <c r="K4" s="257" t="s">
        <v>1941</v>
      </c>
      <c r="L4" s="257" t="s">
        <v>1941</v>
      </c>
      <c r="M4" s="257" t="s">
        <v>1941</v>
      </c>
      <c r="N4" s="257" t="s">
        <v>1941</v>
      </c>
      <c r="O4" s="257" t="s">
        <v>1941</v>
      </c>
    </row>
    <row r="5">
      <c r="A5" s="159" t="s">
        <v>17</v>
      </c>
      <c r="B5" s="160" t="s">
        <v>18</v>
      </c>
      <c r="C5" s="170" t="str">
        <f>HYPERLINK("https://play.google.com/store/apps/details?id=com.google.android.gms",HYPERLINK("https://play.google.com/store/apps/details?id=com.google.android.gms","com.google.android.gms"))</f>
        <v>com.google.android.gms</v>
      </c>
      <c r="D5" s="225" t="s">
        <v>1942</v>
      </c>
      <c r="E5" s="225" t="s">
        <v>1943</v>
      </c>
      <c r="F5" s="225" t="s">
        <v>1944</v>
      </c>
      <c r="G5" s="225" t="s">
        <v>1944</v>
      </c>
      <c r="H5" s="225" t="s">
        <v>1945</v>
      </c>
      <c r="I5" s="274" t="s">
        <v>1946</v>
      </c>
      <c r="J5" s="274" t="s">
        <v>1947</v>
      </c>
      <c r="K5" s="225" t="s">
        <v>1947</v>
      </c>
      <c r="L5" s="274" t="s">
        <v>1948</v>
      </c>
      <c r="M5" s="225" t="s">
        <v>1948</v>
      </c>
      <c r="N5" s="274" t="s">
        <v>1690</v>
      </c>
      <c r="O5" s="320" t="s">
        <v>1691</v>
      </c>
    </row>
    <row r="6">
      <c r="A6" s="159" t="s">
        <v>1697</v>
      </c>
      <c r="B6" s="160" t="s">
        <v>1698</v>
      </c>
      <c r="C6" s="161" t="s">
        <v>1699</v>
      </c>
      <c r="D6" s="225" t="s">
        <v>1941</v>
      </c>
      <c r="E6" s="225" t="s">
        <v>1941</v>
      </c>
      <c r="F6" s="225" t="s">
        <v>1941</v>
      </c>
      <c r="G6" s="225" t="s">
        <v>1941</v>
      </c>
      <c r="H6" s="225" t="s">
        <v>1941</v>
      </c>
      <c r="I6" s="225" t="s">
        <v>1941</v>
      </c>
      <c r="J6" s="225" t="s">
        <v>1941</v>
      </c>
      <c r="K6" s="225" t="s">
        <v>1941</v>
      </c>
      <c r="L6" s="225" t="s">
        <v>1941</v>
      </c>
      <c r="M6" s="225" t="s">
        <v>1941</v>
      </c>
      <c r="N6" s="225" t="s">
        <v>1941</v>
      </c>
      <c r="O6" s="225" t="s">
        <v>1941</v>
      </c>
    </row>
    <row r="7">
      <c r="A7" s="159" t="s">
        <v>21</v>
      </c>
      <c r="B7" s="160" t="s">
        <v>22</v>
      </c>
      <c r="C7" s="161" t="s">
        <v>23</v>
      </c>
      <c r="D7" s="225" t="s">
        <v>1941</v>
      </c>
      <c r="E7" s="225" t="s">
        <v>1941</v>
      </c>
      <c r="F7" s="225" t="s">
        <v>1941</v>
      </c>
      <c r="G7" s="225" t="s">
        <v>1941</v>
      </c>
      <c r="H7" s="225" t="s">
        <v>1941</v>
      </c>
      <c r="I7" s="225" t="s">
        <v>1941</v>
      </c>
      <c r="J7" s="225" t="s">
        <v>1941</v>
      </c>
      <c r="K7" s="225" t="s">
        <v>1941</v>
      </c>
      <c r="L7" s="225" t="s">
        <v>1941</v>
      </c>
      <c r="M7" s="225" t="s">
        <v>1941</v>
      </c>
      <c r="N7" s="225" t="s">
        <v>1941</v>
      </c>
      <c r="O7" s="225" t="s">
        <v>1941</v>
      </c>
    </row>
    <row r="8">
      <c r="A8" s="159" t="s">
        <v>261</v>
      </c>
      <c r="B8" s="160" t="s">
        <v>262</v>
      </c>
      <c r="C8" s="161" t="s">
        <v>263</v>
      </c>
      <c r="D8" s="225" t="s">
        <v>1941</v>
      </c>
      <c r="E8" s="225" t="s">
        <v>1941</v>
      </c>
      <c r="F8" s="225" t="s">
        <v>1941</v>
      </c>
      <c r="G8" s="225" t="s">
        <v>1941</v>
      </c>
      <c r="H8" s="225" t="s">
        <v>1941</v>
      </c>
      <c r="I8" s="225" t="s">
        <v>1941</v>
      </c>
      <c r="J8" s="225" t="s">
        <v>1941</v>
      </c>
      <c r="K8" s="225" t="s">
        <v>1941</v>
      </c>
      <c r="L8" s="225" t="s">
        <v>1941</v>
      </c>
      <c r="M8" s="225" t="s">
        <v>1941</v>
      </c>
      <c r="N8" s="225" t="s">
        <v>1941</v>
      </c>
      <c r="O8" s="225" t="s">
        <v>1941</v>
      </c>
    </row>
    <row r="9">
      <c r="A9" s="159" t="s">
        <v>26</v>
      </c>
      <c r="B9" s="160" t="s">
        <v>27</v>
      </c>
      <c r="C9" s="161" t="s">
        <v>28</v>
      </c>
      <c r="D9" s="225" t="s">
        <v>1941</v>
      </c>
      <c r="E9" s="225" t="s">
        <v>1941</v>
      </c>
      <c r="F9" s="225" t="s">
        <v>1941</v>
      </c>
      <c r="G9" s="225" t="s">
        <v>1941</v>
      </c>
      <c r="H9" s="225" t="s">
        <v>1941</v>
      </c>
      <c r="I9" s="225" t="s">
        <v>1941</v>
      </c>
      <c r="J9" s="225" t="s">
        <v>1949</v>
      </c>
      <c r="K9" s="225" t="s">
        <v>1949</v>
      </c>
      <c r="L9" s="225" t="s">
        <v>1949</v>
      </c>
      <c r="M9" s="225" t="s">
        <v>1949</v>
      </c>
      <c r="N9" s="225" t="s">
        <v>1949</v>
      </c>
      <c r="O9" s="225" t="s">
        <v>1949</v>
      </c>
    </row>
    <row r="10">
      <c r="A10" s="159" t="s">
        <v>36</v>
      </c>
      <c r="B10" s="160" t="s">
        <v>37</v>
      </c>
      <c r="C10" s="161" t="s">
        <v>38</v>
      </c>
      <c r="D10" s="225" t="s">
        <v>1941</v>
      </c>
      <c r="E10" s="225" t="s">
        <v>1941</v>
      </c>
      <c r="F10" s="225" t="s">
        <v>1941</v>
      </c>
      <c r="G10" s="225" t="s">
        <v>1941</v>
      </c>
      <c r="H10" s="225" t="s">
        <v>1941</v>
      </c>
      <c r="I10" s="225" t="s">
        <v>1941</v>
      </c>
      <c r="J10" s="225" t="s">
        <v>1941</v>
      </c>
      <c r="K10" s="225" t="s">
        <v>1941</v>
      </c>
      <c r="L10" s="225" t="s">
        <v>1941</v>
      </c>
      <c r="M10" s="225" t="s">
        <v>1941</v>
      </c>
      <c r="N10" s="225" t="s">
        <v>1941</v>
      </c>
      <c r="O10" s="225" t="s">
        <v>1941</v>
      </c>
    </row>
    <row r="11">
      <c r="A11" s="165" t="s">
        <v>43</v>
      </c>
      <c r="B11" s="166" t="s">
        <v>44</v>
      </c>
      <c r="C11" s="167" t="s">
        <v>45</v>
      </c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 t="s">
        <v>1705</v>
      </c>
      <c r="O11" s="225" t="s">
        <v>1705</v>
      </c>
    </row>
    <row r="12">
      <c r="A12" s="159" t="s">
        <v>1218</v>
      </c>
      <c r="B12" s="160" t="s">
        <v>1219</v>
      </c>
      <c r="C12" s="183" t="s">
        <v>1220</v>
      </c>
      <c r="D12" s="335"/>
      <c r="E12" s="335"/>
      <c r="F12" s="335"/>
      <c r="G12" s="226" t="s">
        <v>1521</v>
      </c>
      <c r="H12" s="225" t="s">
        <v>1521</v>
      </c>
      <c r="I12" s="225" t="s">
        <v>1521</v>
      </c>
      <c r="J12" s="225" t="s">
        <v>1521</v>
      </c>
      <c r="K12" s="225" t="s">
        <v>1521</v>
      </c>
      <c r="L12" s="225" t="s">
        <v>1521</v>
      </c>
      <c r="M12" s="225" t="s">
        <v>1521</v>
      </c>
      <c r="N12" s="225" t="s">
        <v>1521</v>
      </c>
      <c r="O12" s="225" t="s">
        <v>1521</v>
      </c>
    </row>
    <row r="13">
      <c r="A13" s="159" t="s">
        <v>48</v>
      </c>
      <c r="B13" s="160" t="s">
        <v>49</v>
      </c>
      <c r="C13" s="161" t="s">
        <v>50</v>
      </c>
      <c r="D13" s="280" t="s">
        <v>1950</v>
      </c>
      <c r="E13" s="280" t="s">
        <v>1951</v>
      </c>
      <c r="F13" s="280" t="s">
        <v>1952</v>
      </c>
      <c r="G13" s="280" t="s">
        <v>1953</v>
      </c>
      <c r="H13" s="280" t="s">
        <v>1954</v>
      </c>
      <c r="I13" s="280" t="s">
        <v>1955</v>
      </c>
      <c r="J13" s="280" t="s">
        <v>1956</v>
      </c>
      <c r="K13" s="280" t="s">
        <v>1957</v>
      </c>
      <c r="L13" s="280" t="s">
        <v>1707</v>
      </c>
      <c r="M13" s="280" t="s">
        <v>1708</v>
      </c>
      <c r="N13" s="225" t="s">
        <v>1709</v>
      </c>
      <c r="O13" s="320" t="s">
        <v>1710</v>
      </c>
    </row>
    <row r="14">
      <c r="A14" s="159" t="s">
        <v>53</v>
      </c>
      <c r="B14" s="160" t="s">
        <v>54</v>
      </c>
      <c r="C14" s="161" t="s">
        <v>55</v>
      </c>
      <c r="D14" s="317" t="s">
        <v>1958</v>
      </c>
      <c r="E14" s="275" t="s">
        <v>1959</v>
      </c>
      <c r="F14" s="275" t="s">
        <v>1960</v>
      </c>
      <c r="G14" s="275" t="s">
        <v>1960</v>
      </c>
      <c r="H14" s="275" t="s">
        <v>1960</v>
      </c>
      <c r="I14" s="317" t="s">
        <v>1961</v>
      </c>
      <c r="J14" s="317" t="s">
        <v>1962</v>
      </c>
      <c r="K14" s="317" t="s">
        <v>1962</v>
      </c>
      <c r="L14" s="317" t="s">
        <v>1963</v>
      </c>
      <c r="M14" s="317" t="s">
        <v>1964</v>
      </c>
      <c r="N14" s="317" t="s">
        <v>1965</v>
      </c>
      <c r="O14" s="317" t="s">
        <v>1965</v>
      </c>
    </row>
    <row r="15">
      <c r="A15" s="159" t="s">
        <v>62</v>
      </c>
      <c r="B15" s="160" t="s">
        <v>63</v>
      </c>
      <c r="C15" s="170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5" s="225" t="s">
        <v>1966</v>
      </c>
      <c r="E15" s="225" t="s">
        <v>1967</v>
      </c>
      <c r="F15" s="225" t="s">
        <v>1967</v>
      </c>
      <c r="G15" s="225" t="s">
        <v>1967</v>
      </c>
      <c r="H15" s="225" t="s">
        <v>1968</v>
      </c>
      <c r="I15" s="225" t="s">
        <v>1969</v>
      </c>
      <c r="J15" s="225" t="s">
        <v>1970</v>
      </c>
      <c r="K15" s="225" t="s">
        <v>1971</v>
      </c>
      <c r="L15" s="225" t="s">
        <v>1723</v>
      </c>
      <c r="M15" s="225" t="s">
        <v>1724</v>
      </c>
      <c r="N15" s="225" t="s">
        <v>1725</v>
      </c>
      <c r="O15" s="320" t="s">
        <v>1726</v>
      </c>
    </row>
    <row r="16">
      <c r="A16" s="195" t="s">
        <v>317</v>
      </c>
      <c r="B16" s="196" t="s">
        <v>318</v>
      </c>
      <c r="C16" s="197" t="str">
        <f>HYPERLINK("https://play.google.com/store/apps/details?id=com.google.android.ims","com.google.android.ims")</f>
        <v>com.google.android.ims</v>
      </c>
      <c r="D16" s="280" t="s">
        <v>1972</v>
      </c>
      <c r="E16" s="267" t="s">
        <v>1973</v>
      </c>
      <c r="F16" s="267" t="s">
        <v>1974</v>
      </c>
      <c r="G16" s="267" t="s">
        <v>1974</v>
      </c>
      <c r="H16" s="267" t="s">
        <v>1974</v>
      </c>
      <c r="I16" s="280" t="s">
        <v>1975</v>
      </c>
      <c r="J16" s="280" t="s">
        <v>1976</v>
      </c>
      <c r="K16" s="280" t="s">
        <v>1733</v>
      </c>
      <c r="L16" s="280" t="s">
        <v>1733</v>
      </c>
      <c r="M16" s="280" t="s">
        <v>1734</v>
      </c>
      <c r="N16" s="225" t="s">
        <v>1735</v>
      </c>
      <c r="O16" s="320" t="s">
        <v>1736</v>
      </c>
    </row>
    <row r="17">
      <c r="A17" s="198" t="s">
        <v>187</v>
      </c>
      <c r="B17" s="199" t="s">
        <v>188</v>
      </c>
      <c r="C17" s="200" t="str">
        <f>HYPERLINK("https://play.google.com/store/apps/details?id=com.google.android.contacts","com.google.android.contacts")</f>
        <v>com.google.android.contacts</v>
      </c>
      <c r="D17" s="280" t="s">
        <v>1977</v>
      </c>
      <c r="E17" s="267" t="s">
        <v>1978</v>
      </c>
      <c r="F17" s="267" t="s">
        <v>1978</v>
      </c>
      <c r="G17" s="280" t="s">
        <v>1979</v>
      </c>
      <c r="H17" s="280" t="s">
        <v>1979</v>
      </c>
      <c r="I17" s="280" t="s">
        <v>1980</v>
      </c>
      <c r="J17" s="280" t="s">
        <v>1981</v>
      </c>
      <c r="K17" s="280" t="s">
        <v>1852</v>
      </c>
      <c r="L17" s="280" t="s">
        <v>1852</v>
      </c>
      <c r="M17" s="280" t="s">
        <v>1853</v>
      </c>
      <c r="N17" s="225" t="s">
        <v>1853</v>
      </c>
      <c r="O17" s="320" t="s">
        <v>1854</v>
      </c>
    </row>
    <row r="18">
      <c r="A18" s="198" t="s">
        <v>97</v>
      </c>
      <c r="B18" s="199" t="s">
        <v>98</v>
      </c>
      <c r="C18" s="200" t="str">
        <f>HYPERLINK("https://play.google.com/store/apps/details?id=com.google.android.dialer","com.google.android.dialer")</f>
        <v>com.google.android.dialer</v>
      </c>
      <c r="D18" s="280" t="s">
        <v>1982</v>
      </c>
      <c r="E18" s="267" t="s">
        <v>1983</v>
      </c>
      <c r="F18" s="267" t="s">
        <v>1984</v>
      </c>
      <c r="G18" s="280" t="s">
        <v>1985</v>
      </c>
      <c r="H18" s="280" t="s">
        <v>1985</v>
      </c>
      <c r="I18" s="280" t="s">
        <v>1986</v>
      </c>
      <c r="J18" s="280" t="s">
        <v>1987</v>
      </c>
      <c r="K18" s="280" t="s">
        <v>1987</v>
      </c>
      <c r="L18" s="280" t="s">
        <v>1743</v>
      </c>
      <c r="M18" s="280" t="s">
        <v>1744</v>
      </c>
      <c r="N18" s="225" t="s">
        <v>1745</v>
      </c>
      <c r="O18" s="320" t="s">
        <v>1746</v>
      </c>
    </row>
    <row r="19">
      <c r="A19" s="198" t="s">
        <v>1281</v>
      </c>
      <c r="B19" s="199" t="s">
        <v>1282</v>
      </c>
      <c r="C19" s="161" t="s">
        <v>1283</v>
      </c>
      <c r="D19" s="280" t="s">
        <v>1988</v>
      </c>
      <c r="E19" s="280" t="s">
        <v>1988</v>
      </c>
      <c r="F19" s="280" t="s">
        <v>1988</v>
      </c>
      <c r="G19" s="280" t="s">
        <v>1988</v>
      </c>
      <c r="H19" s="280" t="s">
        <v>1988</v>
      </c>
      <c r="I19" s="280" t="s">
        <v>1988</v>
      </c>
      <c r="J19" s="280" t="s">
        <v>1988</v>
      </c>
      <c r="K19" s="280" t="s">
        <v>1988</v>
      </c>
      <c r="L19" s="280" t="s">
        <v>1988</v>
      </c>
      <c r="M19" s="280" t="s">
        <v>1988</v>
      </c>
      <c r="N19" s="280" t="s">
        <v>1988</v>
      </c>
      <c r="O19" s="225" t="s">
        <v>1988</v>
      </c>
    </row>
    <row r="20">
      <c r="A20" s="198" t="s">
        <v>327</v>
      </c>
      <c r="B20" s="199" t="s">
        <v>328</v>
      </c>
      <c r="C20" s="161" t="s">
        <v>329</v>
      </c>
      <c r="D20" s="323" t="s">
        <v>330</v>
      </c>
      <c r="E20" s="323" t="s">
        <v>330</v>
      </c>
      <c r="F20" s="323" t="s">
        <v>330</v>
      </c>
      <c r="G20" s="323" t="s">
        <v>330</v>
      </c>
      <c r="H20" s="323" t="s">
        <v>330</v>
      </c>
      <c r="I20" s="323" t="s">
        <v>330</v>
      </c>
      <c r="J20" s="323" t="s">
        <v>330</v>
      </c>
      <c r="K20" s="323" t="s">
        <v>330</v>
      </c>
      <c r="L20" s="323" t="s">
        <v>330</v>
      </c>
      <c r="M20" s="323" t="s">
        <v>330</v>
      </c>
      <c r="N20" s="323" t="s">
        <v>330</v>
      </c>
      <c r="O20" s="317" t="s">
        <v>330</v>
      </c>
    </row>
    <row r="21">
      <c r="A21" s="122" t="s">
        <v>1759</v>
      </c>
      <c r="B21" s="161" t="s">
        <v>1760</v>
      </c>
      <c r="C21" s="161" t="s">
        <v>1761</v>
      </c>
      <c r="D21" s="225" t="s">
        <v>1941</v>
      </c>
      <c r="E21" s="225" t="s">
        <v>1941</v>
      </c>
      <c r="F21" s="225" t="s">
        <v>1941</v>
      </c>
      <c r="G21" s="225" t="s">
        <v>1941</v>
      </c>
      <c r="H21" s="225" t="s">
        <v>1941</v>
      </c>
      <c r="I21" s="225" t="s">
        <v>1941</v>
      </c>
      <c r="J21" s="225" t="s">
        <v>1941</v>
      </c>
      <c r="K21" s="225" t="s">
        <v>1941</v>
      </c>
      <c r="L21" s="225" t="s">
        <v>1941</v>
      </c>
      <c r="M21" s="225" t="s">
        <v>1941</v>
      </c>
      <c r="N21" s="225" t="s">
        <v>1941</v>
      </c>
      <c r="O21" s="225" t="s">
        <v>1941</v>
      </c>
    </row>
    <row r="22">
      <c r="A22" s="29" t="s">
        <v>110</v>
      </c>
      <c r="B22" s="11" t="s">
        <v>111</v>
      </c>
      <c r="C22" s="11" t="s">
        <v>112</v>
      </c>
      <c r="D22" s="36" t="s">
        <v>1941</v>
      </c>
      <c r="E22" s="36" t="s">
        <v>1941</v>
      </c>
      <c r="F22" s="36" t="s">
        <v>1941</v>
      </c>
      <c r="G22" s="36" t="s">
        <v>1989</v>
      </c>
      <c r="H22" s="36" t="s">
        <v>1989</v>
      </c>
      <c r="I22" s="36" t="s">
        <v>1989</v>
      </c>
      <c r="J22" s="36" t="s">
        <v>1989</v>
      </c>
      <c r="K22" s="306" t="s">
        <v>1990</v>
      </c>
      <c r="L22" s="306" t="s">
        <v>1990</v>
      </c>
      <c r="M22" s="306" t="s">
        <v>1990</v>
      </c>
      <c r="N22" s="306" t="s">
        <v>1990</v>
      </c>
      <c r="O22" s="336" t="s">
        <v>1991</v>
      </c>
    </row>
    <row r="23">
      <c r="A23" s="48" t="s">
        <v>113</v>
      </c>
      <c r="B23" s="5"/>
      <c r="C23" s="30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</row>
    <row r="24">
      <c r="A24" s="159" t="s">
        <v>114</v>
      </c>
      <c r="B24" s="160" t="s">
        <v>114</v>
      </c>
      <c r="C24" s="208" t="str">
        <f>HYPERLINK("https://play.google.com/store/apps/details?id=com.android.chrome",HYPERLINK("https://play.google.com/store/apps/details?id=com.android.chrome","com.android.chrome"))</f>
        <v>com.android.chrome</v>
      </c>
      <c r="D24" s="257" t="s">
        <v>1992</v>
      </c>
      <c r="E24" s="257" t="s">
        <v>1993</v>
      </c>
      <c r="F24" s="257" t="s">
        <v>1994</v>
      </c>
      <c r="G24" s="257" t="s">
        <v>1994</v>
      </c>
      <c r="H24" s="257" t="s">
        <v>1995</v>
      </c>
      <c r="I24" s="257" t="s">
        <v>1996</v>
      </c>
      <c r="J24" s="257" t="s">
        <v>1996</v>
      </c>
      <c r="K24" s="257" t="s">
        <v>1997</v>
      </c>
      <c r="L24" s="257" t="s">
        <v>1765</v>
      </c>
      <c r="M24" s="257" t="s">
        <v>1765</v>
      </c>
      <c r="N24" s="257" t="s">
        <v>1766</v>
      </c>
      <c r="O24" s="324" t="s">
        <v>1767</v>
      </c>
    </row>
    <row r="25">
      <c r="A25" s="159" t="s">
        <v>117</v>
      </c>
      <c r="B25" s="160" t="s">
        <v>117</v>
      </c>
      <c r="C25" s="170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5" s="225" t="s">
        <v>1998</v>
      </c>
      <c r="E25" s="332" t="s">
        <v>1999</v>
      </c>
      <c r="F25" s="332" t="s">
        <v>1999</v>
      </c>
      <c r="G25" s="225" t="s">
        <v>2000</v>
      </c>
      <c r="H25" s="225" t="s">
        <v>2001</v>
      </c>
      <c r="I25" s="225" t="s">
        <v>2002</v>
      </c>
      <c r="J25" s="225" t="s">
        <v>2002</v>
      </c>
      <c r="K25" s="225" t="s">
        <v>2003</v>
      </c>
      <c r="L25" s="225" t="s">
        <v>1771</v>
      </c>
      <c r="M25" s="225" t="s">
        <v>1772</v>
      </c>
      <c r="N25" s="225" t="s">
        <v>1773</v>
      </c>
      <c r="O25" s="320" t="s">
        <v>1774</v>
      </c>
    </row>
    <row r="26">
      <c r="A26" s="159" t="s">
        <v>886</v>
      </c>
      <c r="B26" s="160" t="s">
        <v>886</v>
      </c>
      <c r="C26" s="209" t="str">
        <f>HYPERLINK("https://play.google.com/store/apps/details?id=com.google.android.apps.tachyon","com.google.android.apps.tachyon")</f>
        <v>com.google.android.apps.tachyon</v>
      </c>
      <c r="D26" s="325" t="s">
        <v>2004</v>
      </c>
      <c r="E26" s="337" t="s">
        <v>2005</v>
      </c>
      <c r="F26" s="337" t="s">
        <v>2006</v>
      </c>
      <c r="G26" s="325" t="s">
        <v>2007</v>
      </c>
      <c r="H26" s="325" t="s">
        <v>2008</v>
      </c>
      <c r="I26" s="325" t="s">
        <v>2009</v>
      </c>
      <c r="J26" s="325" t="s">
        <v>2010</v>
      </c>
      <c r="K26" s="325" t="s">
        <v>2011</v>
      </c>
      <c r="L26" s="325" t="s">
        <v>1779</v>
      </c>
      <c r="M26" s="325" t="s">
        <v>1780</v>
      </c>
      <c r="N26" s="325" t="s">
        <v>1781</v>
      </c>
      <c r="O26" s="338" t="s">
        <v>1782</v>
      </c>
    </row>
    <row r="27">
      <c r="A27" s="159" t="s">
        <v>123</v>
      </c>
      <c r="B27" s="160" t="s">
        <v>124</v>
      </c>
      <c r="C27" s="170" t="str">
        <f>HYPERLINK("https://play.google.com/store/apps/details?id=com.google.android.gm",HYPERLINK("https://play.google.com/store/apps/details?id=com.google.android.gm","com.google.android.gm"))</f>
        <v>com.google.android.gm</v>
      </c>
      <c r="D27" s="225" t="s">
        <v>2012</v>
      </c>
      <c r="E27" s="225" t="s">
        <v>2013</v>
      </c>
      <c r="F27" s="225" t="s">
        <v>2014</v>
      </c>
      <c r="G27" s="225" t="s">
        <v>2015</v>
      </c>
      <c r="H27" s="225" t="s">
        <v>2016</v>
      </c>
      <c r="I27" s="225" t="s">
        <v>2017</v>
      </c>
      <c r="J27" s="225" t="s">
        <v>2018</v>
      </c>
      <c r="K27" s="225" t="s">
        <v>2019</v>
      </c>
      <c r="L27" s="225" t="s">
        <v>1787</v>
      </c>
      <c r="M27" s="225" t="s">
        <v>1788</v>
      </c>
      <c r="N27" s="225" t="s">
        <v>1789</v>
      </c>
      <c r="O27" s="320" t="s">
        <v>1790</v>
      </c>
    </row>
    <row r="28">
      <c r="A28" s="159" t="s">
        <v>127</v>
      </c>
      <c r="B28" s="160" t="s">
        <v>128</v>
      </c>
      <c r="C28" s="161" t="s">
        <v>129</v>
      </c>
      <c r="D28" s="225" t="s">
        <v>2020</v>
      </c>
      <c r="E28" s="225" t="s">
        <v>2020</v>
      </c>
      <c r="F28" s="225" t="s">
        <v>2020</v>
      </c>
      <c r="G28" s="225" t="s">
        <v>2020</v>
      </c>
      <c r="H28" s="225" t="s">
        <v>2020</v>
      </c>
      <c r="I28" s="225" t="s">
        <v>2020</v>
      </c>
      <c r="J28" s="225" t="s">
        <v>2020</v>
      </c>
      <c r="K28" s="225" t="s">
        <v>2020</v>
      </c>
      <c r="L28" s="225" t="s">
        <v>2020</v>
      </c>
      <c r="M28" s="225" t="s">
        <v>2020</v>
      </c>
      <c r="N28" s="225" t="s">
        <v>2020</v>
      </c>
      <c r="O28" s="225" t="s">
        <v>1797</v>
      </c>
    </row>
    <row r="29">
      <c r="A29" s="159" t="s">
        <v>1098</v>
      </c>
      <c r="B29" s="160" t="s">
        <v>1099</v>
      </c>
      <c r="C29" s="161" t="s">
        <v>1100</v>
      </c>
      <c r="D29" s="225" t="s">
        <v>1941</v>
      </c>
      <c r="E29" s="225" t="s">
        <v>1941</v>
      </c>
      <c r="F29" s="225" t="s">
        <v>1941</v>
      </c>
      <c r="G29" s="225" t="s">
        <v>1941</v>
      </c>
      <c r="H29" s="225" t="s">
        <v>1941</v>
      </c>
      <c r="I29" s="225" t="s">
        <v>1941</v>
      </c>
      <c r="J29" s="225" t="s">
        <v>1941</v>
      </c>
      <c r="K29" s="225" t="s">
        <v>1941</v>
      </c>
      <c r="L29" s="225" t="s">
        <v>1941</v>
      </c>
      <c r="M29" s="225" t="s">
        <v>1941</v>
      </c>
      <c r="N29" s="225" t="s">
        <v>1941</v>
      </c>
      <c r="O29" s="225" t="s">
        <v>1941</v>
      </c>
    </row>
    <row r="30">
      <c r="A30" s="159" t="s">
        <v>1798</v>
      </c>
      <c r="B30" s="160" t="s">
        <v>1798</v>
      </c>
      <c r="C30" s="170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30" s="225" t="s">
        <v>2021</v>
      </c>
      <c r="E30" s="225" t="s">
        <v>2022</v>
      </c>
      <c r="F30" s="225" t="s">
        <v>1799</v>
      </c>
      <c r="G30" s="225" t="s">
        <v>1799</v>
      </c>
      <c r="H30" s="225" t="s">
        <v>1799</v>
      </c>
      <c r="I30" s="225" t="s">
        <v>1799</v>
      </c>
      <c r="J30" s="225" t="s">
        <v>1799</v>
      </c>
      <c r="K30" s="225" t="s">
        <v>1799</v>
      </c>
      <c r="L30" s="225" t="s">
        <v>1799</v>
      </c>
      <c r="M30" s="225" t="s">
        <v>1799</v>
      </c>
      <c r="N30" s="225" t="s">
        <v>1799</v>
      </c>
      <c r="O30" s="225" t="s">
        <v>1799</v>
      </c>
    </row>
    <row r="31">
      <c r="A31" s="159" t="s">
        <v>131</v>
      </c>
      <c r="B31" s="160" t="s">
        <v>131</v>
      </c>
      <c r="C31" s="170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1" s="225" t="s">
        <v>2023</v>
      </c>
      <c r="E31" s="225" t="s">
        <v>2023</v>
      </c>
      <c r="F31" s="225" t="s">
        <v>2024</v>
      </c>
      <c r="G31" s="225" t="s">
        <v>2025</v>
      </c>
      <c r="H31" s="225" t="s">
        <v>2026</v>
      </c>
      <c r="I31" s="225" t="s">
        <v>2027</v>
      </c>
      <c r="J31" s="225" t="s">
        <v>2028</v>
      </c>
      <c r="K31" s="225" t="s">
        <v>2029</v>
      </c>
      <c r="L31" s="225" t="s">
        <v>1801</v>
      </c>
      <c r="M31" s="225" t="s">
        <v>1802</v>
      </c>
      <c r="N31" s="225" t="s">
        <v>1802</v>
      </c>
      <c r="O31" s="225" t="s">
        <v>1802</v>
      </c>
    </row>
    <row r="32">
      <c r="A32" s="159" t="s">
        <v>1594</v>
      </c>
      <c r="B32" s="160" t="s">
        <v>1595</v>
      </c>
      <c r="C32" s="170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2" s="225" t="s">
        <v>2030</v>
      </c>
      <c r="E32" s="225" t="s">
        <v>2031</v>
      </c>
      <c r="F32" s="225" t="s">
        <v>2031</v>
      </c>
      <c r="G32" s="225" t="s">
        <v>2032</v>
      </c>
      <c r="H32" s="225" t="s">
        <v>2032</v>
      </c>
      <c r="I32" s="225" t="s">
        <v>2033</v>
      </c>
      <c r="J32" s="225" t="s">
        <v>2034</v>
      </c>
      <c r="K32" s="225" t="s">
        <v>2035</v>
      </c>
      <c r="L32" s="225" t="s">
        <v>1803</v>
      </c>
      <c r="M32" s="225" t="s">
        <v>1803</v>
      </c>
      <c r="N32" s="225" t="s">
        <v>1804</v>
      </c>
      <c r="O32" s="320" t="s">
        <v>1805</v>
      </c>
    </row>
    <row r="33">
      <c r="A33" s="159" t="s">
        <v>134</v>
      </c>
      <c r="B33" s="160" t="s">
        <v>135</v>
      </c>
      <c r="C33" s="210" t="str">
        <f>HYPERLINK("https://play.google.com/store/apps/details?id=com.google.android.apps.photos","com.google.android.apps.photos")</f>
        <v>com.google.android.apps.photos</v>
      </c>
      <c r="D33" s="225" t="s">
        <v>2036</v>
      </c>
      <c r="E33" s="225" t="s">
        <v>2037</v>
      </c>
      <c r="F33" s="225" t="s">
        <v>2038</v>
      </c>
      <c r="G33" s="332" t="s">
        <v>2039</v>
      </c>
      <c r="H33" s="225" t="s">
        <v>2040</v>
      </c>
      <c r="I33" s="225" t="s">
        <v>2041</v>
      </c>
      <c r="J33" s="225" t="s">
        <v>2042</v>
      </c>
      <c r="K33" s="225" t="s">
        <v>2043</v>
      </c>
      <c r="L33" s="225" t="s">
        <v>1810</v>
      </c>
      <c r="M33" s="225" t="s">
        <v>1811</v>
      </c>
      <c r="N33" s="225" t="s">
        <v>1812</v>
      </c>
      <c r="O33" s="320" t="s">
        <v>1813</v>
      </c>
    </row>
    <row r="34">
      <c r="A34" s="159" t="s">
        <v>138</v>
      </c>
      <c r="B34" s="160" t="s">
        <v>139</v>
      </c>
      <c r="C34" s="170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4" s="225" t="s">
        <v>2044</v>
      </c>
      <c r="E34" s="225" t="s">
        <v>2044</v>
      </c>
      <c r="F34" s="225" t="s">
        <v>2044</v>
      </c>
      <c r="G34" s="225" t="s">
        <v>2045</v>
      </c>
      <c r="H34" s="225" t="s">
        <v>2046</v>
      </c>
      <c r="I34" s="225" t="s">
        <v>2047</v>
      </c>
      <c r="J34" s="225" t="s">
        <v>2048</v>
      </c>
      <c r="K34" s="225" t="s">
        <v>2049</v>
      </c>
      <c r="L34" s="225" t="s">
        <v>1819</v>
      </c>
      <c r="M34" s="225" t="s">
        <v>1820</v>
      </c>
      <c r="N34" s="225" t="s">
        <v>1820</v>
      </c>
      <c r="O34" s="320" t="s">
        <v>1821</v>
      </c>
    </row>
    <row r="35">
      <c r="A35" s="159" t="s">
        <v>142</v>
      </c>
      <c r="B35" s="160" t="s">
        <v>143</v>
      </c>
      <c r="C35" s="170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5" s="225" t="s">
        <v>1992</v>
      </c>
      <c r="E35" s="225" t="s">
        <v>1993</v>
      </c>
      <c r="F35" s="225" t="s">
        <v>1994</v>
      </c>
      <c r="G35" s="225" t="s">
        <v>1994</v>
      </c>
      <c r="H35" s="225" t="s">
        <v>1995</v>
      </c>
      <c r="I35" s="225" t="s">
        <v>1996</v>
      </c>
      <c r="J35" s="225" t="s">
        <v>1996</v>
      </c>
      <c r="K35" s="225" t="s">
        <v>1997</v>
      </c>
      <c r="L35" s="225" t="s">
        <v>1765</v>
      </c>
      <c r="M35" s="225" t="s">
        <v>1765</v>
      </c>
      <c r="N35" s="225" t="s">
        <v>1766</v>
      </c>
      <c r="O35" s="320" t="s">
        <v>1767</v>
      </c>
    </row>
    <row r="36">
      <c r="A36" s="159" t="s">
        <v>145</v>
      </c>
      <c r="B36" s="160" t="s">
        <v>145</v>
      </c>
      <c r="C36" s="170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6" s="225" t="s">
        <v>2050</v>
      </c>
      <c r="E36" s="225" t="s">
        <v>2051</v>
      </c>
      <c r="F36" s="225" t="s">
        <v>2052</v>
      </c>
      <c r="G36" s="332" t="s">
        <v>2053</v>
      </c>
      <c r="H36" s="225" t="s">
        <v>2054</v>
      </c>
      <c r="I36" s="225" t="s">
        <v>2055</v>
      </c>
      <c r="J36" s="225" t="s">
        <v>2056</v>
      </c>
      <c r="K36" s="225" t="s">
        <v>2057</v>
      </c>
      <c r="L36" s="225" t="s">
        <v>1825</v>
      </c>
      <c r="M36" s="225" t="s">
        <v>1826</v>
      </c>
      <c r="N36" s="225" t="s">
        <v>1827</v>
      </c>
      <c r="O36" s="320" t="s">
        <v>1828</v>
      </c>
    </row>
    <row r="37">
      <c r="A37" s="159" t="s">
        <v>1388</v>
      </c>
      <c r="B37" s="160" t="s">
        <v>1389</v>
      </c>
      <c r="C37" s="170" t="str">
        <f>HYPERLINK("https://play.google.com/store/apps/details?id=com.google.android.tts",HYPERLINK("https://play.google.com/store/apps/details?id=com.google.android.tts","com.google.android.tts"))</f>
        <v>com.google.android.tts</v>
      </c>
      <c r="D37" s="225" t="s">
        <v>2058</v>
      </c>
      <c r="E37" s="225" t="s">
        <v>2058</v>
      </c>
      <c r="F37" s="225" t="s">
        <v>2059</v>
      </c>
      <c r="G37" s="225" t="s">
        <v>2059</v>
      </c>
      <c r="H37" s="225" t="s">
        <v>2060</v>
      </c>
      <c r="I37" s="225" t="s">
        <v>2060</v>
      </c>
      <c r="J37" s="225" t="s">
        <v>2060</v>
      </c>
      <c r="K37" s="225" t="s">
        <v>1834</v>
      </c>
      <c r="L37" s="225" t="s">
        <v>1834</v>
      </c>
      <c r="M37" s="225" t="s">
        <v>1834</v>
      </c>
      <c r="N37" s="225" t="s">
        <v>1834</v>
      </c>
      <c r="O37" s="225" t="s">
        <v>1834</v>
      </c>
    </row>
    <row r="38">
      <c r="A38" s="198" t="s">
        <v>157</v>
      </c>
      <c r="B38" s="199" t="s">
        <v>158</v>
      </c>
      <c r="C38" s="161" t="s">
        <v>159</v>
      </c>
      <c r="D38" s="259" t="s">
        <v>948</v>
      </c>
      <c r="E38" s="225" t="s">
        <v>1837</v>
      </c>
      <c r="F38" s="225" t="s">
        <v>1837</v>
      </c>
      <c r="G38" s="225" t="s">
        <v>1837</v>
      </c>
      <c r="H38" s="225" t="s">
        <v>1837</v>
      </c>
      <c r="I38" s="225" t="s">
        <v>1837</v>
      </c>
      <c r="J38" s="225" t="s">
        <v>1837</v>
      </c>
      <c r="K38" s="225" t="s">
        <v>1837</v>
      </c>
      <c r="L38" s="225" t="s">
        <v>1837</v>
      </c>
      <c r="M38" s="225" t="s">
        <v>1837</v>
      </c>
      <c r="N38" s="259" t="s">
        <v>949</v>
      </c>
      <c r="O38" s="259" t="s">
        <v>949</v>
      </c>
    </row>
    <row r="39">
      <c r="A39" s="198" t="s">
        <v>162</v>
      </c>
      <c r="B39" s="199" t="s">
        <v>163</v>
      </c>
      <c r="C39" s="170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39" s="225" t="s">
        <v>2061</v>
      </c>
      <c r="E39" s="225" t="s">
        <v>2062</v>
      </c>
      <c r="F39" s="225" t="s">
        <v>2063</v>
      </c>
      <c r="G39" s="332" t="s">
        <v>2064</v>
      </c>
      <c r="H39" s="225" t="s">
        <v>2065</v>
      </c>
      <c r="I39" s="225" t="s">
        <v>2066</v>
      </c>
      <c r="J39" s="225" t="s">
        <v>2067</v>
      </c>
      <c r="K39" s="225" t="s">
        <v>2068</v>
      </c>
      <c r="L39" s="225" t="s">
        <v>1838</v>
      </c>
      <c r="M39" s="225" t="s">
        <v>1839</v>
      </c>
      <c r="N39" s="225" t="s">
        <v>1840</v>
      </c>
      <c r="O39" s="320" t="s">
        <v>1841</v>
      </c>
    </row>
    <row r="40">
      <c r="A40" s="198" t="s">
        <v>179</v>
      </c>
      <c r="B40" s="199" t="s">
        <v>180</v>
      </c>
      <c r="C40" s="222" t="str">
        <f>HYPERLINK("https://play.google.com/store/apps/details?id=com.google.android.deskclock","com.google.android.deskclock")</f>
        <v>com.google.android.deskclock</v>
      </c>
      <c r="D40" s="259" t="s">
        <v>2069</v>
      </c>
      <c r="E40" s="259" t="s">
        <v>2069</v>
      </c>
      <c r="F40" s="259" t="s">
        <v>2069</v>
      </c>
      <c r="G40" s="259" t="s">
        <v>2069</v>
      </c>
      <c r="H40" s="259" t="s">
        <v>2069</v>
      </c>
      <c r="I40" s="259" t="s">
        <v>2069</v>
      </c>
      <c r="J40" s="259" t="s">
        <v>2069</v>
      </c>
      <c r="K40" s="259" t="s">
        <v>2069</v>
      </c>
      <c r="L40" s="259" t="s">
        <v>1847</v>
      </c>
      <c r="M40" s="259" t="s">
        <v>1847</v>
      </c>
      <c r="N40" s="259" t="s">
        <v>1848</v>
      </c>
      <c r="O40" s="339" t="s">
        <v>1849</v>
      </c>
    </row>
    <row r="41">
      <c r="A41" s="198" t="s">
        <v>1629</v>
      </c>
      <c r="B41" s="199" t="s">
        <v>1630</v>
      </c>
      <c r="C41" s="161" t="s">
        <v>1631</v>
      </c>
      <c r="D41" s="225" t="s">
        <v>1941</v>
      </c>
      <c r="E41" s="225" t="s">
        <v>1941</v>
      </c>
      <c r="F41" s="225" t="s">
        <v>1941</v>
      </c>
      <c r="G41" s="225" t="s">
        <v>1941</v>
      </c>
      <c r="H41" s="225" t="s">
        <v>1941</v>
      </c>
      <c r="I41" s="225" t="s">
        <v>1941</v>
      </c>
      <c r="J41" s="225" t="s">
        <v>1941</v>
      </c>
      <c r="K41" s="225" t="s">
        <v>1941</v>
      </c>
      <c r="L41" s="225" t="s">
        <v>1941</v>
      </c>
      <c r="M41" s="225" t="s">
        <v>1941</v>
      </c>
      <c r="N41" s="225" t="s">
        <v>1941</v>
      </c>
      <c r="O41" s="225" t="s">
        <v>1687</v>
      </c>
    </row>
    <row r="42">
      <c r="A42" s="198" t="s">
        <v>2070</v>
      </c>
      <c r="B42" s="199" t="s">
        <v>2071</v>
      </c>
      <c r="C42" s="170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42" s="225" t="s">
        <v>2072</v>
      </c>
      <c r="E42" s="225" t="s">
        <v>2072</v>
      </c>
      <c r="F42" s="225" t="s">
        <v>2072</v>
      </c>
      <c r="G42" s="225" t="s">
        <v>2072</v>
      </c>
      <c r="H42" s="225" t="s">
        <v>2072</v>
      </c>
      <c r="I42" s="225" t="s">
        <v>2072</v>
      </c>
      <c r="J42" s="225" t="s">
        <v>2072</v>
      </c>
      <c r="K42" s="225" t="s">
        <v>2072</v>
      </c>
      <c r="L42" s="225" t="s">
        <v>2072</v>
      </c>
      <c r="M42" s="225" t="s">
        <v>2072</v>
      </c>
      <c r="N42" s="225" t="s">
        <v>1597</v>
      </c>
      <c r="O42" s="320" t="s">
        <v>1854</v>
      </c>
    </row>
    <row r="43">
      <c r="A43" s="198" t="s">
        <v>2073</v>
      </c>
      <c r="B43" s="199" t="s">
        <v>2074</v>
      </c>
      <c r="C43" s="210" t="str">
        <f>HYPERLINK("https://play.google.com/store/apps/details?id=com.google.android.inputmethod.japanese","com.google.android.inputmethod.japanese")</f>
        <v>com.google.android.inputmethod.japanese</v>
      </c>
      <c r="D43" s="225" t="s">
        <v>2075</v>
      </c>
      <c r="E43" s="225" t="s">
        <v>2075</v>
      </c>
      <c r="F43" s="225" t="s">
        <v>2075</v>
      </c>
      <c r="G43" s="225" t="s">
        <v>2075</v>
      </c>
      <c r="H43" s="225" t="s">
        <v>2075</v>
      </c>
      <c r="I43" s="225" t="s">
        <v>2075</v>
      </c>
      <c r="J43" s="225" t="s">
        <v>2075</v>
      </c>
      <c r="K43" s="225" t="s">
        <v>2075</v>
      </c>
      <c r="L43" s="225" t="s">
        <v>2075</v>
      </c>
      <c r="M43" s="225" t="s">
        <v>2075</v>
      </c>
      <c r="N43" s="225" t="s">
        <v>1597</v>
      </c>
      <c r="O43" s="320" t="s">
        <v>1862</v>
      </c>
    </row>
    <row r="44">
      <c r="A44" s="198" t="s">
        <v>191</v>
      </c>
      <c r="B44" s="199" t="s">
        <v>191</v>
      </c>
      <c r="C44" s="170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44" s="225" t="s">
        <v>2076</v>
      </c>
      <c r="E44" s="225" t="s">
        <v>2077</v>
      </c>
      <c r="F44" s="225" t="s">
        <v>2078</v>
      </c>
      <c r="G44" s="225" t="s">
        <v>2079</v>
      </c>
      <c r="H44" s="225" t="s">
        <v>2080</v>
      </c>
      <c r="I44" s="225" t="s">
        <v>2081</v>
      </c>
      <c r="J44" s="225" t="s">
        <v>2082</v>
      </c>
      <c r="K44" s="225" t="s">
        <v>2083</v>
      </c>
      <c r="L44" s="225" t="s">
        <v>1859</v>
      </c>
      <c r="M44" s="225" t="s">
        <v>1860</v>
      </c>
      <c r="N44" s="225" t="s">
        <v>1861</v>
      </c>
      <c r="O44" s="320" t="s">
        <v>1870</v>
      </c>
    </row>
    <row r="45">
      <c r="A45" s="198" t="s">
        <v>2084</v>
      </c>
      <c r="B45" s="199" t="s">
        <v>2085</v>
      </c>
      <c r="C45" s="170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45" s="225" t="s">
        <v>2086</v>
      </c>
      <c r="E45" s="225" t="s">
        <v>2086</v>
      </c>
      <c r="F45" s="225" t="s">
        <v>2086</v>
      </c>
      <c r="G45" s="225" t="s">
        <v>2086</v>
      </c>
      <c r="H45" s="225" t="s">
        <v>2086</v>
      </c>
      <c r="I45" s="225" t="s">
        <v>2086</v>
      </c>
      <c r="J45" s="225" t="s">
        <v>1597</v>
      </c>
      <c r="K45" s="225" t="s">
        <v>1597</v>
      </c>
      <c r="L45" s="225" t="s">
        <v>1597</v>
      </c>
      <c r="M45" s="225" t="s">
        <v>1597</v>
      </c>
      <c r="N45" s="225" t="s">
        <v>1597</v>
      </c>
      <c r="O45" s="320" t="s">
        <v>1879</v>
      </c>
    </row>
    <row r="46">
      <c r="A46" s="198" t="s">
        <v>194</v>
      </c>
      <c r="B46" s="199" t="s">
        <v>195</v>
      </c>
      <c r="C46" s="170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46" s="225" t="s">
        <v>2087</v>
      </c>
      <c r="E46" s="225" t="s">
        <v>2088</v>
      </c>
      <c r="F46" s="225" t="s">
        <v>2088</v>
      </c>
      <c r="G46" s="225" t="s">
        <v>2089</v>
      </c>
      <c r="H46" s="225" t="s">
        <v>2090</v>
      </c>
      <c r="I46" s="225" t="s">
        <v>2091</v>
      </c>
      <c r="J46" s="225" t="s">
        <v>2092</v>
      </c>
      <c r="K46" s="225" t="s">
        <v>2093</v>
      </c>
      <c r="L46" s="225" t="s">
        <v>1867</v>
      </c>
      <c r="M46" s="225" t="s">
        <v>1868</v>
      </c>
      <c r="N46" s="225" t="s">
        <v>1869</v>
      </c>
      <c r="O46" s="225" t="s">
        <v>1755</v>
      </c>
    </row>
    <row r="47">
      <c r="A47" s="198" t="s">
        <v>198</v>
      </c>
      <c r="B47" s="199" t="s">
        <v>199</v>
      </c>
      <c r="C47" s="170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47" s="280" t="s">
        <v>2094</v>
      </c>
      <c r="E47" s="280" t="s">
        <v>2094</v>
      </c>
      <c r="F47" s="280" t="s">
        <v>2095</v>
      </c>
      <c r="G47" s="280" t="s">
        <v>2095</v>
      </c>
      <c r="H47" s="280" t="s">
        <v>2096</v>
      </c>
      <c r="I47" s="280" t="s">
        <v>2096</v>
      </c>
      <c r="J47" s="280" t="s">
        <v>2096</v>
      </c>
      <c r="K47" s="280" t="s">
        <v>2097</v>
      </c>
      <c r="L47" s="280" t="s">
        <v>2097</v>
      </c>
      <c r="M47" s="280" t="s">
        <v>2097</v>
      </c>
      <c r="N47" s="225" t="s">
        <v>2097</v>
      </c>
      <c r="O47" s="320" t="s">
        <v>1883</v>
      </c>
    </row>
    <row r="48">
      <c r="A48" s="198" t="s">
        <v>202</v>
      </c>
      <c r="B48" s="199" t="s">
        <v>202</v>
      </c>
      <c r="C48" s="210" t="str">
        <f>HYPERLINK("https://play.google.com/store/apps/details?id=com.google.android.apps.messaging","com.google.android.apps.messaging")</f>
        <v>com.google.android.apps.messaging</v>
      </c>
      <c r="D48" s="225" t="s">
        <v>2098</v>
      </c>
      <c r="E48" s="225" t="s">
        <v>2099</v>
      </c>
      <c r="F48" s="225" t="s">
        <v>2100</v>
      </c>
      <c r="G48" s="225" t="s">
        <v>2100</v>
      </c>
      <c r="H48" s="225" t="s">
        <v>2100</v>
      </c>
      <c r="I48" s="225" t="s">
        <v>2101</v>
      </c>
      <c r="J48" s="225" t="s">
        <v>2102</v>
      </c>
      <c r="K48" s="225" t="s">
        <v>2103</v>
      </c>
      <c r="L48" s="225" t="s">
        <v>1881</v>
      </c>
      <c r="M48" s="225" t="s">
        <v>1881</v>
      </c>
      <c r="N48" s="225" t="s">
        <v>1882</v>
      </c>
      <c r="O48" s="225" t="s">
        <v>1882</v>
      </c>
    </row>
    <row r="49">
      <c r="A49" s="225" t="s">
        <v>205</v>
      </c>
      <c r="B49" s="226" t="s">
        <v>206</v>
      </c>
      <c r="C49" s="226" t="s">
        <v>207</v>
      </c>
      <c r="D49" s="225" t="s">
        <v>1941</v>
      </c>
      <c r="E49" s="225" t="s">
        <v>1941</v>
      </c>
      <c r="F49" s="225" t="s">
        <v>1941</v>
      </c>
      <c r="G49" s="225" t="s">
        <v>1941</v>
      </c>
      <c r="H49" s="225" t="s">
        <v>1941</v>
      </c>
      <c r="I49" s="225" t="s">
        <v>1941</v>
      </c>
      <c r="J49" s="225" t="s">
        <v>1941</v>
      </c>
      <c r="K49" s="225" t="s">
        <v>1941</v>
      </c>
      <c r="L49" s="225" t="s">
        <v>1941</v>
      </c>
      <c r="M49" s="225" t="s">
        <v>1941</v>
      </c>
      <c r="N49" s="225" t="s">
        <v>1941</v>
      </c>
      <c r="O49" s="225" t="s">
        <v>1941</v>
      </c>
    </row>
    <row r="50">
      <c r="A50" s="36" t="s">
        <v>208</v>
      </c>
      <c r="B50" s="37" t="s">
        <v>209</v>
      </c>
      <c r="C50" s="37" t="s">
        <v>210</v>
      </c>
      <c r="D50" s="36" t="s">
        <v>2104</v>
      </c>
      <c r="E50" s="36" t="s">
        <v>2104</v>
      </c>
      <c r="F50" s="36" t="s">
        <v>2104</v>
      </c>
      <c r="G50" s="36" t="s">
        <v>2104</v>
      </c>
      <c r="H50" s="36" t="s">
        <v>2104</v>
      </c>
      <c r="I50" s="36" t="s">
        <v>2104</v>
      </c>
      <c r="J50" s="36" t="s">
        <v>2104</v>
      </c>
      <c r="K50" s="36" t="s">
        <v>2104</v>
      </c>
      <c r="L50" s="36" t="s">
        <v>2104</v>
      </c>
      <c r="M50" s="36" t="s">
        <v>2104</v>
      </c>
      <c r="N50" s="36" t="s">
        <v>2104</v>
      </c>
      <c r="O50" s="36" t="s">
        <v>2104</v>
      </c>
    </row>
    <row r="51">
      <c r="A51" s="229" t="s">
        <v>213</v>
      </c>
      <c r="B51" s="230"/>
      <c r="C51" s="30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</row>
    <row r="52">
      <c r="A52" s="232" t="s">
        <v>214</v>
      </c>
      <c r="B52" s="233" t="s">
        <v>215</v>
      </c>
      <c r="C52" s="234" t="str">
        <f>HYPERLINK("https://play.google.com/store/apps/details?id=com.google.android.apps.assistant","com.google.android.apps.assistant")</f>
        <v>com.google.android.apps.assistant</v>
      </c>
      <c r="D52" s="340"/>
      <c r="E52" s="340"/>
      <c r="F52" s="340"/>
      <c r="G52" s="341" t="s">
        <v>2105</v>
      </c>
      <c r="H52" s="257" t="s">
        <v>2105</v>
      </c>
      <c r="I52" s="257" t="s">
        <v>2106</v>
      </c>
      <c r="J52" s="257" t="s">
        <v>2106</v>
      </c>
      <c r="K52" s="257" t="s">
        <v>2107</v>
      </c>
      <c r="L52" s="257" t="s">
        <v>1889</v>
      </c>
      <c r="M52" s="257" t="s">
        <v>1889</v>
      </c>
      <c r="N52" s="257" t="s">
        <v>1889</v>
      </c>
      <c r="O52" s="324" t="s">
        <v>1890</v>
      </c>
    </row>
    <row r="53">
      <c r="A53" s="240" t="s">
        <v>219</v>
      </c>
      <c r="B53" s="241" t="s">
        <v>1459</v>
      </c>
      <c r="C53" s="242" t="str">
        <f>HYPERLINK("https://play.google.com/store/apps/details?id=com.google.android.apps.nbu.files","com.google.android.apps.nbu.files")</f>
        <v>com.google.android.apps.nbu.files</v>
      </c>
      <c r="D53" s="335"/>
      <c r="E53" s="335"/>
      <c r="F53" s="335"/>
      <c r="G53" s="226" t="s">
        <v>2108</v>
      </c>
      <c r="H53" s="225" t="s">
        <v>2109</v>
      </c>
      <c r="I53" s="225" t="s">
        <v>2110</v>
      </c>
      <c r="J53" s="225" t="s">
        <v>2111</v>
      </c>
      <c r="K53" s="225" t="s">
        <v>2112</v>
      </c>
      <c r="L53" s="225" t="s">
        <v>1894</v>
      </c>
      <c r="M53" s="225" t="s">
        <v>1894</v>
      </c>
      <c r="N53" s="225" t="s">
        <v>1895</v>
      </c>
      <c r="O53" s="320" t="s">
        <v>1896</v>
      </c>
    </row>
    <row r="54">
      <c r="A54" s="240" t="s">
        <v>1169</v>
      </c>
      <c r="B54" s="241" t="s">
        <v>1170</v>
      </c>
      <c r="C54" s="242" t="str">
        <f>HYPERLINK("https://play.google.com/store/apps/details?id=com.google.android.gm.lite","com.google.android.gm.lite")</f>
        <v>com.google.android.gm.lite</v>
      </c>
      <c r="D54" s="335"/>
      <c r="E54" s="335"/>
      <c r="F54" s="335"/>
      <c r="G54" s="226" t="s">
        <v>2113</v>
      </c>
      <c r="H54" s="225" t="s">
        <v>2113</v>
      </c>
      <c r="I54" s="225" t="s">
        <v>2114</v>
      </c>
      <c r="J54" s="225" t="s">
        <v>1476</v>
      </c>
      <c r="K54" s="225" t="s">
        <v>1476</v>
      </c>
      <c r="L54" s="225" t="s">
        <v>1476</v>
      </c>
      <c r="M54" s="225" t="s">
        <v>1476</v>
      </c>
      <c r="N54" s="225" t="s">
        <v>1476</v>
      </c>
      <c r="O54" s="225" t="s">
        <v>1476</v>
      </c>
    </row>
    <row r="55">
      <c r="A55" s="236" t="s">
        <v>226</v>
      </c>
      <c r="B55" s="237" t="s">
        <v>227</v>
      </c>
      <c r="C55" s="246" t="str">
        <f>HYPERLINK("https://android-cret.corp.google.com/#fusion:id=com.google.android.gms","com.google.android.gms")</f>
        <v>com.google.android.gms</v>
      </c>
      <c r="D55" s="335"/>
      <c r="E55" s="335"/>
      <c r="F55" s="335"/>
      <c r="G55" s="226"/>
      <c r="H55" s="225"/>
      <c r="I55" s="225"/>
      <c r="J55" s="225"/>
      <c r="K55" s="225"/>
      <c r="L55" s="225"/>
      <c r="M55" s="225"/>
      <c r="N55" s="225" t="s">
        <v>1690</v>
      </c>
      <c r="O55" s="320" t="s">
        <v>1691</v>
      </c>
    </row>
    <row r="56">
      <c r="A56" s="240" t="s">
        <v>994</v>
      </c>
      <c r="B56" s="241" t="s">
        <v>995</v>
      </c>
      <c r="C56" s="242" t="str">
        <f>HYPERLINK("https://play.google.com/store/apps/details?id=com.google.android.dialer","com.google.android.dialer")</f>
        <v>com.google.android.dialer</v>
      </c>
      <c r="D56" s="335"/>
      <c r="E56" s="335"/>
      <c r="F56" s="335"/>
      <c r="G56" s="226" t="s">
        <v>1985</v>
      </c>
      <c r="H56" s="225" t="s">
        <v>1985</v>
      </c>
      <c r="I56" s="225" t="s">
        <v>1986</v>
      </c>
      <c r="J56" s="225" t="s">
        <v>1987</v>
      </c>
      <c r="K56" s="225" t="s">
        <v>1987</v>
      </c>
      <c r="L56" s="225" t="s">
        <v>1743</v>
      </c>
      <c r="M56" s="280" t="s">
        <v>1744</v>
      </c>
      <c r="N56" s="280" t="s">
        <v>1745</v>
      </c>
      <c r="O56" s="320" t="s">
        <v>1746</v>
      </c>
    </row>
    <row r="57">
      <c r="A57" s="240" t="s">
        <v>229</v>
      </c>
      <c r="B57" s="241" t="s">
        <v>230</v>
      </c>
      <c r="C57" s="242" t="str">
        <f>HYPERLINK("https://play.google.com/store/apps/details?id=com.google.android.apps.searchlite","com.google.android.apps.searchlite")</f>
        <v>com.google.android.apps.searchlite</v>
      </c>
      <c r="D57" s="335"/>
      <c r="E57" s="335"/>
      <c r="F57" s="335"/>
      <c r="G57" s="226" t="s">
        <v>2115</v>
      </c>
      <c r="H57" s="225" t="s">
        <v>2115</v>
      </c>
      <c r="I57" s="225" t="s">
        <v>2116</v>
      </c>
      <c r="J57" s="225" t="s">
        <v>2117</v>
      </c>
      <c r="K57" s="225" t="s">
        <v>2117</v>
      </c>
      <c r="L57" s="225" t="s">
        <v>1903</v>
      </c>
      <c r="M57" s="225" t="s">
        <v>1903</v>
      </c>
      <c r="N57" s="225" t="s">
        <v>1904</v>
      </c>
      <c r="O57" s="320" t="s">
        <v>1905</v>
      </c>
    </row>
    <row r="58">
      <c r="A58" s="240" t="s">
        <v>233</v>
      </c>
      <c r="B58" s="241" t="s">
        <v>234</v>
      </c>
      <c r="C58" s="242" t="str">
        <f>HYPERLINK("https://play.google.com/store/apps/details?id=com.google.android.inputmethod.latin","com.google.android.inputmethod.latin")</f>
        <v>com.google.android.inputmethod.latin</v>
      </c>
      <c r="D58" s="335"/>
      <c r="E58" s="335"/>
      <c r="F58" s="335"/>
      <c r="G58" s="226" t="s">
        <v>2118</v>
      </c>
      <c r="H58" s="225" t="s">
        <v>2090</v>
      </c>
      <c r="I58" s="225" t="s">
        <v>2091</v>
      </c>
      <c r="J58" s="225" t="s">
        <v>2092</v>
      </c>
      <c r="K58" s="225" t="s">
        <v>2093</v>
      </c>
      <c r="L58" s="225" t="s">
        <v>1867</v>
      </c>
      <c r="M58" s="225" t="s">
        <v>1868</v>
      </c>
      <c r="N58" s="225" t="s">
        <v>1912</v>
      </c>
      <c r="O58" s="320" t="s">
        <v>1870</v>
      </c>
    </row>
    <row r="59">
      <c r="A59" s="240" t="s">
        <v>1178</v>
      </c>
      <c r="B59" s="241" t="s">
        <v>1179</v>
      </c>
      <c r="C59" s="242" t="str">
        <f>HYPERLINK("https://play.google.com/store/apps/details?id=com.google.android.apps.mapslite","com.google.android.apps.mapslite")</f>
        <v>com.google.android.apps.mapslite</v>
      </c>
      <c r="D59" s="335"/>
      <c r="E59" s="335"/>
      <c r="F59" s="335"/>
      <c r="G59" s="342" t="s">
        <v>2119</v>
      </c>
      <c r="H59" s="259" t="s">
        <v>2119</v>
      </c>
      <c r="I59" s="259" t="s">
        <v>2119</v>
      </c>
      <c r="J59" s="259" t="s">
        <v>1914</v>
      </c>
      <c r="K59" s="259" t="s">
        <v>1914</v>
      </c>
      <c r="L59" s="259" t="s">
        <v>1914</v>
      </c>
      <c r="M59" s="259" t="s">
        <v>1914</v>
      </c>
      <c r="N59" s="259" t="s">
        <v>1914</v>
      </c>
      <c r="O59" s="259" t="s">
        <v>1914</v>
      </c>
    </row>
    <row r="60">
      <c r="A60" s="236" t="s">
        <v>235</v>
      </c>
      <c r="B60" s="237" t="s">
        <v>236</v>
      </c>
      <c r="C60" s="247" t="str">
        <f>HYPERLINK("https://android-cret.corp.google.com/#fusion:id=com.google.android.apps.messaging","com.google.android.apps.messaging")</f>
        <v>com.google.android.apps.messaging</v>
      </c>
      <c r="D60" s="343"/>
      <c r="E60" s="335"/>
      <c r="F60" s="335"/>
      <c r="G60" s="226"/>
      <c r="H60" s="225"/>
      <c r="I60" s="225"/>
      <c r="J60" s="225" t="s">
        <v>2102</v>
      </c>
      <c r="K60" s="225" t="s">
        <v>2103</v>
      </c>
      <c r="L60" s="225" t="s">
        <v>1881</v>
      </c>
      <c r="M60" s="225" t="s">
        <v>1881</v>
      </c>
      <c r="N60" s="225" t="s">
        <v>1882</v>
      </c>
      <c r="O60" s="320" t="s">
        <v>1883</v>
      </c>
    </row>
    <row r="61">
      <c r="A61" s="243" t="s">
        <v>1184</v>
      </c>
      <c r="B61" s="244" t="s">
        <v>1185</v>
      </c>
      <c r="C61" s="311" t="str">
        <f>HYPERLINK("https://play.google.com/store/apps/details?id=com.google.android.apps.navlite","com.google.android.apps.navlite")</f>
        <v>com.google.android.apps.navlite</v>
      </c>
      <c r="D61" s="343"/>
      <c r="E61" s="335"/>
      <c r="F61" s="335"/>
      <c r="G61" s="226"/>
      <c r="H61" s="225"/>
      <c r="I61" s="225"/>
      <c r="J61" s="225"/>
      <c r="K61" s="225"/>
      <c r="L61" s="225" t="s">
        <v>1915</v>
      </c>
      <c r="M61" s="225" t="s">
        <v>1916</v>
      </c>
      <c r="N61" s="225" t="s">
        <v>1916</v>
      </c>
      <c r="O61" s="225" t="s">
        <v>1916</v>
      </c>
    </row>
    <row r="62">
      <c r="A62" s="240" t="s">
        <v>1919</v>
      </c>
      <c r="B62" s="241" t="s">
        <v>1920</v>
      </c>
      <c r="C62" s="242" t="str">
        <f>HYPERLINK("https://play.google.com/store/apps/details?id=com.google.android.apps.pdfviewer","com.google.android.apps.pdfviewer")</f>
        <v>com.google.android.apps.pdfviewer</v>
      </c>
      <c r="D62" s="335"/>
      <c r="E62" s="335"/>
      <c r="F62" s="335"/>
      <c r="G62" s="344" t="s">
        <v>1921</v>
      </c>
      <c r="H62" s="280" t="s">
        <v>1921</v>
      </c>
      <c r="I62" s="280" t="s">
        <v>1921</v>
      </c>
      <c r="J62" s="280" t="s">
        <v>1921</v>
      </c>
      <c r="K62" s="280" t="s">
        <v>1921</v>
      </c>
      <c r="L62" s="280" t="s">
        <v>1921</v>
      </c>
      <c r="M62" s="280" t="s">
        <v>1921</v>
      </c>
      <c r="N62" s="280" t="s">
        <v>1921</v>
      </c>
      <c r="O62" s="280" t="s">
        <v>1921</v>
      </c>
    </row>
    <row r="63">
      <c r="A63" s="40" t="s">
        <v>1669</v>
      </c>
      <c r="B63" s="41" t="s">
        <v>1670</v>
      </c>
      <c r="C63" s="312" t="str">
        <f>HYPERLINK("https://play.google.com/store/apps/details?id=com.google.android.apps.youtube.mango","com.google.android.apps.youtube.mango")</f>
        <v>com.google.android.apps.youtube.mango</v>
      </c>
      <c r="D63" s="39"/>
      <c r="E63" s="39"/>
      <c r="F63" s="39"/>
      <c r="G63" s="37" t="s">
        <v>2120</v>
      </c>
      <c r="H63" s="36" t="s">
        <v>2121</v>
      </c>
      <c r="I63" s="306" t="s">
        <v>2122</v>
      </c>
      <c r="J63" s="313" t="s">
        <v>2122</v>
      </c>
      <c r="K63" s="313" t="s">
        <v>2123</v>
      </c>
      <c r="L63" s="313" t="s">
        <v>1922</v>
      </c>
      <c r="M63" s="313" t="s">
        <v>1923</v>
      </c>
      <c r="N63" s="313" t="s">
        <v>1924</v>
      </c>
      <c r="O63" s="345" t="s">
        <v>1925</v>
      </c>
    </row>
  </sheetData>
  <mergeCells count="17">
    <mergeCell ref="H1:H2"/>
    <mergeCell ref="I1:I2"/>
    <mergeCell ref="J1:J2"/>
    <mergeCell ref="K1:K2"/>
    <mergeCell ref="L1:L2"/>
    <mergeCell ref="M1:M2"/>
    <mergeCell ref="N1:N2"/>
    <mergeCell ref="O1:O2"/>
    <mergeCell ref="A3:B3"/>
    <mergeCell ref="A23:B23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7.63"/>
    <col customWidth="1" min="3" max="3" width="37.13"/>
    <col customWidth="1" min="4" max="18" width="15.13"/>
  </cols>
  <sheetData>
    <row r="1">
      <c r="A1" s="130" t="s">
        <v>0</v>
      </c>
      <c r="B1" s="131" t="s">
        <v>1</v>
      </c>
      <c r="C1" s="132" t="s">
        <v>2</v>
      </c>
      <c r="D1" s="334" t="s">
        <v>1929</v>
      </c>
      <c r="E1" s="346" t="s">
        <v>1930</v>
      </c>
      <c r="F1" s="346" t="s">
        <v>1931</v>
      </c>
      <c r="G1" s="346" t="s">
        <v>2124</v>
      </c>
      <c r="H1" s="346" t="s">
        <v>2125</v>
      </c>
      <c r="I1" s="346" t="s">
        <v>2126</v>
      </c>
      <c r="J1" s="346" t="s">
        <v>2127</v>
      </c>
      <c r="K1" s="346" t="s">
        <v>2128</v>
      </c>
      <c r="L1" s="346" t="s">
        <v>2129</v>
      </c>
      <c r="M1" s="346" t="s">
        <v>2130</v>
      </c>
      <c r="N1" s="346" t="s">
        <v>2131</v>
      </c>
      <c r="O1" s="346" t="s">
        <v>2132</v>
      </c>
      <c r="P1" s="346" t="s">
        <v>2133</v>
      </c>
      <c r="Q1" s="346" t="s">
        <v>2134</v>
      </c>
      <c r="R1" s="346" t="s">
        <v>2135</v>
      </c>
    </row>
    <row r="2">
      <c r="A2" s="4"/>
      <c r="B2" s="5"/>
      <c r="C2" s="5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>
      <c r="A3" s="48" t="s">
        <v>6</v>
      </c>
      <c r="B3" s="5"/>
      <c r="C3" s="30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>
      <c r="A4" s="159" t="s">
        <v>7</v>
      </c>
      <c r="B4" s="160" t="s">
        <v>7</v>
      </c>
      <c r="C4" s="161" t="s">
        <v>8</v>
      </c>
      <c r="D4" s="226" t="s">
        <v>2136</v>
      </c>
      <c r="E4" s="257" t="s">
        <v>2136</v>
      </c>
      <c r="F4" s="257" t="s">
        <v>2136</v>
      </c>
      <c r="G4" s="257" t="s">
        <v>2136</v>
      </c>
      <c r="H4" s="257" t="s">
        <v>2136</v>
      </c>
      <c r="I4" s="257" t="s">
        <v>2136</v>
      </c>
      <c r="J4" s="257" t="s">
        <v>2136</v>
      </c>
      <c r="K4" s="257" t="s">
        <v>2136</v>
      </c>
      <c r="L4" s="257" t="s">
        <v>2136</v>
      </c>
      <c r="M4" s="257" t="s">
        <v>2136</v>
      </c>
      <c r="N4" s="257" t="s">
        <v>2136</v>
      </c>
      <c r="O4" s="257" t="s">
        <v>2136</v>
      </c>
      <c r="P4" s="257" t="s">
        <v>2136</v>
      </c>
      <c r="Q4" s="257" t="s">
        <v>2136</v>
      </c>
      <c r="R4" s="257" t="s">
        <v>2136</v>
      </c>
    </row>
    <row r="5">
      <c r="A5" s="159" t="s">
        <v>17</v>
      </c>
      <c r="B5" s="160" t="s">
        <v>18</v>
      </c>
      <c r="C5" s="170" t="str">
        <f>HYPERLINK("https://play.google.com/store/apps/details?id=com.google.android.gms",HYPERLINK("https://play.google.com/store/apps/details?id=com.google.android.gms","com.google.android.gms"))</f>
        <v>com.google.android.gms</v>
      </c>
      <c r="D5" s="226" t="s">
        <v>2137</v>
      </c>
      <c r="E5" s="225" t="s">
        <v>2138</v>
      </c>
      <c r="F5" s="225" t="s">
        <v>2139</v>
      </c>
      <c r="G5" s="225" t="s">
        <v>1942</v>
      </c>
      <c r="H5" s="225" t="s">
        <v>1943</v>
      </c>
      <c r="I5" s="225" t="s">
        <v>1944</v>
      </c>
      <c r="J5" s="225" t="s">
        <v>1944</v>
      </c>
      <c r="K5" s="225" t="s">
        <v>1945</v>
      </c>
      <c r="L5" s="274" t="s">
        <v>1946</v>
      </c>
      <c r="M5" s="274" t="s">
        <v>1947</v>
      </c>
      <c r="N5" s="225" t="s">
        <v>1947</v>
      </c>
      <c r="O5" s="225" t="s">
        <v>1948</v>
      </c>
      <c r="P5" s="225" t="s">
        <v>1948</v>
      </c>
      <c r="Q5" s="227" t="s">
        <v>1690</v>
      </c>
      <c r="R5" s="319" t="s">
        <v>1691</v>
      </c>
    </row>
    <row r="6">
      <c r="A6" s="159" t="s">
        <v>12</v>
      </c>
      <c r="B6" s="160" t="s">
        <v>13</v>
      </c>
      <c r="C6" s="347" t="s">
        <v>2140</v>
      </c>
      <c r="D6" s="226"/>
      <c r="E6" s="225" t="s">
        <v>1597</v>
      </c>
      <c r="F6" s="225" t="s">
        <v>1597</v>
      </c>
      <c r="G6" s="225" t="s">
        <v>1597</v>
      </c>
      <c r="H6" s="225" t="s">
        <v>1597</v>
      </c>
      <c r="I6" s="225" t="s">
        <v>1597</v>
      </c>
      <c r="J6" s="225" t="s">
        <v>1597</v>
      </c>
      <c r="K6" s="225" t="s">
        <v>1597</v>
      </c>
      <c r="L6" s="225" t="s">
        <v>1597</v>
      </c>
      <c r="M6" s="225" t="s">
        <v>1597</v>
      </c>
      <c r="N6" s="225" t="s">
        <v>1597</v>
      </c>
      <c r="O6" s="225" t="s">
        <v>1597</v>
      </c>
      <c r="P6" s="225" t="s">
        <v>1597</v>
      </c>
      <c r="Q6" s="225" t="s">
        <v>1597</v>
      </c>
      <c r="R6" s="225" t="s">
        <v>1597</v>
      </c>
    </row>
    <row r="7">
      <c r="A7" s="159" t="s">
        <v>1697</v>
      </c>
      <c r="B7" s="160" t="s">
        <v>1698</v>
      </c>
      <c r="C7" s="161" t="s">
        <v>1699</v>
      </c>
      <c r="D7" s="226" t="s">
        <v>2136</v>
      </c>
      <c r="E7" s="225" t="s">
        <v>2136</v>
      </c>
      <c r="F7" s="225" t="s">
        <v>2136</v>
      </c>
      <c r="G7" s="225" t="s">
        <v>2136</v>
      </c>
      <c r="H7" s="225" t="s">
        <v>2136</v>
      </c>
      <c r="I7" s="225" t="s">
        <v>2136</v>
      </c>
      <c r="J7" s="225" t="s">
        <v>2136</v>
      </c>
      <c r="K7" s="225" t="s">
        <v>2136</v>
      </c>
      <c r="L7" s="225" t="s">
        <v>2136</v>
      </c>
      <c r="M7" s="225" t="s">
        <v>2136</v>
      </c>
      <c r="N7" s="225" t="s">
        <v>2136</v>
      </c>
      <c r="O7" s="225" t="s">
        <v>2136</v>
      </c>
      <c r="P7" s="225" t="s">
        <v>2136</v>
      </c>
      <c r="Q7" s="225" t="s">
        <v>2136</v>
      </c>
      <c r="R7" s="225" t="s">
        <v>2136</v>
      </c>
    </row>
    <row r="8">
      <c r="A8" s="159" t="s">
        <v>21</v>
      </c>
      <c r="B8" s="160" t="s">
        <v>22</v>
      </c>
      <c r="C8" s="161" t="s">
        <v>23</v>
      </c>
      <c r="D8" s="226" t="s">
        <v>2136</v>
      </c>
      <c r="E8" s="225" t="s">
        <v>2136</v>
      </c>
      <c r="F8" s="225" t="s">
        <v>2136</v>
      </c>
      <c r="G8" s="225" t="s">
        <v>2136</v>
      </c>
      <c r="H8" s="225" t="s">
        <v>2136</v>
      </c>
      <c r="I8" s="225" t="s">
        <v>2136</v>
      </c>
      <c r="J8" s="225" t="s">
        <v>2136</v>
      </c>
      <c r="K8" s="225" t="s">
        <v>2136</v>
      </c>
      <c r="L8" s="225" t="s">
        <v>2136</v>
      </c>
      <c r="M8" s="225" t="s">
        <v>2136</v>
      </c>
      <c r="N8" s="225" t="s">
        <v>2136</v>
      </c>
      <c r="O8" s="225" t="s">
        <v>2136</v>
      </c>
      <c r="P8" s="225" t="s">
        <v>2136</v>
      </c>
      <c r="Q8" s="225" t="s">
        <v>2136</v>
      </c>
      <c r="R8" s="225" t="s">
        <v>2136</v>
      </c>
    </row>
    <row r="9">
      <c r="A9" s="159" t="s">
        <v>261</v>
      </c>
      <c r="B9" s="160" t="s">
        <v>262</v>
      </c>
      <c r="C9" s="161" t="s">
        <v>263</v>
      </c>
      <c r="D9" s="226" t="s">
        <v>2136</v>
      </c>
      <c r="E9" s="225" t="s">
        <v>2136</v>
      </c>
      <c r="F9" s="225" t="s">
        <v>2136</v>
      </c>
      <c r="G9" s="225" t="s">
        <v>2136</v>
      </c>
      <c r="H9" s="225" t="s">
        <v>2136</v>
      </c>
      <c r="I9" s="225" t="s">
        <v>2136</v>
      </c>
      <c r="J9" s="225" t="s">
        <v>2136</v>
      </c>
      <c r="K9" s="225" t="s">
        <v>2136</v>
      </c>
      <c r="L9" s="225" t="s">
        <v>2136</v>
      </c>
      <c r="M9" s="225" t="s">
        <v>2136</v>
      </c>
      <c r="N9" s="225" t="s">
        <v>2136</v>
      </c>
      <c r="O9" s="225" t="s">
        <v>2136</v>
      </c>
      <c r="P9" s="225" t="s">
        <v>2136</v>
      </c>
      <c r="Q9" s="225" t="s">
        <v>2136</v>
      </c>
      <c r="R9" s="225" t="s">
        <v>2136</v>
      </c>
    </row>
    <row r="10">
      <c r="A10" s="159" t="s">
        <v>26</v>
      </c>
      <c r="B10" s="160" t="s">
        <v>27</v>
      </c>
      <c r="C10" s="161" t="s">
        <v>28</v>
      </c>
      <c r="D10" s="226" t="s">
        <v>2141</v>
      </c>
      <c r="E10" s="225" t="s">
        <v>2141</v>
      </c>
      <c r="F10" s="225" t="s">
        <v>2141</v>
      </c>
      <c r="G10" s="225" t="s">
        <v>2141</v>
      </c>
      <c r="H10" s="225" t="s">
        <v>2141</v>
      </c>
      <c r="I10" s="225" t="s">
        <v>2141</v>
      </c>
      <c r="J10" s="225" t="s">
        <v>2141</v>
      </c>
      <c r="K10" s="225" t="s">
        <v>2141</v>
      </c>
      <c r="L10" s="225" t="s">
        <v>2141</v>
      </c>
      <c r="M10" s="225" t="s">
        <v>2142</v>
      </c>
      <c r="N10" s="225" t="s">
        <v>2142</v>
      </c>
      <c r="O10" s="225" t="s">
        <v>2142</v>
      </c>
      <c r="P10" s="225" t="s">
        <v>2142</v>
      </c>
      <c r="Q10" s="225" t="s">
        <v>2142</v>
      </c>
      <c r="R10" s="225" t="s">
        <v>2142</v>
      </c>
    </row>
    <row r="11">
      <c r="A11" s="159" t="s">
        <v>36</v>
      </c>
      <c r="B11" s="160" t="s">
        <v>37</v>
      </c>
      <c r="C11" s="161" t="s">
        <v>38</v>
      </c>
      <c r="D11" s="226" t="s">
        <v>2136</v>
      </c>
      <c r="E11" s="225" t="s">
        <v>2136</v>
      </c>
      <c r="F11" s="225" t="s">
        <v>2136</v>
      </c>
      <c r="G11" s="225" t="s">
        <v>2136</v>
      </c>
      <c r="H11" s="225" t="s">
        <v>2136</v>
      </c>
      <c r="I11" s="225" t="s">
        <v>2136</v>
      </c>
      <c r="J11" s="225" t="s">
        <v>2136</v>
      </c>
      <c r="K11" s="225" t="s">
        <v>2136</v>
      </c>
      <c r="L11" s="225" t="s">
        <v>2136</v>
      </c>
      <c r="M11" s="225" t="s">
        <v>2136</v>
      </c>
      <c r="N11" s="225" t="s">
        <v>2136</v>
      </c>
      <c r="O11" s="225" t="s">
        <v>2136</v>
      </c>
      <c r="P11" s="225" t="s">
        <v>2136</v>
      </c>
      <c r="Q11" s="225" t="s">
        <v>2136</v>
      </c>
      <c r="R11" s="225" t="s">
        <v>2136</v>
      </c>
    </row>
    <row r="12">
      <c r="A12" s="165" t="s">
        <v>43</v>
      </c>
      <c r="B12" s="166" t="s">
        <v>44</v>
      </c>
      <c r="C12" s="167" t="s">
        <v>45</v>
      </c>
      <c r="D12" s="226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74" t="s">
        <v>1705</v>
      </c>
      <c r="R12" s="225" t="s">
        <v>1705</v>
      </c>
    </row>
    <row r="13">
      <c r="A13" s="159" t="s">
        <v>1218</v>
      </c>
      <c r="B13" s="160" t="s">
        <v>1219</v>
      </c>
      <c r="C13" s="348" t="str">
        <f>HYPERLINK("https://android-cret.corp.google.com/#fusion:id=com.google.android.apps.speechservices","com.google.android.apps.speechservices")</f>
        <v>com.google.android.apps.speechservices</v>
      </c>
      <c r="D13" s="226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 t="s">
        <v>1521</v>
      </c>
      <c r="R13" s="225" t="s">
        <v>1521</v>
      </c>
    </row>
    <row r="14">
      <c r="A14" s="159" t="s">
        <v>48</v>
      </c>
      <c r="B14" s="160" t="s">
        <v>49</v>
      </c>
      <c r="C14" s="161" t="s">
        <v>50</v>
      </c>
      <c r="D14" s="344" t="s">
        <v>2143</v>
      </c>
      <c r="E14" s="280" t="s">
        <v>2144</v>
      </c>
      <c r="F14" s="280" t="s">
        <v>2145</v>
      </c>
      <c r="G14" s="280" t="s">
        <v>1950</v>
      </c>
      <c r="H14" s="280" t="s">
        <v>1951</v>
      </c>
      <c r="I14" s="280" t="s">
        <v>1952</v>
      </c>
      <c r="J14" s="280" t="s">
        <v>1953</v>
      </c>
      <c r="K14" s="280" t="s">
        <v>1954</v>
      </c>
      <c r="L14" s="280" t="s">
        <v>1955</v>
      </c>
      <c r="M14" s="280" t="s">
        <v>1956</v>
      </c>
      <c r="N14" s="280" t="s">
        <v>1957</v>
      </c>
      <c r="O14" s="280" t="s">
        <v>1707</v>
      </c>
      <c r="P14" s="280" t="s">
        <v>1708</v>
      </c>
      <c r="Q14" s="274" t="s">
        <v>1709</v>
      </c>
      <c r="R14" s="320" t="s">
        <v>1710</v>
      </c>
    </row>
    <row r="15">
      <c r="A15" s="159" t="s">
        <v>53</v>
      </c>
      <c r="B15" s="160" t="s">
        <v>54</v>
      </c>
      <c r="C15" s="161" t="s">
        <v>55</v>
      </c>
      <c r="D15" s="349" t="s">
        <v>2146</v>
      </c>
      <c r="E15" s="317" t="s">
        <v>2146</v>
      </c>
      <c r="F15" s="317" t="s">
        <v>2147</v>
      </c>
      <c r="G15" s="317" t="s">
        <v>2147</v>
      </c>
      <c r="H15" s="317" t="s">
        <v>2148</v>
      </c>
      <c r="I15" s="317" t="s">
        <v>2149</v>
      </c>
      <c r="J15" s="350" t="s">
        <v>2150</v>
      </c>
      <c r="K15" s="317" t="s">
        <v>2151</v>
      </c>
      <c r="L15" s="317" t="s">
        <v>2152</v>
      </c>
      <c r="M15" s="317" t="s">
        <v>2152</v>
      </c>
      <c r="N15" s="317" t="s">
        <v>2152</v>
      </c>
      <c r="O15" s="317" t="s">
        <v>2152</v>
      </c>
      <c r="P15" s="317" t="s">
        <v>2152</v>
      </c>
      <c r="Q15" s="317" t="s">
        <v>2153</v>
      </c>
      <c r="R15" s="317" t="s">
        <v>2153</v>
      </c>
    </row>
    <row r="16">
      <c r="A16" s="159" t="s">
        <v>62</v>
      </c>
      <c r="B16" s="160" t="s">
        <v>63</v>
      </c>
      <c r="C16" s="170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6" s="226" t="s">
        <v>2154</v>
      </c>
      <c r="E16" s="225" t="s">
        <v>2155</v>
      </c>
      <c r="F16" s="225" t="s">
        <v>2156</v>
      </c>
      <c r="G16" s="225" t="s">
        <v>1966</v>
      </c>
      <c r="H16" s="225" t="s">
        <v>1967</v>
      </c>
      <c r="I16" s="225" t="s">
        <v>1967</v>
      </c>
      <c r="J16" s="225" t="s">
        <v>1967</v>
      </c>
      <c r="K16" s="225" t="s">
        <v>1968</v>
      </c>
      <c r="L16" s="225" t="s">
        <v>1969</v>
      </c>
      <c r="M16" s="225" t="s">
        <v>1970</v>
      </c>
      <c r="N16" s="225" t="s">
        <v>1971</v>
      </c>
      <c r="O16" s="225" t="s">
        <v>1723</v>
      </c>
      <c r="P16" s="225" t="s">
        <v>1724</v>
      </c>
      <c r="Q16" s="225" t="s">
        <v>1725</v>
      </c>
      <c r="R16" s="320" t="s">
        <v>1726</v>
      </c>
    </row>
    <row r="17">
      <c r="A17" s="195" t="s">
        <v>317</v>
      </c>
      <c r="B17" s="196" t="s">
        <v>318</v>
      </c>
      <c r="C17" s="197" t="str">
        <f>HYPERLINK("https://play.google.com/store/apps/details?id=com.google.android.ims","com.google.android.ims")</f>
        <v>com.google.android.ims</v>
      </c>
      <c r="D17" s="344"/>
      <c r="E17" s="280"/>
      <c r="F17" s="280" t="s">
        <v>2157</v>
      </c>
      <c r="G17" s="280" t="s">
        <v>1972</v>
      </c>
      <c r="H17" s="267" t="s">
        <v>1973</v>
      </c>
      <c r="I17" s="267" t="s">
        <v>1974</v>
      </c>
      <c r="J17" s="267" t="s">
        <v>1974</v>
      </c>
      <c r="K17" s="267" t="s">
        <v>1974</v>
      </c>
      <c r="L17" s="280" t="s">
        <v>1975</v>
      </c>
      <c r="M17" s="280" t="s">
        <v>1976</v>
      </c>
      <c r="N17" s="280" t="s">
        <v>1733</v>
      </c>
      <c r="O17" s="280" t="s">
        <v>1733</v>
      </c>
      <c r="P17" s="280" t="s">
        <v>1734</v>
      </c>
      <c r="Q17" s="225" t="s">
        <v>1735</v>
      </c>
      <c r="R17" s="320" t="s">
        <v>1736</v>
      </c>
    </row>
    <row r="18">
      <c r="A18" s="198" t="s">
        <v>187</v>
      </c>
      <c r="B18" s="199" t="s">
        <v>188</v>
      </c>
      <c r="C18" s="200" t="str">
        <f>HYPERLINK("https://play.google.com/store/apps/details?id=com.google.android.contacts","com.google.android.contacts")</f>
        <v>com.google.android.contacts</v>
      </c>
      <c r="D18" s="344"/>
      <c r="E18" s="280"/>
      <c r="F18" s="280" t="s">
        <v>1977</v>
      </c>
      <c r="G18" s="280" t="s">
        <v>1977</v>
      </c>
      <c r="H18" s="267" t="s">
        <v>1978</v>
      </c>
      <c r="I18" s="267" t="s">
        <v>1978</v>
      </c>
      <c r="J18" s="280" t="s">
        <v>1979</v>
      </c>
      <c r="K18" s="280" t="s">
        <v>1979</v>
      </c>
      <c r="L18" s="280" t="s">
        <v>1980</v>
      </c>
      <c r="M18" s="280" t="s">
        <v>1981</v>
      </c>
      <c r="N18" s="280" t="s">
        <v>1852</v>
      </c>
      <c r="O18" s="280" t="s">
        <v>1852</v>
      </c>
      <c r="P18" s="280" t="s">
        <v>1853</v>
      </c>
      <c r="Q18" s="225" t="s">
        <v>1853</v>
      </c>
      <c r="R18" s="320" t="s">
        <v>1854</v>
      </c>
    </row>
    <row r="19">
      <c r="A19" s="198" t="s">
        <v>97</v>
      </c>
      <c r="B19" s="199" t="s">
        <v>98</v>
      </c>
      <c r="C19" s="200" t="str">
        <f>HYPERLINK("https://play.google.com/store/apps/details?id=com.google.android.dialer","com.google.android.dialer")</f>
        <v>com.google.android.dialer</v>
      </c>
      <c r="D19" s="344"/>
      <c r="E19" s="280"/>
      <c r="F19" s="280" t="s">
        <v>2158</v>
      </c>
      <c r="G19" s="280" t="s">
        <v>1982</v>
      </c>
      <c r="H19" s="267" t="s">
        <v>1983</v>
      </c>
      <c r="I19" s="267" t="s">
        <v>1984</v>
      </c>
      <c r="J19" s="280" t="s">
        <v>1985</v>
      </c>
      <c r="K19" s="280" t="s">
        <v>1985</v>
      </c>
      <c r="L19" s="280" t="s">
        <v>1986</v>
      </c>
      <c r="M19" s="280" t="s">
        <v>1987</v>
      </c>
      <c r="N19" s="280" t="s">
        <v>1987</v>
      </c>
      <c r="O19" s="280" t="s">
        <v>1743</v>
      </c>
      <c r="P19" s="280" t="s">
        <v>1744</v>
      </c>
      <c r="Q19" s="225" t="s">
        <v>1745</v>
      </c>
      <c r="R19" s="320" t="s">
        <v>1746</v>
      </c>
    </row>
    <row r="20">
      <c r="A20" s="198" t="s">
        <v>1281</v>
      </c>
      <c r="B20" s="199" t="s">
        <v>1282</v>
      </c>
      <c r="C20" s="161" t="s">
        <v>1283</v>
      </c>
      <c r="D20" s="344" t="s">
        <v>2159</v>
      </c>
      <c r="E20" s="280" t="s">
        <v>2159</v>
      </c>
      <c r="F20" s="280" t="s">
        <v>2159</v>
      </c>
      <c r="G20" s="280" t="s">
        <v>2159</v>
      </c>
      <c r="H20" s="280" t="s">
        <v>2159</v>
      </c>
      <c r="I20" s="280" t="s">
        <v>2159</v>
      </c>
      <c r="J20" s="280" t="s">
        <v>2159</v>
      </c>
      <c r="K20" s="280" t="s">
        <v>2159</v>
      </c>
      <c r="L20" s="280" t="s">
        <v>2159</v>
      </c>
      <c r="M20" s="280" t="s">
        <v>2159</v>
      </c>
      <c r="N20" s="280" t="s">
        <v>2159</v>
      </c>
      <c r="O20" s="280" t="s">
        <v>2159</v>
      </c>
      <c r="P20" s="280" t="s">
        <v>2159</v>
      </c>
      <c r="Q20" s="280" t="s">
        <v>2159</v>
      </c>
      <c r="R20" s="280" t="s">
        <v>2159</v>
      </c>
    </row>
    <row r="21">
      <c r="A21" s="198" t="s">
        <v>327</v>
      </c>
      <c r="B21" s="199" t="s">
        <v>328</v>
      </c>
      <c r="C21" s="161" t="s">
        <v>329</v>
      </c>
      <c r="D21" s="351" t="s">
        <v>330</v>
      </c>
      <c r="E21" s="323" t="s">
        <v>330</v>
      </c>
      <c r="F21" s="323" t="s">
        <v>330</v>
      </c>
      <c r="G21" s="323" t="s">
        <v>330</v>
      </c>
      <c r="H21" s="323" t="s">
        <v>330</v>
      </c>
      <c r="I21" s="323" t="s">
        <v>330</v>
      </c>
      <c r="J21" s="323" t="s">
        <v>330</v>
      </c>
      <c r="K21" s="323" t="s">
        <v>330</v>
      </c>
      <c r="L21" s="323" t="s">
        <v>330</v>
      </c>
      <c r="M21" s="323" t="s">
        <v>330</v>
      </c>
      <c r="N21" s="323" t="s">
        <v>330</v>
      </c>
      <c r="O21" s="323" t="s">
        <v>330</v>
      </c>
      <c r="P21" s="323" t="s">
        <v>330</v>
      </c>
      <c r="Q21" s="323" t="s">
        <v>330</v>
      </c>
      <c r="R21" s="323" t="s">
        <v>330</v>
      </c>
    </row>
    <row r="22">
      <c r="A22" s="122" t="s">
        <v>1759</v>
      </c>
      <c r="B22" s="161" t="s">
        <v>1760</v>
      </c>
      <c r="C22" s="161" t="s">
        <v>1761</v>
      </c>
      <c r="D22" s="226" t="s">
        <v>2136</v>
      </c>
      <c r="E22" s="225" t="s">
        <v>2136</v>
      </c>
      <c r="F22" s="225" t="s">
        <v>2136</v>
      </c>
      <c r="G22" s="225" t="s">
        <v>2136</v>
      </c>
      <c r="H22" s="225" t="s">
        <v>2136</v>
      </c>
      <c r="I22" s="225" t="s">
        <v>2136</v>
      </c>
      <c r="J22" s="225" t="s">
        <v>2136</v>
      </c>
      <c r="K22" s="225" t="s">
        <v>2136</v>
      </c>
      <c r="L22" s="225" t="s">
        <v>2136</v>
      </c>
      <c r="M22" s="225" t="s">
        <v>2136</v>
      </c>
      <c r="N22" s="225" t="s">
        <v>2136</v>
      </c>
      <c r="O22" s="225" t="s">
        <v>2136</v>
      </c>
      <c r="P22" s="225" t="s">
        <v>2136</v>
      </c>
      <c r="Q22" s="225" t="s">
        <v>2136</v>
      </c>
      <c r="R22" s="225" t="s">
        <v>2136</v>
      </c>
    </row>
    <row r="23">
      <c r="A23" s="29" t="s">
        <v>110</v>
      </c>
      <c r="B23" s="11" t="s">
        <v>111</v>
      </c>
      <c r="C23" s="11" t="s">
        <v>112</v>
      </c>
      <c r="D23" s="37" t="s">
        <v>2160</v>
      </c>
      <c r="E23" s="36" t="s">
        <v>2161</v>
      </c>
      <c r="F23" s="36" t="s">
        <v>2162</v>
      </c>
      <c r="G23" s="36" t="s">
        <v>2162</v>
      </c>
      <c r="H23" s="36" t="s">
        <v>2163</v>
      </c>
      <c r="I23" s="36" t="s">
        <v>2163</v>
      </c>
      <c r="J23" s="36" t="s">
        <v>2164</v>
      </c>
      <c r="K23" s="36" t="s">
        <v>2164</v>
      </c>
      <c r="L23" s="36" t="s">
        <v>2164</v>
      </c>
      <c r="M23" s="36" t="s">
        <v>2164</v>
      </c>
      <c r="N23" s="306" t="s">
        <v>2165</v>
      </c>
      <c r="O23" s="306" t="s">
        <v>2165</v>
      </c>
      <c r="P23" s="306" t="s">
        <v>2165</v>
      </c>
      <c r="Q23" s="306" t="s">
        <v>2165</v>
      </c>
      <c r="R23" s="336" t="s">
        <v>2166</v>
      </c>
    </row>
    <row r="24">
      <c r="A24" s="48" t="s">
        <v>113</v>
      </c>
      <c r="B24" s="5"/>
      <c r="C24" s="30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</row>
    <row r="25">
      <c r="A25" s="159" t="s">
        <v>114</v>
      </c>
      <c r="B25" s="160" t="s">
        <v>114</v>
      </c>
      <c r="C25" s="208" t="str">
        <f>HYPERLINK("https://play.google.com/store/apps/details?id=com.android.chrome",HYPERLINK("https://play.google.com/store/apps/details?id=com.android.chrome","com.android.chrome"))</f>
        <v>com.android.chrome</v>
      </c>
      <c r="D25" s="226" t="s">
        <v>2167</v>
      </c>
      <c r="E25" s="257" t="s">
        <v>2168</v>
      </c>
      <c r="F25" s="257" t="s">
        <v>2169</v>
      </c>
      <c r="G25" s="257" t="s">
        <v>1992</v>
      </c>
      <c r="H25" s="257" t="s">
        <v>1993</v>
      </c>
      <c r="I25" s="257" t="s">
        <v>1994</v>
      </c>
      <c r="J25" s="257" t="s">
        <v>1994</v>
      </c>
      <c r="K25" s="257" t="s">
        <v>1995</v>
      </c>
      <c r="L25" s="257" t="s">
        <v>1996</v>
      </c>
      <c r="M25" s="257" t="s">
        <v>1996</v>
      </c>
      <c r="N25" s="257" t="s">
        <v>1997</v>
      </c>
      <c r="O25" s="257" t="s">
        <v>1765</v>
      </c>
      <c r="P25" s="257" t="s">
        <v>1765</v>
      </c>
      <c r="Q25" s="257" t="s">
        <v>1766</v>
      </c>
      <c r="R25" s="324" t="s">
        <v>1767</v>
      </c>
    </row>
    <row r="26">
      <c r="A26" s="159" t="s">
        <v>117</v>
      </c>
      <c r="B26" s="160" t="s">
        <v>117</v>
      </c>
      <c r="C26" s="170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6" s="226" t="s">
        <v>2170</v>
      </c>
      <c r="E26" s="225" t="s">
        <v>2171</v>
      </c>
      <c r="F26" s="225" t="s">
        <v>2172</v>
      </c>
      <c r="G26" s="225" t="s">
        <v>1998</v>
      </c>
      <c r="H26" s="332" t="s">
        <v>1999</v>
      </c>
      <c r="I26" s="332" t="s">
        <v>1999</v>
      </c>
      <c r="J26" s="225" t="s">
        <v>2000</v>
      </c>
      <c r="K26" s="225" t="s">
        <v>2001</v>
      </c>
      <c r="L26" s="225" t="s">
        <v>2002</v>
      </c>
      <c r="M26" s="225" t="s">
        <v>2002</v>
      </c>
      <c r="N26" s="225" t="s">
        <v>2003</v>
      </c>
      <c r="O26" s="225" t="s">
        <v>1771</v>
      </c>
      <c r="P26" s="225" t="s">
        <v>1772</v>
      </c>
      <c r="Q26" s="225" t="s">
        <v>1773</v>
      </c>
      <c r="R26" s="320" t="s">
        <v>1774</v>
      </c>
    </row>
    <row r="27">
      <c r="A27" s="159" t="s">
        <v>886</v>
      </c>
      <c r="B27" s="160" t="s">
        <v>886</v>
      </c>
      <c r="C27" s="209" t="str">
        <f>HYPERLINK("https://play.google.com/store/apps/details?id=com.google.android.apps.tachyon","com.google.android.apps.tachyon")</f>
        <v>com.google.android.apps.tachyon</v>
      </c>
      <c r="D27" s="352" t="s">
        <v>2173</v>
      </c>
      <c r="E27" s="325" t="s">
        <v>2174</v>
      </c>
      <c r="F27" s="325" t="s">
        <v>2175</v>
      </c>
      <c r="G27" s="325" t="s">
        <v>2004</v>
      </c>
      <c r="H27" s="337" t="s">
        <v>2005</v>
      </c>
      <c r="I27" s="337" t="s">
        <v>2006</v>
      </c>
      <c r="J27" s="325" t="s">
        <v>2007</v>
      </c>
      <c r="K27" s="325" t="s">
        <v>2008</v>
      </c>
      <c r="L27" s="325" t="s">
        <v>2009</v>
      </c>
      <c r="M27" s="353" t="s">
        <v>2010</v>
      </c>
      <c r="N27" s="325" t="s">
        <v>2011</v>
      </c>
      <c r="O27" s="325" t="s">
        <v>1779</v>
      </c>
      <c r="P27" s="325" t="s">
        <v>1780</v>
      </c>
      <c r="Q27" s="325" t="s">
        <v>1781</v>
      </c>
      <c r="R27" s="338" t="s">
        <v>1782</v>
      </c>
    </row>
    <row r="28">
      <c r="A28" s="159" t="s">
        <v>123</v>
      </c>
      <c r="B28" s="160" t="s">
        <v>124</v>
      </c>
      <c r="C28" s="170" t="str">
        <f>HYPERLINK("https://play.google.com/store/apps/details?id=com.google.android.gm",HYPERLINK("https://play.google.com/store/apps/details?id=com.google.android.gm","com.google.android.gm"))</f>
        <v>com.google.android.gm</v>
      </c>
      <c r="D28" s="226" t="s">
        <v>2176</v>
      </c>
      <c r="E28" s="225" t="s">
        <v>2177</v>
      </c>
      <c r="F28" s="225" t="s">
        <v>2178</v>
      </c>
      <c r="G28" s="225" t="s">
        <v>2012</v>
      </c>
      <c r="H28" s="225" t="s">
        <v>2013</v>
      </c>
      <c r="I28" s="225" t="s">
        <v>2014</v>
      </c>
      <c r="J28" s="225" t="s">
        <v>2015</v>
      </c>
      <c r="K28" s="225" t="s">
        <v>2016</v>
      </c>
      <c r="L28" s="225" t="s">
        <v>2017</v>
      </c>
      <c r="M28" s="225" t="s">
        <v>2018</v>
      </c>
      <c r="N28" s="225" t="s">
        <v>2019</v>
      </c>
      <c r="O28" s="225" t="s">
        <v>1787</v>
      </c>
      <c r="P28" s="225" t="s">
        <v>1788</v>
      </c>
      <c r="Q28" s="225" t="s">
        <v>1789</v>
      </c>
      <c r="R28" s="320" t="s">
        <v>1790</v>
      </c>
    </row>
    <row r="29">
      <c r="A29" s="159" t="s">
        <v>127</v>
      </c>
      <c r="B29" s="160" t="s">
        <v>128</v>
      </c>
      <c r="C29" s="161" t="s">
        <v>129</v>
      </c>
      <c r="D29" s="226" t="s">
        <v>2020</v>
      </c>
      <c r="E29" s="225" t="s">
        <v>2020</v>
      </c>
      <c r="F29" s="225" t="s">
        <v>2020</v>
      </c>
      <c r="G29" s="225" t="s">
        <v>2020</v>
      </c>
      <c r="H29" s="225" t="s">
        <v>2020</v>
      </c>
      <c r="I29" s="225" t="s">
        <v>2020</v>
      </c>
      <c r="J29" s="225" t="s">
        <v>2020</v>
      </c>
      <c r="K29" s="225" t="s">
        <v>2020</v>
      </c>
      <c r="L29" s="225" t="s">
        <v>2020</v>
      </c>
      <c r="M29" s="225" t="s">
        <v>2020</v>
      </c>
      <c r="N29" s="225" t="s">
        <v>2020</v>
      </c>
      <c r="O29" s="225" t="s">
        <v>2020</v>
      </c>
      <c r="P29" s="225" t="s">
        <v>2020</v>
      </c>
      <c r="Q29" s="225" t="s">
        <v>2020</v>
      </c>
      <c r="R29" s="225" t="s">
        <v>2020</v>
      </c>
    </row>
    <row r="30">
      <c r="A30" s="159" t="s">
        <v>1098</v>
      </c>
      <c r="B30" s="160" t="s">
        <v>1099</v>
      </c>
      <c r="C30" s="161" t="s">
        <v>1100</v>
      </c>
      <c r="D30" s="226" t="s">
        <v>2136</v>
      </c>
      <c r="E30" s="225" t="s">
        <v>2136</v>
      </c>
      <c r="F30" s="225" t="s">
        <v>2136</v>
      </c>
      <c r="G30" s="225" t="s">
        <v>2136</v>
      </c>
      <c r="H30" s="225" t="s">
        <v>2136</v>
      </c>
      <c r="I30" s="225" t="s">
        <v>2136</v>
      </c>
      <c r="J30" s="225" t="s">
        <v>2136</v>
      </c>
      <c r="K30" s="225" t="s">
        <v>2136</v>
      </c>
      <c r="L30" s="225" t="s">
        <v>2136</v>
      </c>
      <c r="M30" s="225" t="s">
        <v>2136</v>
      </c>
      <c r="N30" s="225" t="s">
        <v>2136</v>
      </c>
      <c r="O30" s="225" t="s">
        <v>2136</v>
      </c>
      <c r="P30" s="225" t="s">
        <v>2136</v>
      </c>
      <c r="Q30" s="225" t="s">
        <v>2136</v>
      </c>
      <c r="R30" s="225" t="s">
        <v>2136</v>
      </c>
    </row>
    <row r="31">
      <c r="A31" s="159" t="s">
        <v>1798</v>
      </c>
      <c r="B31" s="160" t="s">
        <v>1798</v>
      </c>
      <c r="C31" s="170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31" s="226" t="s">
        <v>2021</v>
      </c>
      <c r="E31" s="225" t="s">
        <v>2021</v>
      </c>
      <c r="F31" s="225" t="s">
        <v>2021</v>
      </c>
      <c r="G31" s="225" t="s">
        <v>2021</v>
      </c>
      <c r="H31" s="225" t="s">
        <v>2022</v>
      </c>
      <c r="I31" s="225" t="s">
        <v>1799</v>
      </c>
      <c r="J31" s="225" t="s">
        <v>1799</v>
      </c>
      <c r="K31" s="225" t="s">
        <v>1799</v>
      </c>
      <c r="L31" s="225" t="s">
        <v>1799</v>
      </c>
      <c r="M31" s="225" t="s">
        <v>1799</v>
      </c>
      <c r="N31" s="225" t="s">
        <v>1799</v>
      </c>
      <c r="O31" s="225" t="s">
        <v>1799</v>
      </c>
      <c r="P31" s="225" t="s">
        <v>1799</v>
      </c>
      <c r="Q31" s="225" t="s">
        <v>1799</v>
      </c>
      <c r="R31" s="225" t="s">
        <v>1799</v>
      </c>
    </row>
    <row r="32">
      <c r="A32" s="159" t="s">
        <v>131</v>
      </c>
      <c r="B32" s="160" t="s">
        <v>131</v>
      </c>
      <c r="C32" s="170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2" s="226" t="s">
        <v>2023</v>
      </c>
      <c r="E32" s="225" t="s">
        <v>2023</v>
      </c>
      <c r="F32" s="225" t="s">
        <v>2023</v>
      </c>
      <c r="G32" s="225" t="s">
        <v>2023</v>
      </c>
      <c r="H32" s="225" t="s">
        <v>2023</v>
      </c>
      <c r="I32" s="225" t="s">
        <v>2024</v>
      </c>
      <c r="J32" s="225" t="s">
        <v>2025</v>
      </c>
      <c r="K32" s="225" t="s">
        <v>2026</v>
      </c>
      <c r="L32" s="225" t="s">
        <v>2027</v>
      </c>
      <c r="M32" s="225" t="s">
        <v>2028</v>
      </c>
      <c r="N32" s="225" t="s">
        <v>2029</v>
      </c>
      <c r="O32" s="225" t="s">
        <v>1801</v>
      </c>
      <c r="P32" s="225" t="s">
        <v>1802</v>
      </c>
      <c r="Q32" s="225" t="s">
        <v>1802</v>
      </c>
      <c r="R32" s="225" t="s">
        <v>1802</v>
      </c>
    </row>
    <row r="33">
      <c r="A33" s="159" t="s">
        <v>1594</v>
      </c>
      <c r="B33" s="160" t="s">
        <v>1595</v>
      </c>
      <c r="C33" s="170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3" s="226" t="s">
        <v>2179</v>
      </c>
      <c r="E33" s="225" t="s">
        <v>2180</v>
      </c>
      <c r="F33" s="225" t="s">
        <v>2180</v>
      </c>
      <c r="G33" s="225" t="s">
        <v>2030</v>
      </c>
      <c r="H33" s="225" t="s">
        <v>2031</v>
      </c>
      <c r="I33" s="225" t="s">
        <v>2031</v>
      </c>
      <c r="J33" s="225" t="s">
        <v>2032</v>
      </c>
      <c r="K33" s="225" t="s">
        <v>2032</v>
      </c>
      <c r="L33" s="225" t="s">
        <v>2033</v>
      </c>
      <c r="M33" s="225" t="s">
        <v>2034</v>
      </c>
      <c r="N33" s="225" t="s">
        <v>2035</v>
      </c>
      <c r="O33" s="225" t="s">
        <v>1803</v>
      </c>
      <c r="P33" s="225" t="s">
        <v>1803</v>
      </c>
      <c r="Q33" s="225" t="s">
        <v>1804</v>
      </c>
      <c r="R33" s="320" t="s">
        <v>1805</v>
      </c>
    </row>
    <row r="34">
      <c r="A34" s="159" t="s">
        <v>134</v>
      </c>
      <c r="B34" s="160" t="s">
        <v>135</v>
      </c>
      <c r="C34" s="210" t="str">
        <f>HYPERLINK("https://play.google.com/store/apps/details?id=com.google.android.apps.photos","com.google.android.apps.photos")</f>
        <v>com.google.android.apps.photos</v>
      </c>
      <c r="D34" s="226" t="s">
        <v>2181</v>
      </c>
      <c r="E34" s="225" t="s">
        <v>2182</v>
      </c>
      <c r="F34" s="225" t="s">
        <v>2183</v>
      </c>
      <c r="G34" s="225" t="s">
        <v>2036</v>
      </c>
      <c r="H34" s="225" t="s">
        <v>2037</v>
      </c>
      <c r="I34" s="225" t="s">
        <v>2038</v>
      </c>
      <c r="J34" s="332" t="s">
        <v>2039</v>
      </c>
      <c r="K34" s="225" t="s">
        <v>2040</v>
      </c>
      <c r="L34" s="225" t="s">
        <v>2041</v>
      </c>
      <c r="M34" s="225" t="s">
        <v>2042</v>
      </c>
      <c r="N34" s="225" t="s">
        <v>2043</v>
      </c>
      <c r="O34" s="225" t="s">
        <v>1810</v>
      </c>
      <c r="P34" s="225" t="s">
        <v>1811</v>
      </c>
      <c r="Q34" s="225" t="s">
        <v>1812</v>
      </c>
      <c r="R34" s="320" t="s">
        <v>1813</v>
      </c>
    </row>
    <row r="35">
      <c r="A35" s="159" t="s">
        <v>138</v>
      </c>
      <c r="B35" s="160" t="s">
        <v>139</v>
      </c>
      <c r="C35" s="170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5" s="226" t="s">
        <v>2184</v>
      </c>
      <c r="E35" s="225" t="s">
        <v>2184</v>
      </c>
      <c r="F35" s="225" t="s">
        <v>2185</v>
      </c>
      <c r="G35" s="225" t="s">
        <v>2044</v>
      </c>
      <c r="H35" s="225" t="s">
        <v>2044</v>
      </c>
      <c r="I35" s="225" t="s">
        <v>2044</v>
      </c>
      <c r="J35" s="225" t="s">
        <v>2045</v>
      </c>
      <c r="K35" s="225" t="s">
        <v>2046</v>
      </c>
      <c r="L35" s="225" t="s">
        <v>2047</v>
      </c>
      <c r="M35" s="225" t="s">
        <v>2048</v>
      </c>
      <c r="N35" s="225" t="s">
        <v>2049</v>
      </c>
      <c r="O35" s="225" t="s">
        <v>1819</v>
      </c>
      <c r="P35" s="225" t="s">
        <v>1820</v>
      </c>
      <c r="Q35" s="225" t="s">
        <v>1820</v>
      </c>
      <c r="R35" s="320" t="s">
        <v>1821</v>
      </c>
    </row>
    <row r="36">
      <c r="A36" s="159" t="s">
        <v>142</v>
      </c>
      <c r="B36" s="160" t="s">
        <v>143</v>
      </c>
      <c r="C36" s="170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6" s="226" t="s">
        <v>2167</v>
      </c>
      <c r="E36" s="225" t="s">
        <v>2168</v>
      </c>
      <c r="F36" s="225" t="s">
        <v>2169</v>
      </c>
      <c r="G36" s="225" t="s">
        <v>1992</v>
      </c>
      <c r="H36" s="225" t="s">
        <v>1993</v>
      </c>
      <c r="I36" s="225" t="s">
        <v>1994</v>
      </c>
      <c r="J36" s="225" t="s">
        <v>1994</v>
      </c>
      <c r="K36" s="225" t="s">
        <v>1995</v>
      </c>
      <c r="L36" s="225" t="s">
        <v>1996</v>
      </c>
      <c r="M36" s="225" t="s">
        <v>1996</v>
      </c>
      <c r="N36" s="225" t="s">
        <v>1997</v>
      </c>
      <c r="O36" s="225" t="s">
        <v>1765</v>
      </c>
      <c r="P36" s="225" t="s">
        <v>1765</v>
      </c>
      <c r="Q36" s="225" t="s">
        <v>1766</v>
      </c>
      <c r="R36" s="320" t="s">
        <v>1767</v>
      </c>
    </row>
    <row r="37">
      <c r="A37" s="159" t="s">
        <v>145</v>
      </c>
      <c r="B37" s="160" t="s">
        <v>145</v>
      </c>
      <c r="C37" s="170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7" s="226" t="s">
        <v>2186</v>
      </c>
      <c r="E37" s="225" t="s">
        <v>2187</v>
      </c>
      <c r="F37" s="225" t="s">
        <v>2188</v>
      </c>
      <c r="G37" s="225" t="s">
        <v>2050</v>
      </c>
      <c r="H37" s="225" t="s">
        <v>2051</v>
      </c>
      <c r="I37" s="225" t="s">
        <v>2052</v>
      </c>
      <c r="J37" s="332" t="s">
        <v>2053</v>
      </c>
      <c r="K37" s="225" t="s">
        <v>2054</v>
      </c>
      <c r="L37" s="225" t="s">
        <v>2055</v>
      </c>
      <c r="M37" s="225" t="s">
        <v>2056</v>
      </c>
      <c r="N37" s="225" t="s">
        <v>2057</v>
      </c>
      <c r="O37" s="225" t="s">
        <v>1825</v>
      </c>
      <c r="P37" s="225" t="s">
        <v>1826</v>
      </c>
      <c r="Q37" s="225" t="s">
        <v>1827</v>
      </c>
      <c r="R37" s="320" t="s">
        <v>1828</v>
      </c>
    </row>
    <row r="38">
      <c r="A38" s="159" t="s">
        <v>1388</v>
      </c>
      <c r="B38" s="160" t="s">
        <v>1389</v>
      </c>
      <c r="C38" s="170" t="str">
        <f>HYPERLINK("https://play.google.com/store/apps/details?id=com.google.android.tts",HYPERLINK("https://play.google.com/store/apps/details?id=com.google.android.tts","com.google.android.tts"))</f>
        <v>com.google.android.tts</v>
      </c>
      <c r="D38" s="226" t="s">
        <v>2189</v>
      </c>
      <c r="E38" s="225" t="s">
        <v>2189</v>
      </c>
      <c r="F38" s="225" t="s">
        <v>2189</v>
      </c>
      <c r="G38" s="225" t="s">
        <v>2058</v>
      </c>
      <c r="H38" s="225" t="s">
        <v>2058</v>
      </c>
      <c r="I38" s="225" t="s">
        <v>2059</v>
      </c>
      <c r="J38" s="225" t="s">
        <v>2059</v>
      </c>
      <c r="K38" s="225" t="s">
        <v>2060</v>
      </c>
      <c r="L38" s="225" t="s">
        <v>2060</v>
      </c>
      <c r="M38" s="225" t="s">
        <v>2060</v>
      </c>
      <c r="N38" s="225" t="s">
        <v>1834</v>
      </c>
      <c r="O38" s="225" t="s">
        <v>1834</v>
      </c>
      <c r="P38" s="225" t="s">
        <v>1834</v>
      </c>
      <c r="Q38" s="225" t="s">
        <v>1834</v>
      </c>
      <c r="R38" s="225" t="s">
        <v>1834</v>
      </c>
    </row>
    <row r="39">
      <c r="A39" s="198" t="s">
        <v>157</v>
      </c>
      <c r="B39" s="199" t="s">
        <v>158</v>
      </c>
      <c r="C39" s="161" t="s">
        <v>159</v>
      </c>
      <c r="D39" s="342" t="s">
        <v>947</v>
      </c>
      <c r="E39" s="259" t="s">
        <v>947</v>
      </c>
      <c r="F39" s="259" t="s">
        <v>947</v>
      </c>
      <c r="G39" s="259" t="s">
        <v>948</v>
      </c>
      <c r="H39" s="225" t="s">
        <v>1837</v>
      </c>
      <c r="I39" s="225" t="s">
        <v>1837</v>
      </c>
      <c r="J39" s="225" t="s">
        <v>1837</v>
      </c>
      <c r="K39" s="225" t="s">
        <v>1837</v>
      </c>
      <c r="L39" s="225" t="s">
        <v>1837</v>
      </c>
      <c r="M39" s="225" t="s">
        <v>1837</v>
      </c>
      <c r="N39" s="225" t="s">
        <v>1837</v>
      </c>
      <c r="O39" s="225" t="s">
        <v>1837</v>
      </c>
      <c r="P39" s="225" t="s">
        <v>1837</v>
      </c>
      <c r="Q39" s="259" t="s">
        <v>949</v>
      </c>
      <c r="R39" s="259" t="s">
        <v>949</v>
      </c>
    </row>
    <row r="40">
      <c r="A40" s="198" t="s">
        <v>162</v>
      </c>
      <c r="B40" s="199" t="s">
        <v>163</v>
      </c>
      <c r="C40" s="170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0" s="226" t="s">
        <v>2190</v>
      </c>
      <c r="E40" s="225" t="s">
        <v>2191</v>
      </c>
      <c r="F40" s="225" t="s">
        <v>2192</v>
      </c>
      <c r="G40" s="225" t="s">
        <v>2061</v>
      </c>
      <c r="H40" s="225" t="s">
        <v>2062</v>
      </c>
      <c r="I40" s="225" t="s">
        <v>2063</v>
      </c>
      <c r="J40" s="332" t="s">
        <v>2064</v>
      </c>
      <c r="K40" s="225" t="s">
        <v>2065</v>
      </c>
      <c r="L40" s="225" t="s">
        <v>2066</v>
      </c>
      <c r="M40" s="225" t="s">
        <v>2067</v>
      </c>
      <c r="N40" s="225" t="s">
        <v>2068</v>
      </c>
      <c r="O40" s="225" t="s">
        <v>1838</v>
      </c>
      <c r="P40" s="225" t="s">
        <v>1839</v>
      </c>
      <c r="Q40" s="225" t="s">
        <v>1840</v>
      </c>
      <c r="R40" s="320" t="s">
        <v>1841</v>
      </c>
    </row>
    <row r="41">
      <c r="A41" s="198" t="s">
        <v>179</v>
      </c>
      <c r="B41" s="199" t="s">
        <v>180</v>
      </c>
      <c r="C41" s="222" t="str">
        <f>HYPERLINK("https://play.google.com/store/apps/details?id=com.google.android.deskclock","com.google.android.deskclock")</f>
        <v>com.google.android.deskclock</v>
      </c>
      <c r="D41" s="342" t="s">
        <v>2069</v>
      </c>
      <c r="E41" s="259" t="s">
        <v>2069</v>
      </c>
      <c r="F41" s="259" t="s">
        <v>2069</v>
      </c>
      <c r="G41" s="259" t="s">
        <v>2069</v>
      </c>
      <c r="H41" s="259" t="s">
        <v>2069</v>
      </c>
      <c r="I41" s="259" t="s">
        <v>2069</v>
      </c>
      <c r="J41" s="259" t="s">
        <v>2069</v>
      </c>
      <c r="K41" s="259" t="s">
        <v>2069</v>
      </c>
      <c r="L41" s="259" t="s">
        <v>2069</v>
      </c>
      <c r="M41" s="259" t="s">
        <v>2069</v>
      </c>
      <c r="N41" s="259" t="s">
        <v>2069</v>
      </c>
      <c r="O41" s="259" t="s">
        <v>1847</v>
      </c>
      <c r="P41" s="259" t="s">
        <v>1847</v>
      </c>
      <c r="Q41" s="259" t="s">
        <v>1848</v>
      </c>
      <c r="R41" s="339" t="s">
        <v>1849</v>
      </c>
    </row>
    <row r="42">
      <c r="A42" s="198" t="s">
        <v>1629</v>
      </c>
      <c r="B42" s="199" t="s">
        <v>1630</v>
      </c>
      <c r="C42" s="161" t="s">
        <v>1631</v>
      </c>
      <c r="D42" s="226" t="s">
        <v>2136</v>
      </c>
      <c r="E42" s="225" t="s">
        <v>2136</v>
      </c>
      <c r="F42" s="225" t="s">
        <v>2136</v>
      </c>
      <c r="G42" s="225" t="s">
        <v>2136</v>
      </c>
      <c r="H42" s="225" t="s">
        <v>2136</v>
      </c>
      <c r="I42" s="225" t="s">
        <v>2136</v>
      </c>
      <c r="J42" s="225" t="s">
        <v>2136</v>
      </c>
      <c r="K42" s="225" t="s">
        <v>2136</v>
      </c>
      <c r="L42" s="225" t="s">
        <v>2136</v>
      </c>
      <c r="M42" s="225" t="s">
        <v>2136</v>
      </c>
      <c r="N42" s="225" t="s">
        <v>2136</v>
      </c>
      <c r="O42" s="225" t="s">
        <v>2136</v>
      </c>
      <c r="P42" s="225" t="s">
        <v>2136</v>
      </c>
      <c r="Q42" s="225" t="s">
        <v>2136</v>
      </c>
      <c r="R42" s="225" t="s">
        <v>2136</v>
      </c>
    </row>
    <row r="43">
      <c r="A43" s="198" t="s">
        <v>2070</v>
      </c>
      <c r="B43" s="199" t="s">
        <v>2071</v>
      </c>
      <c r="C43" s="170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43" s="226" t="s">
        <v>2072</v>
      </c>
      <c r="E43" s="225" t="s">
        <v>2072</v>
      </c>
      <c r="F43" s="225" t="s">
        <v>2072</v>
      </c>
      <c r="G43" s="225" t="s">
        <v>2072</v>
      </c>
      <c r="H43" s="225" t="s">
        <v>2072</v>
      </c>
      <c r="I43" s="225" t="s">
        <v>2072</v>
      </c>
      <c r="J43" s="225" t="s">
        <v>2072</v>
      </c>
      <c r="K43" s="225" t="s">
        <v>2072</v>
      </c>
      <c r="L43" s="225" t="s">
        <v>2072</v>
      </c>
      <c r="M43" s="225" t="s">
        <v>2072</v>
      </c>
      <c r="N43" s="225" t="s">
        <v>2072</v>
      </c>
      <c r="O43" s="225" t="s">
        <v>2072</v>
      </c>
      <c r="P43" s="225" t="s">
        <v>2072</v>
      </c>
      <c r="Q43" s="225" t="s">
        <v>1597</v>
      </c>
      <c r="R43" s="225" t="s">
        <v>1597</v>
      </c>
    </row>
    <row r="44">
      <c r="A44" s="198" t="s">
        <v>2073</v>
      </c>
      <c r="B44" s="199" t="s">
        <v>2074</v>
      </c>
      <c r="C44" s="210" t="str">
        <f>HYPERLINK("https://play.google.com/store/apps/details?id=com.google.android.inputmethod.japanese","com.google.android.inputmethod.japanese")</f>
        <v>com.google.android.inputmethod.japanese</v>
      </c>
      <c r="D44" s="226" t="s">
        <v>2075</v>
      </c>
      <c r="E44" s="225" t="s">
        <v>2075</v>
      </c>
      <c r="F44" s="225" t="s">
        <v>2075</v>
      </c>
      <c r="G44" s="225" t="s">
        <v>2075</v>
      </c>
      <c r="H44" s="225" t="s">
        <v>2075</v>
      </c>
      <c r="I44" s="225" t="s">
        <v>2075</v>
      </c>
      <c r="J44" s="225" t="s">
        <v>2075</v>
      </c>
      <c r="K44" s="225" t="s">
        <v>2075</v>
      </c>
      <c r="L44" s="225" t="s">
        <v>2075</v>
      </c>
      <c r="M44" s="225" t="s">
        <v>2075</v>
      </c>
      <c r="N44" s="225" t="s">
        <v>2075</v>
      </c>
      <c r="O44" s="225" t="s">
        <v>2075</v>
      </c>
      <c r="P44" s="225" t="s">
        <v>2075</v>
      </c>
      <c r="Q44" s="225" t="s">
        <v>1597</v>
      </c>
      <c r="R44" s="225" t="s">
        <v>1597</v>
      </c>
    </row>
    <row r="45">
      <c r="A45" s="198" t="s">
        <v>191</v>
      </c>
      <c r="B45" s="199" t="s">
        <v>191</v>
      </c>
      <c r="C45" s="170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45" s="226" t="s">
        <v>2193</v>
      </c>
      <c r="E45" s="225" t="s">
        <v>2194</v>
      </c>
      <c r="F45" s="225" t="s">
        <v>2195</v>
      </c>
      <c r="G45" s="225" t="s">
        <v>2076</v>
      </c>
      <c r="H45" s="225" t="s">
        <v>2077</v>
      </c>
      <c r="I45" s="225" t="s">
        <v>2078</v>
      </c>
      <c r="J45" s="225" t="s">
        <v>2079</v>
      </c>
      <c r="K45" s="225" t="s">
        <v>2080</v>
      </c>
      <c r="L45" s="225" t="s">
        <v>2081</v>
      </c>
      <c r="M45" s="225" t="s">
        <v>2082</v>
      </c>
      <c r="N45" s="225" t="s">
        <v>2083</v>
      </c>
      <c r="O45" s="225" t="s">
        <v>1859</v>
      </c>
      <c r="P45" s="225" t="s">
        <v>1860</v>
      </c>
      <c r="Q45" s="225" t="s">
        <v>1861</v>
      </c>
      <c r="R45" s="320" t="s">
        <v>1862</v>
      </c>
    </row>
    <row r="46">
      <c r="A46" s="198" t="s">
        <v>2084</v>
      </c>
      <c r="B46" s="199" t="s">
        <v>2085</v>
      </c>
      <c r="C46" s="170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46" s="226" t="s">
        <v>2086</v>
      </c>
      <c r="E46" s="225" t="s">
        <v>2086</v>
      </c>
      <c r="F46" s="225" t="s">
        <v>2086</v>
      </c>
      <c r="G46" s="225" t="s">
        <v>2086</v>
      </c>
      <c r="H46" s="225" t="s">
        <v>2086</v>
      </c>
      <c r="I46" s="225" t="s">
        <v>2086</v>
      </c>
      <c r="J46" s="225" t="s">
        <v>2086</v>
      </c>
      <c r="K46" s="225" t="s">
        <v>2086</v>
      </c>
      <c r="L46" s="225" t="s">
        <v>2086</v>
      </c>
      <c r="M46" s="225" t="s">
        <v>1597</v>
      </c>
      <c r="N46" s="225" t="s">
        <v>1597</v>
      </c>
      <c r="O46" s="225" t="s">
        <v>1597</v>
      </c>
      <c r="P46" s="225" t="s">
        <v>1597</v>
      </c>
      <c r="Q46" s="225" t="s">
        <v>1597</v>
      </c>
      <c r="R46" s="225" t="s">
        <v>1597</v>
      </c>
    </row>
    <row r="47">
      <c r="A47" s="198" t="s">
        <v>194</v>
      </c>
      <c r="B47" s="199" t="s">
        <v>195</v>
      </c>
      <c r="C47" s="170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47" s="226" t="s">
        <v>2196</v>
      </c>
      <c r="E47" s="225" t="s">
        <v>2196</v>
      </c>
      <c r="F47" s="225" t="s">
        <v>2196</v>
      </c>
      <c r="G47" s="225" t="s">
        <v>2087</v>
      </c>
      <c r="H47" s="225" t="s">
        <v>2088</v>
      </c>
      <c r="I47" s="225" t="s">
        <v>2088</v>
      </c>
      <c r="J47" s="225" t="s">
        <v>2089</v>
      </c>
      <c r="K47" s="225" t="s">
        <v>2090</v>
      </c>
      <c r="L47" s="225" t="s">
        <v>2091</v>
      </c>
      <c r="M47" s="225" t="s">
        <v>2092</v>
      </c>
      <c r="N47" s="225" t="s">
        <v>2093</v>
      </c>
      <c r="O47" s="225" t="s">
        <v>1867</v>
      </c>
      <c r="P47" s="225" t="s">
        <v>1868</v>
      </c>
      <c r="Q47" s="225" t="s">
        <v>1869</v>
      </c>
      <c r="R47" s="320" t="s">
        <v>1870</v>
      </c>
    </row>
    <row r="48">
      <c r="A48" s="198" t="s">
        <v>198</v>
      </c>
      <c r="B48" s="199" t="s">
        <v>199</v>
      </c>
      <c r="C48" s="170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48" s="344" t="s">
        <v>2094</v>
      </c>
      <c r="E48" s="280" t="s">
        <v>2094</v>
      </c>
      <c r="F48" s="280" t="s">
        <v>2094</v>
      </c>
      <c r="G48" s="280" t="s">
        <v>2094</v>
      </c>
      <c r="H48" s="280" t="s">
        <v>2094</v>
      </c>
      <c r="I48" s="280" t="s">
        <v>2095</v>
      </c>
      <c r="J48" s="280" t="s">
        <v>2095</v>
      </c>
      <c r="K48" s="280" t="s">
        <v>2096</v>
      </c>
      <c r="L48" s="280" t="s">
        <v>2096</v>
      </c>
      <c r="M48" s="280" t="s">
        <v>2096</v>
      </c>
      <c r="N48" s="280" t="s">
        <v>2097</v>
      </c>
      <c r="O48" s="280" t="s">
        <v>2097</v>
      </c>
      <c r="P48" s="280" t="s">
        <v>2097</v>
      </c>
      <c r="Q48" s="225" t="s">
        <v>2097</v>
      </c>
      <c r="R48" s="320" t="s">
        <v>1879</v>
      </c>
    </row>
    <row r="49">
      <c r="A49" s="198" t="s">
        <v>202</v>
      </c>
      <c r="B49" s="199" t="s">
        <v>202</v>
      </c>
      <c r="C49" s="210" t="str">
        <f>HYPERLINK("https://play.google.com/store/apps/details?id=com.google.android.apps.messaging","com.google.android.apps.messaging")</f>
        <v>com.google.android.apps.messaging</v>
      </c>
      <c r="D49" s="226" t="s">
        <v>2197</v>
      </c>
      <c r="E49" s="225" t="s">
        <v>2198</v>
      </c>
      <c r="F49" s="225" t="s">
        <v>2098</v>
      </c>
      <c r="G49" s="225" t="s">
        <v>2098</v>
      </c>
      <c r="H49" s="320" t="s">
        <v>2099</v>
      </c>
      <c r="I49" s="225" t="s">
        <v>2100</v>
      </c>
      <c r="J49" s="225" t="s">
        <v>2100</v>
      </c>
      <c r="K49" s="225" t="s">
        <v>2100</v>
      </c>
      <c r="L49" s="225" t="s">
        <v>2101</v>
      </c>
      <c r="M49" s="225" t="s">
        <v>2102</v>
      </c>
      <c r="N49" s="225" t="s">
        <v>2103</v>
      </c>
      <c r="O49" s="225" t="s">
        <v>1881</v>
      </c>
      <c r="P49" s="225" t="s">
        <v>1881</v>
      </c>
      <c r="Q49" s="225" t="s">
        <v>1882</v>
      </c>
      <c r="R49" s="320" t="s">
        <v>1883</v>
      </c>
    </row>
    <row r="50">
      <c r="A50" s="225" t="s">
        <v>205</v>
      </c>
      <c r="B50" s="226" t="s">
        <v>206</v>
      </c>
      <c r="C50" s="226" t="s">
        <v>207</v>
      </c>
      <c r="D50" s="226" t="s">
        <v>2136</v>
      </c>
      <c r="E50" s="225" t="s">
        <v>2136</v>
      </c>
      <c r="F50" s="225" t="s">
        <v>2136</v>
      </c>
      <c r="G50" s="225" t="s">
        <v>2136</v>
      </c>
      <c r="H50" s="225" t="s">
        <v>2136</v>
      </c>
      <c r="I50" s="225" t="s">
        <v>2136</v>
      </c>
      <c r="J50" s="225" t="s">
        <v>2136</v>
      </c>
      <c r="K50" s="225" t="s">
        <v>2136</v>
      </c>
      <c r="L50" s="225" t="s">
        <v>2136</v>
      </c>
      <c r="M50" s="225" t="s">
        <v>2136</v>
      </c>
      <c r="N50" s="225" t="s">
        <v>2136</v>
      </c>
      <c r="O50" s="225" t="s">
        <v>2136</v>
      </c>
      <c r="P50" s="225" t="s">
        <v>2136</v>
      </c>
      <c r="Q50" s="225" t="s">
        <v>2136</v>
      </c>
      <c r="R50" s="225" t="s">
        <v>2136</v>
      </c>
    </row>
    <row r="51">
      <c r="A51" s="36" t="s">
        <v>208</v>
      </c>
      <c r="B51" s="37" t="s">
        <v>209</v>
      </c>
      <c r="C51" s="37" t="s">
        <v>210</v>
      </c>
      <c r="D51" s="37" t="s">
        <v>2104</v>
      </c>
      <c r="E51" s="36" t="s">
        <v>2104</v>
      </c>
      <c r="F51" s="36" t="s">
        <v>2104</v>
      </c>
      <c r="G51" s="36" t="s">
        <v>2104</v>
      </c>
      <c r="H51" s="36" t="s">
        <v>2104</v>
      </c>
      <c r="I51" s="36" t="s">
        <v>2104</v>
      </c>
      <c r="J51" s="36" t="s">
        <v>2104</v>
      </c>
      <c r="K51" s="36" t="s">
        <v>2104</v>
      </c>
      <c r="L51" s="36" t="s">
        <v>2104</v>
      </c>
      <c r="M51" s="36" t="s">
        <v>2104</v>
      </c>
      <c r="N51" s="36" t="s">
        <v>2104</v>
      </c>
      <c r="O51" s="36" t="s">
        <v>2104</v>
      </c>
      <c r="P51" s="36" t="s">
        <v>2104</v>
      </c>
      <c r="Q51" s="36" t="s">
        <v>2104</v>
      </c>
      <c r="R51" s="36" t="s">
        <v>2104</v>
      </c>
    </row>
  </sheetData>
  <mergeCells count="20"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  <mergeCell ref="A3:B3"/>
    <mergeCell ref="A24:B24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63"/>
    <col customWidth="1" min="2" max="2" width="24.0"/>
    <col customWidth="1" min="3" max="3" width="37.0"/>
    <col customWidth="1" min="4" max="14" width="18.0"/>
    <col customWidth="1" min="15" max="15" width="12.75"/>
  </cols>
  <sheetData>
    <row r="1">
      <c r="A1" s="354" t="s">
        <v>2199</v>
      </c>
      <c r="B1" s="354" t="s">
        <v>2200</v>
      </c>
      <c r="C1" s="354" t="s">
        <v>2201</v>
      </c>
      <c r="D1" s="354" t="s">
        <v>1929</v>
      </c>
      <c r="E1" s="355" t="s">
        <v>1930</v>
      </c>
      <c r="F1" s="355" t="s">
        <v>1931</v>
      </c>
      <c r="G1" s="355" t="s">
        <v>2124</v>
      </c>
      <c r="H1" s="355" t="s">
        <v>2125</v>
      </c>
      <c r="I1" s="355" t="s">
        <v>2126</v>
      </c>
      <c r="J1" s="355" t="s">
        <v>2202</v>
      </c>
      <c r="K1" s="355" t="s">
        <v>2203</v>
      </c>
      <c r="L1" s="355" t="s">
        <v>2204</v>
      </c>
      <c r="M1" s="355" t="s">
        <v>2205</v>
      </c>
      <c r="N1" s="355" t="s">
        <v>2206</v>
      </c>
      <c r="O1" s="356"/>
    </row>
    <row r="2" ht="31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56"/>
    </row>
    <row r="3">
      <c r="A3" s="357" t="s">
        <v>6</v>
      </c>
      <c r="B3" s="91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6"/>
    </row>
    <row r="4">
      <c r="A4" s="359" t="s">
        <v>7</v>
      </c>
      <c r="B4" s="360" t="s">
        <v>7</v>
      </c>
      <c r="C4" s="361" t="s">
        <v>8</v>
      </c>
      <c r="D4" s="162" t="s">
        <v>2207</v>
      </c>
      <c r="E4" s="162" t="s">
        <v>2207</v>
      </c>
      <c r="F4" s="362" t="s">
        <v>2207</v>
      </c>
      <c r="G4" s="162" t="s">
        <v>2207</v>
      </c>
      <c r="H4" s="362" t="s">
        <v>2207</v>
      </c>
      <c r="I4" s="362" t="s">
        <v>2207</v>
      </c>
      <c r="J4" s="362" t="s">
        <v>2207</v>
      </c>
      <c r="K4" s="362" t="s">
        <v>2207</v>
      </c>
      <c r="L4" s="362" t="s">
        <v>2207</v>
      </c>
      <c r="M4" s="362" t="s">
        <v>2207</v>
      </c>
      <c r="N4" s="362" t="s">
        <v>2207</v>
      </c>
      <c r="O4" s="356"/>
    </row>
    <row r="5">
      <c r="A5" s="363" t="s">
        <v>17</v>
      </c>
      <c r="B5" s="364" t="s">
        <v>18</v>
      </c>
      <c r="C5" s="170" t="str">
        <f>HYPERLINK("https://play.google.com/store/apps/details?id=com.google.android.gms",HYPERLINK("https://play.google.com/store/apps/details?id=com.google.android.gms","com.google.android.gms"))</f>
        <v>com.google.android.gms</v>
      </c>
      <c r="D5" s="365" t="s">
        <v>2208</v>
      </c>
      <c r="E5" s="366" t="s">
        <v>2209</v>
      </c>
      <c r="F5" s="367" t="s">
        <v>2209</v>
      </c>
      <c r="G5" s="366" t="s">
        <v>2210</v>
      </c>
      <c r="H5" s="367" t="s">
        <v>2137</v>
      </c>
      <c r="I5" s="262" t="s">
        <v>2138</v>
      </c>
      <c r="J5" s="367" t="s">
        <v>2139</v>
      </c>
      <c r="K5" s="262" t="s">
        <v>1942</v>
      </c>
      <c r="L5" s="262" t="s">
        <v>1943</v>
      </c>
      <c r="M5" s="262" t="s">
        <v>1944</v>
      </c>
      <c r="N5" s="262" t="s">
        <v>1944</v>
      </c>
      <c r="O5" s="356"/>
    </row>
    <row r="6">
      <c r="A6" s="363" t="s">
        <v>1697</v>
      </c>
      <c r="B6" s="364" t="s">
        <v>1698</v>
      </c>
      <c r="C6" s="363" t="s">
        <v>1699</v>
      </c>
      <c r="D6" s="365" t="s">
        <v>2207</v>
      </c>
      <c r="E6" s="365" t="s">
        <v>2207</v>
      </c>
      <c r="F6" s="262" t="s">
        <v>2207</v>
      </c>
      <c r="G6" s="365" t="s">
        <v>2207</v>
      </c>
      <c r="H6" s="262" t="s">
        <v>2207</v>
      </c>
      <c r="I6" s="262" t="s">
        <v>2207</v>
      </c>
      <c r="J6" s="262" t="s">
        <v>2207</v>
      </c>
      <c r="K6" s="262" t="s">
        <v>2207</v>
      </c>
      <c r="L6" s="262" t="s">
        <v>2207</v>
      </c>
      <c r="M6" s="262" t="s">
        <v>2207</v>
      </c>
      <c r="N6" s="262" t="s">
        <v>2207</v>
      </c>
      <c r="O6" s="356"/>
    </row>
    <row r="7">
      <c r="A7" s="363" t="s">
        <v>21</v>
      </c>
      <c r="B7" s="364" t="s">
        <v>22</v>
      </c>
      <c r="C7" s="363" t="s">
        <v>23</v>
      </c>
      <c r="D7" s="365" t="s">
        <v>2207</v>
      </c>
      <c r="E7" s="365" t="s">
        <v>2207</v>
      </c>
      <c r="F7" s="262" t="s">
        <v>2207</v>
      </c>
      <c r="G7" s="365" t="s">
        <v>2207</v>
      </c>
      <c r="H7" s="262" t="s">
        <v>2207</v>
      </c>
      <c r="I7" s="262" t="s">
        <v>2207</v>
      </c>
      <c r="J7" s="262" t="s">
        <v>2207</v>
      </c>
      <c r="K7" s="262" t="s">
        <v>2207</v>
      </c>
      <c r="L7" s="262" t="s">
        <v>2207</v>
      </c>
      <c r="M7" s="262" t="s">
        <v>2207</v>
      </c>
      <c r="N7" s="262" t="s">
        <v>2207</v>
      </c>
      <c r="O7" s="356"/>
    </row>
    <row r="8">
      <c r="A8" s="363" t="s">
        <v>2211</v>
      </c>
      <c r="B8" s="364" t="s">
        <v>2212</v>
      </c>
      <c r="C8" s="363" t="s">
        <v>2213</v>
      </c>
      <c r="D8" s="365" t="s">
        <v>2207</v>
      </c>
      <c r="E8" s="365" t="s">
        <v>2207</v>
      </c>
      <c r="F8" s="262" t="s">
        <v>2207</v>
      </c>
      <c r="G8" s="365" t="s">
        <v>2207</v>
      </c>
      <c r="H8" s="262" t="s">
        <v>2207</v>
      </c>
      <c r="I8" s="262" t="s">
        <v>2207</v>
      </c>
      <c r="J8" s="262" t="s">
        <v>2207</v>
      </c>
      <c r="K8" s="262" t="s">
        <v>2207</v>
      </c>
      <c r="L8" s="262" t="s">
        <v>2207</v>
      </c>
      <c r="M8" s="262" t="s">
        <v>2207</v>
      </c>
      <c r="N8" s="262" t="s">
        <v>2207</v>
      </c>
      <c r="O8" s="356"/>
    </row>
    <row r="9">
      <c r="A9" s="363" t="s">
        <v>261</v>
      </c>
      <c r="B9" s="364" t="s">
        <v>262</v>
      </c>
      <c r="C9" s="363" t="s">
        <v>263</v>
      </c>
      <c r="D9" s="365" t="s">
        <v>2207</v>
      </c>
      <c r="E9" s="365" t="s">
        <v>2207</v>
      </c>
      <c r="F9" s="262" t="s">
        <v>2207</v>
      </c>
      <c r="G9" s="365" t="s">
        <v>2207</v>
      </c>
      <c r="H9" s="262" t="s">
        <v>2207</v>
      </c>
      <c r="I9" s="262" t="s">
        <v>2207</v>
      </c>
      <c r="J9" s="262" t="s">
        <v>2207</v>
      </c>
      <c r="K9" s="262" t="s">
        <v>2207</v>
      </c>
      <c r="L9" s="262" t="s">
        <v>2207</v>
      </c>
      <c r="M9" s="262" t="s">
        <v>2207</v>
      </c>
      <c r="N9" s="262" t="s">
        <v>2207</v>
      </c>
      <c r="O9" s="356"/>
    </row>
    <row r="10">
      <c r="A10" s="363" t="s">
        <v>26</v>
      </c>
      <c r="B10" s="364" t="s">
        <v>27</v>
      </c>
      <c r="C10" s="363" t="s">
        <v>28</v>
      </c>
      <c r="D10" s="365" t="s">
        <v>2207</v>
      </c>
      <c r="E10" s="365" t="s">
        <v>2207</v>
      </c>
      <c r="F10" s="262" t="s">
        <v>2214</v>
      </c>
      <c r="G10" s="365" t="s">
        <v>2214</v>
      </c>
      <c r="H10" s="262" t="s">
        <v>2215</v>
      </c>
      <c r="I10" s="262" t="s">
        <v>2215</v>
      </c>
      <c r="J10" s="262" t="s">
        <v>2215</v>
      </c>
      <c r="K10" s="262" t="s">
        <v>2215</v>
      </c>
      <c r="L10" s="262" t="s">
        <v>2215</v>
      </c>
      <c r="M10" s="262" t="s">
        <v>2215</v>
      </c>
      <c r="N10" s="262" t="s">
        <v>2215</v>
      </c>
      <c r="O10" s="356"/>
    </row>
    <row r="11">
      <c r="A11" s="363" t="s">
        <v>36</v>
      </c>
      <c r="B11" s="364" t="s">
        <v>37</v>
      </c>
      <c r="C11" s="363" t="s">
        <v>38</v>
      </c>
      <c r="D11" s="365" t="s">
        <v>2207</v>
      </c>
      <c r="E11" s="365" t="s">
        <v>2207</v>
      </c>
      <c r="F11" s="262" t="s">
        <v>2207</v>
      </c>
      <c r="G11" s="365" t="s">
        <v>2207</v>
      </c>
      <c r="H11" s="262" t="s">
        <v>2207</v>
      </c>
      <c r="I11" s="262" t="s">
        <v>2207</v>
      </c>
      <c r="J11" s="262" t="s">
        <v>2207</v>
      </c>
      <c r="K11" s="262" t="s">
        <v>2207</v>
      </c>
      <c r="L11" s="262" t="s">
        <v>2207</v>
      </c>
      <c r="M11" s="262" t="s">
        <v>2207</v>
      </c>
      <c r="N11" s="262" t="s">
        <v>2207</v>
      </c>
      <c r="O11" s="356"/>
    </row>
    <row r="12">
      <c r="A12" s="363" t="s">
        <v>48</v>
      </c>
      <c r="B12" s="364" t="s">
        <v>49</v>
      </c>
      <c r="C12" s="363" t="s">
        <v>50</v>
      </c>
      <c r="D12" s="368" t="s">
        <v>2216</v>
      </c>
      <c r="E12" s="368" t="s">
        <v>2217</v>
      </c>
      <c r="F12" s="369" t="s">
        <v>2218</v>
      </c>
      <c r="G12" s="368" t="s">
        <v>2219</v>
      </c>
      <c r="H12" s="369" t="s">
        <v>2220</v>
      </c>
      <c r="I12" s="369" t="s">
        <v>2144</v>
      </c>
      <c r="J12" s="369" t="s">
        <v>2145</v>
      </c>
      <c r="K12" s="369" t="s">
        <v>1950</v>
      </c>
      <c r="L12" s="369" t="s">
        <v>1951</v>
      </c>
      <c r="M12" s="369" t="s">
        <v>1952</v>
      </c>
      <c r="N12" s="370" t="s">
        <v>1953</v>
      </c>
      <c r="O12" s="356"/>
    </row>
    <row r="13">
      <c r="A13" s="363" t="s">
        <v>53</v>
      </c>
      <c r="B13" s="364" t="s">
        <v>54</v>
      </c>
      <c r="C13" s="363" t="s">
        <v>55</v>
      </c>
      <c r="D13" s="365">
        <v>225.3575257</v>
      </c>
      <c r="E13" s="365">
        <v>225.3634892</v>
      </c>
      <c r="F13" s="317" t="s">
        <v>2221</v>
      </c>
      <c r="G13" s="371" t="s">
        <v>2222</v>
      </c>
      <c r="H13" s="317" t="s">
        <v>2223</v>
      </c>
      <c r="I13" s="317" t="s">
        <v>2223</v>
      </c>
      <c r="J13" s="317" t="s">
        <v>2224</v>
      </c>
      <c r="K13" s="317" t="s">
        <v>2224</v>
      </c>
      <c r="L13" s="317" t="s">
        <v>2224</v>
      </c>
      <c r="M13" s="317" t="s">
        <v>2225</v>
      </c>
      <c r="N13" s="372" t="s">
        <v>2226</v>
      </c>
      <c r="O13" s="356"/>
    </row>
    <row r="14">
      <c r="A14" s="363" t="s">
        <v>62</v>
      </c>
      <c r="B14" s="364" t="s">
        <v>63</v>
      </c>
      <c r="C14" s="170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4" s="365" t="s">
        <v>2227</v>
      </c>
      <c r="E14" s="365" t="s">
        <v>2228</v>
      </c>
      <c r="F14" s="367" t="s">
        <v>2229</v>
      </c>
      <c r="G14" s="365" t="s">
        <v>2230</v>
      </c>
      <c r="H14" s="262" t="s">
        <v>2154</v>
      </c>
      <c r="I14" s="262" t="s">
        <v>2155</v>
      </c>
      <c r="J14" s="262" t="s">
        <v>2156</v>
      </c>
      <c r="K14" s="262" t="s">
        <v>1966</v>
      </c>
      <c r="L14" s="262" t="s">
        <v>1967</v>
      </c>
      <c r="M14" s="262" t="s">
        <v>1967</v>
      </c>
      <c r="N14" s="262" t="s">
        <v>1967</v>
      </c>
      <c r="O14" s="356"/>
    </row>
    <row r="15">
      <c r="A15" s="373" t="s">
        <v>317</v>
      </c>
      <c r="B15" s="374" t="s">
        <v>318</v>
      </c>
      <c r="C15" s="197" t="str">
        <f>HYPERLINK("https://play.google.com/store/apps/details?id=com.google.android.ims","com.google.android.ims")</f>
        <v>com.google.android.ims</v>
      </c>
      <c r="D15" s="368"/>
      <c r="E15" s="368"/>
      <c r="F15" s="375"/>
      <c r="G15" s="368"/>
      <c r="H15" s="375"/>
      <c r="I15" s="375"/>
      <c r="J15" s="369" t="s">
        <v>2157</v>
      </c>
      <c r="K15" s="369" t="s">
        <v>1972</v>
      </c>
      <c r="L15" s="376" t="s">
        <v>1973</v>
      </c>
      <c r="M15" s="376" t="s">
        <v>1974</v>
      </c>
      <c r="N15" s="376" t="s">
        <v>1974</v>
      </c>
      <c r="O15" s="356"/>
    </row>
    <row r="16">
      <c r="A16" s="373" t="s">
        <v>187</v>
      </c>
      <c r="B16" s="374" t="s">
        <v>188</v>
      </c>
      <c r="C16" s="200" t="str">
        <f>HYPERLINK("https://play.google.com/store/apps/details?id=com.google.android.contacts","com.google.android.contacts")</f>
        <v>com.google.android.contacts</v>
      </c>
      <c r="D16" s="368"/>
      <c r="E16" s="368"/>
      <c r="F16" s="375"/>
      <c r="G16" s="368"/>
      <c r="H16" s="375"/>
      <c r="I16" s="375"/>
      <c r="J16" s="369" t="s">
        <v>1977</v>
      </c>
      <c r="K16" s="369" t="s">
        <v>1977</v>
      </c>
      <c r="L16" s="376" t="s">
        <v>1978</v>
      </c>
      <c r="M16" s="376" t="s">
        <v>1978</v>
      </c>
      <c r="N16" s="370" t="s">
        <v>1979</v>
      </c>
      <c r="O16" s="356"/>
    </row>
    <row r="17">
      <c r="A17" s="373" t="s">
        <v>97</v>
      </c>
      <c r="B17" s="374" t="s">
        <v>98</v>
      </c>
      <c r="C17" s="200" t="str">
        <f>HYPERLINK("https://play.google.com/store/apps/details?id=com.google.android.dialer","com.google.android.dialer")</f>
        <v>com.google.android.dialer</v>
      </c>
      <c r="D17" s="368"/>
      <c r="E17" s="368"/>
      <c r="F17" s="375"/>
      <c r="G17" s="368"/>
      <c r="H17" s="375"/>
      <c r="I17" s="375"/>
      <c r="J17" s="369" t="s">
        <v>2158</v>
      </c>
      <c r="K17" s="369" t="s">
        <v>1982</v>
      </c>
      <c r="L17" s="376" t="s">
        <v>1983</v>
      </c>
      <c r="M17" s="376" t="s">
        <v>1984</v>
      </c>
      <c r="N17" s="370" t="s">
        <v>1985</v>
      </c>
      <c r="O17" s="356"/>
    </row>
    <row r="18">
      <c r="A18" s="363" t="s">
        <v>327</v>
      </c>
      <c r="B18" s="377" t="s">
        <v>328</v>
      </c>
      <c r="C18" s="363" t="s">
        <v>329</v>
      </c>
      <c r="D18" s="368">
        <v>1.1</v>
      </c>
      <c r="E18" s="368">
        <v>1.1</v>
      </c>
      <c r="F18" s="323" t="s">
        <v>330</v>
      </c>
      <c r="G18" s="368">
        <v>1.1</v>
      </c>
      <c r="H18" s="323" t="s">
        <v>330</v>
      </c>
      <c r="I18" s="323" t="s">
        <v>330</v>
      </c>
      <c r="J18" s="323" t="s">
        <v>330</v>
      </c>
      <c r="K18" s="323" t="s">
        <v>330</v>
      </c>
      <c r="L18" s="323" t="s">
        <v>330</v>
      </c>
      <c r="M18" s="323" t="s">
        <v>330</v>
      </c>
      <c r="N18" s="323" t="s">
        <v>330</v>
      </c>
      <c r="O18" s="356"/>
    </row>
    <row r="19">
      <c r="A19" s="378" t="s">
        <v>1759</v>
      </c>
      <c r="B19" s="379" t="s">
        <v>1760</v>
      </c>
      <c r="C19" s="378" t="s">
        <v>1761</v>
      </c>
      <c r="D19" s="368" t="s">
        <v>2207</v>
      </c>
      <c r="E19" s="368" t="s">
        <v>2207</v>
      </c>
      <c r="F19" s="369" t="s">
        <v>2207</v>
      </c>
      <c r="G19" s="368" t="s">
        <v>2207</v>
      </c>
      <c r="H19" s="369" t="s">
        <v>2207</v>
      </c>
      <c r="I19" s="369" t="s">
        <v>2207</v>
      </c>
      <c r="J19" s="369" t="s">
        <v>2207</v>
      </c>
      <c r="K19" s="369" t="s">
        <v>2207</v>
      </c>
      <c r="L19" s="369" t="s">
        <v>2207</v>
      </c>
      <c r="M19" s="369" t="s">
        <v>2207</v>
      </c>
      <c r="N19" s="369" t="s">
        <v>2207</v>
      </c>
      <c r="O19" s="356"/>
    </row>
    <row r="20">
      <c r="A20" s="380" t="s">
        <v>110</v>
      </c>
      <c r="B20" s="381" t="s">
        <v>111</v>
      </c>
      <c r="C20" s="380" t="s">
        <v>112</v>
      </c>
      <c r="D20" s="382" t="s">
        <v>2231</v>
      </c>
      <c r="E20" s="382" t="s">
        <v>2232</v>
      </c>
      <c r="F20" s="313" t="s">
        <v>2232</v>
      </c>
      <c r="G20" s="382" t="s">
        <v>2232</v>
      </c>
      <c r="H20" s="313" t="s">
        <v>2232</v>
      </c>
      <c r="I20" s="313" t="s">
        <v>2233</v>
      </c>
      <c r="J20" s="313" t="s">
        <v>2234</v>
      </c>
      <c r="K20" s="313" t="s">
        <v>2234</v>
      </c>
      <c r="L20" s="313" t="s">
        <v>2234</v>
      </c>
      <c r="M20" s="313" t="s">
        <v>2234</v>
      </c>
      <c r="N20" s="313" t="s">
        <v>2234</v>
      </c>
      <c r="O20" s="356"/>
    </row>
    <row r="21">
      <c r="A21" s="357" t="s">
        <v>2235</v>
      </c>
      <c r="B21" s="91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6"/>
    </row>
    <row r="22">
      <c r="A22" s="359" t="s">
        <v>2236</v>
      </c>
      <c r="B22" s="360" t="s">
        <v>2237</v>
      </c>
      <c r="C22" s="359" t="s">
        <v>2238</v>
      </c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56"/>
    </row>
    <row r="23">
      <c r="A23" s="384" t="s">
        <v>2239</v>
      </c>
      <c r="B23" s="385" t="s">
        <v>2240</v>
      </c>
      <c r="C23" s="384" t="s">
        <v>2241</v>
      </c>
      <c r="D23" s="386"/>
      <c r="E23" s="386"/>
      <c r="F23" s="386"/>
      <c r="G23" s="386"/>
      <c r="H23" s="386"/>
      <c r="I23" s="386"/>
      <c r="J23" s="386"/>
      <c r="K23" s="386"/>
      <c r="L23" s="386"/>
      <c r="M23" s="386"/>
      <c r="N23" s="386"/>
      <c r="O23" s="356"/>
    </row>
    <row r="24">
      <c r="A24" s="357" t="s">
        <v>113</v>
      </c>
      <c r="B24" s="91"/>
      <c r="C24" s="358"/>
      <c r="D24" s="358"/>
      <c r="E24" s="358"/>
      <c r="F24" s="358"/>
      <c r="G24" s="358"/>
      <c r="H24" s="358"/>
      <c r="I24" s="358"/>
      <c r="J24" s="358"/>
      <c r="K24" s="358"/>
      <c r="L24" s="358"/>
      <c r="M24" s="358"/>
      <c r="N24" s="358"/>
      <c r="O24" s="356"/>
    </row>
    <row r="25">
      <c r="A25" s="359" t="s">
        <v>114</v>
      </c>
      <c r="B25" s="360" t="s">
        <v>114</v>
      </c>
      <c r="C25" s="208" t="str">
        <f>HYPERLINK("https://play.google.com/store/apps/details?id=com.android.chrome",HYPERLINK("https://play.google.com/store/apps/details?id=com.android.chrome","com.android.chrome"))</f>
        <v>com.android.chrome</v>
      </c>
      <c r="D25" s="162" t="s">
        <v>2242</v>
      </c>
      <c r="E25" s="162" t="s">
        <v>2242</v>
      </c>
      <c r="F25" s="362" t="s">
        <v>2243</v>
      </c>
      <c r="G25" s="162" t="s">
        <v>2244</v>
      </c>
      <c r="H25" s="362" t="s">
        <v>2167</v>
      </c>
      <c r="I25" s="362" t="s">
        <v>2168</v>
      </c>
      <c r="J25" s="362" t="s">
        <v>2169</v>
      </c>
      <c r="K25" s="362" t="s">
        <v>1992</v>
      </c>
      <c r="L25" s="362" t="s">
        <v>1993</v>
      </c>
      <c r="M25" s="362" t="s">
        <v>1994</v>
      </c>
      <c r="N25" s="362" t="s">
        <v>1994</v>
      </c>
      <c r="O25" s="356"/>
    </row>
    <row r="26">
      <c r="A26" s="363" t="s">
        <v>117</v>
      </c>
      <c r="B26" s="364" t="s">
        <v>117</v>
      </c>
      <c r="C26" s="170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6" s="365" t="s">
        <v>2245</v>
      </c>
      <c r="E26" s="365" t="s">
        <v>2246</v>
      </c>
      <c r="F26" s="262" t="s">
        <v>2247</v>
      </c>
      <c r="G26" s="365" t="s">
        <v>2248</v>
      </c>
      <c r="H26" s="262" t="s">
        <v>2170</v>
      </c>
      <c r="I26" s="262" t="s">
        <v>2171</v>
      </c>
      <c r="J26" s="262" t="s">
        <v>2172</v>
      </c>
      <c r="K26" s="262" t="s">
        <v>1998</v>
      </c>
      <c r="L26" s="367" t="s">
        <v>1999</v>
      </c>
      <c r="M26" s="367" t="s">
        <v>1999</v>
      </c>
      <c r="N26" s="319" t="s">
        <v>2000</v>
      </c>
      <c r="O26" s="356"/>
    </row>
    <row r="27">
      <c r="A27" s="378" t="s">
        <v>886</v>
      </c>
      <c r="B27" s="379" t="s">
        <v>886</v>
      </c>
      <c r="C27" s="209" t="str">
        <f>HYPERLINK("https://play.google.com/store/apps/details?id=com.google.android.apps.tachyon","com.google.android.apps.tachyon")</f>
        <v>com.google.android.apps.tachyon</v>
      </c>
      <c r="D27" s="387" t="s">
        <v>2249</v>
      </c>
      <c r="E27" s="387" t="s">
        <v>2250</v>
      </c>
      <c r="F27" s="388" t="s">
        <v>2251</v>
      </c>
      <c r="G27" s="387" t="s">
        <v>2252</v>
      </c>
      <c r="H27" s="388" t="s">
        <v>2173</v>
      </c>
      <c r="I27" s="388" t="s">
        <v>2174</v>
      </c>
      <c r="J27" s="388" t="s">
        <v>2175</v>
      </c>
      <c r="K27" s="388" t="s">
        <v>2004</v>
      </c>
      <c r="L27" s="389" t="s">
        <v>2005</v>
      </c>
      <c r="M27" s="389" t="s">
        <v>2006</v>
      </c>
      <c r="N27" s="390" t="s">
        <v>2007</v>
      </c>
      <c r="O27" s="356"/>
    </row>
    <row r="28">
      <c r="A28" s="363" t="s">
        <v>123</v>
      </c>
      <c r="B28" s="364" t="s">
        <v>124</v>
      </c>
      <c r="C28" s="170" t="str">
        <f>HYPERLINK("https://play.google.com/store/apps/details?id=com.google.android.gm",HYPERLINK("https://play.google.com/store/apps/details?id=com.google.android.gm","com.google.android.gm"))</f>
        <v>com.google.android.gm</v>
      </c>
      <c r="D28" s="365" t="s">
        <v>2253</v>
      </c>
      <c r="E28" s="365" t="s">
        <v>2254</v>
      </c>
      <c r="F28" s="262" t="s">
        <v>2255</v>
      </c>
      <c r="G28" s="365" t="s">
        <v>2256</v>
      </c>
      <c r="H28" s="262" t="s">
        <v>2257</v>
      </c>
      <c r="I28" s="262" t="s">
        <v>2258</v>
      </c>
      <c r="J28" s="262" t="s">
        <v>2178</v>
      </c>
      <c r="K28" s="262" t="s">
        <v>2012</v>
      </c>
      <c r="L28" s="262" t="s">
        <v>2013</v>
      </c>
      <c r="M28" s="262" t="s">
        <v>2014</v>
      </c>
      <c r="N28" s="319" t="s">
        <v>2015</v>
      </c>
      <c r="O28" s="356"/>
    </row>
    <row r="29">
      <c r="A29" s="363" t="s">
        <v>127</v>
      </c>
      <c r="B29" s="364" t="s">
        <v>128</v>
      </c>
      <c r="C29" s="363" t="s">
        <v>129</v>
      </c>
      <c r="D29" s="365" t="s">
        <v>2020</v>
      </c>
      <c r="E29" s="365" t="s">
        <v>2020</v>
      </c>
      <c r="F29" s="262" t="s">
        <v>2020</v>
      </c>
      <c r="G29" s="365" t="s">
        <v>2020</v>
      </c>
      <c r="H29" s="262" t="s">
        <v>2020</v>
      </c>
      <c r="I29" s="262" t="s">
        <v>2020</v>
      </c>
      <c r="J29" s="262" t="s">
        <v>2020</v>
      </c>
      <c r="K29" s="262" t="s">
        <v>2020</v>
      </c>
      <c r="L29" s="262" t="s">
        <v>2020</v>
      </c>
      <c r="M29" s="262" t="s">
        <v>2020</v>
      </c>
      <c r="N29" s="262" t="s">
        <v>2020</v>
      </c>
      <c r="O29" s="356"/>
    </row>
    <row r="30">
      <c r="A30" s="363" t="s">
        <v>1098</v>
      </c>
      <c r="B30" s="364" t="s">
        <v>1099</v>
      </c>
      <c r="C30" s="363" t="s">
        <v>1100</v>
      </c>
      <c r="D30" s="365" t="s">
        <v>2207</v>
      </c>
      <c r="E30" s="365" t="s">
        <v>2207</v>
      </c>
      <c r="F30" s="262" t="s">
        <v>2207</v>
      </c>
      <c r="G30" s="365" t="s">
        <v>2259</v>
      </c>
      <c r="H30" s="262" t="s">
        <v>2259</v>
      </c>
      <c r="I30" s="262" t="s">
        <v>2259</v>
      </c>
      <c r="J30" s="262" t="s">
        <v>2259</v>
      </c>
      <c r="K30" s="262" t="s">
        <v>2259</v>
      </c>
      <c r="L30" s="262" t="s">
        <v>2259</v>
      </c>
      <c r="M30" s="262" t="s">
        <v>2259</v>
      </c>
      <c r="N30" s="262" t="s">
        <v>2259</v>
      </c>
      <c r="O30" s="356"/>
    </row>
    <row r="31">
      <c r="A31" s="363" t="s">
        <v>1798</v>
      </c>
      <c r="B31" s="364" t="s">
        <v>1798</v>
      </c>
      <c r="C31" s="170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31" s="365" t="s">
        <v>2260</v>
      </c>
      <c r="E31" s="365" t="s">
        <v>2261</v>
      </c>
      <c r="F31" s="262" t="s">
        <v>2262</v>
      </c>
      <c r="G31" s="365" t="s">
        <v>2021</v>
      </c>
      <c r="H31" s="262" t="s">
        <v>2263</v>
      </c>
      <c r="I31" s="262" t="s">
        <v>2263</v>
      </c>
      <c r="J31" s="262" t="s">
        <v>2263</v>
      </c>
      <c r="K31" s="262" t="s">
        <v>2263</v>
      </c>
      <c r="L31" s="262" t="s">
        <v>2022</v>
      </c>
      <c r="M31" s="262" t="s">
        <v>1799</v>
      </c>
      <c r="N31" s="262" t="s">
        <v>1799</v>
      </c>
      <c r="O31" s="356"/>
    </row>
    <row r="32">
      <c r="A32" s="363" t="s">
        <v>131</v>
      </c>
      <c r="B32" s="364" t="s">
        <v>131</v>
      </c>
      <c r="C32" s="170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2" s="365" t="s">
        <v>2264</v>
      </c>
      <c r="E32" s="365" t="s">
        <v>2265</v>
      </c>
      <c r="F32" s="262" t="s">
        <v>2266</v>
      </c>
      <c r="G32" s="365" t="s">
        <v>2266</v>
      </c>
      <c r="H32" s="262" t="s">
        <v>2266</v>
      </c>
      <c r="I32" s="262" t="s">
        <v>2266</v>
      </c>
      <c r="J32" s="262" t="s">
        <v>2266</v>
      </c>
      <c r="K32" s="262" t="s">
        <v>2266</v>
      </c>
      <c r="L32" s="262" t="s">
        <v>2266</v>
      </c>
      <c r="M32" s="262" t="s">
        <v>2024</v>
      </c>
      <c r="N32" s="319" t="s">
        <v>2025</v>
      </c>
      <c r="O32" s="356"/>
    </row>
    <row r="33">
      <c r="A33" s="363" t="s">
        <v>1594</v>
      </c>
      <c r="B33" s="364" t="s">
        <v>1595</v>
      </c>
      <c r="C33" s="170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3" s="365" t="s">
        <v>2267</v>
      </c>
      <c r="E33" s="365" t="s">
        <v>2268</v>
      </c>
      <c r="F33" s="262" t="s">
        <v>2269</v>
      </c>
      <c r="G33" s="365" t="s">
        <v>2270</v>
      </c>
      <c r="H33" s="262" t="s">
        <v>2179</v>
      </c>
      <c r="I33" s="262" t="s">
        <v>2180</v>
      </c>
      <c r="J33" s="262" t="s">
        <v>2180</v>
      </c>
      <c r="K33" s="262" t="s">
        <v>2030</v>
      </c>
      <c r="L33" s="262" t="s">
        <v>2031</v>
      </c>
      <c r="M33" s="262" t="s">
        <v>2031</v>
      </c>
      <c r="N33" s="319" t="s">
        <v>2032</v>
      </c>
      <c r="O33" s="356"/>
    </row>
    <row r="34">
      <c r="A34" s="363" t="s">
        <v>134</v>
      </c>
      <c r="B34" s="364" t="s">
        <v>135</v>
      </c>
      <c r="C34" s="210" t="str">
        <f>HYPERLINK("https://play.google.com/store/apps/details?id=com.google.android.apps.photos","com.google.android.apps.photos")</f>
        <v>com.google.android.apps.photos</v>
      </c>
      <c r="D34" s="365" t="s">
        <v>2271</v>
      </c>
      <c r="E34" s="365" t="s">
        <v>2272</v>
      </c>
      <c r="F34" s="262" t="s">
        <v>2273</v>
      </c>
      <c r="G34" s="365" t="s">
        <v>2274</v>
      </c>
      <c r="H34" s="262" t="s">
        <v>2181</v>
      </c>
      <c r="I34" s="262" t="s">
        <v>2182</v>
      </c>
      <c r="J34" s="262" t="s">
        <v>2183</v>
      </c>
      <c r="K34" s="262" t="s">
        <v>2036</v>
      </c>
      <c r="L34" s="262" t="s">
        <v>2037</v>
      </c>
      <c r="M34" s="262" t="s">
        <v>2038</v>
      </c>
      <c r="N34" s="391" t="s">
        <v>2039</v>
      </c>
      <c r="O34" s="392"/>
    </row>
    <row r="35">
      <c r="A35" s="363" t="s">
        <v>138</v>
      </c>
      <c r="B35" s="364" t="s">
        <v>139</v>
      </c>
      <c r="C35" s="170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5" s="365" t="s">
        <v>2275</v>
      </c>
      <c r="E35" s="365" t="s">
        <v>2276</v>
      </c>
      <c r="F35" s="262" t="s">
        <v>2277</v>
      </c>
      <c r="G35" s="365" t="s">
        <v>2278</v>
      </c>
      <c r="H35" s="262" t="s">
        <v>2184</v>
      </c>
      <c r="I35" s="262" t="s">
        <v>2184</v>
      </c>
      <c r="J35" s="262" t="s">
        <v>2185</v>
      </c>
      <c r="K35" s="262" t="s">
        <v>2044</v>
      </c>
      <c r="L35" s="262" t="s">
        <v>2044</v>
      </c>
      <c r="M35" s="262" t="s">
        <v>2044</v>
      </c>
      <c r="N35" s="319" t="s">
        <v>2045</v>
      </c>
      <c r="O35" s="356"/>
    </row>
    <row r="36">
      <c r="A36" s="363" t="s">
        <v>142</v>
      </c>
      <c r="B36" s="364" t="s">
        <v>143</v>
      </c>
      <c r="C36" s="170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6" s="365" t="s">
        <v>2242</v>
      </c>
      <c r="E36" s="365" t="s">
        <v>2242</v>
      </c>
      <c r="F36" s="262" t="s">
        <v>2243</v>
      </c>
      <c r="G36" s="365" t="s">
        <v>2244</v>
      </c>
      <c r="H36" s="262" t="s">
        <v>2167</v>
      </c>
      <c r="I36" s="262" t="s">
        <v>2168</v>
      </c>
      <c r="J36" s="262" t="s">
        <v>2169</v>
      </c>
      <c r="K36" s="262" t="s">
        <v>1992</v>
      </c>
      <c r="L36" s="262" t="s">
        <v>1993</v>
      </c>
      <c r="M36" s="262" t="s">
        <v>1994</v>
      </c>
      <c r="N36" s="262" t="s">
        <v>1994</v>
      </c>
      <c r="O36" s="356"/>
    </row>
    <row r="37">
      <c r="A37" s="363" t="s">
        <v>145</v>
      </c>
      <c r="B37" s="364" t="s">
        <v>145</v>
      </c>
      <c r="C37" s="170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7" s="365" t="s">
        <v>2279</v>
      </c>
      <c r="E37" s="365" t="s">
        <v>2280</v>
      </c>
      <c r="F37" s="262" t="s">
        <v>2281</v>
      </c>
      <c r="G37" s="365" t="s">
        <v>2282</v>
      </c>
      <c r="H37" s="262" t="s">
        <v>2186</v>
      </c>
      <c r="I37" s="262" t="s">
        <v>2187</v>
      </c>
      <c r="J37" s="262" t="s">
        <v>2188</v>
      </c>
      <c r="K37" s="262" t="s">
        <v>2050</v>
      </c>
      <c r="L37" s="262" t="s">
        <v>2051</v>
      </c>
      <c r="M37" s="262" t="s">
        <v>2052</v>
      </c>
      <c r="N37" s="391" t="s">
        <v>2053</v>
      </c>
      <c r="O37" s="356"/>
    </row>
    <row r="38">
      <c r="A38" s="363" t="s">
        <v>1388</v>
      </c>
      <c r="B38" s="364" t="s">
        <v>1389</v>
      </c>
      <c r="C38" s="170" t="str">
        <f>HYPERLINK("https://play.google.com/store/apps/details?id=com.google.android.tts",HYPERLINK("https://play.google.com/store/apps/details?id=com.google.android.tts","com.google.android.tts"))</f>
        <v>com.google.android.tts</v>
      </c>
      <c r="D38" s="365" t="s">
        <v>2283</v>
      </c>
      <c r="E38" s="365" t="s">
        <v>2283</v>
      </c>
      <c r="F38" s="262" t="s">
        <v>2283</v>
      </c>
      <c r="G38" s="365" t="s">
        <v>2284</v>
      </c>
      <c r="H38" s="262" t="s">
        <v>2284</v>
      </c>
      <c r="I38" s="262" t="s">
        <v>2284</v>
      </c>
      <c r="J38" s="262" t="s">
        <v>2284</v>
      </c>
      <c r="K38" s="262" t="s">
        <v>2058</v>
      </c>
      <c r="L38" s="262" t="s">
        <v>2058</v>
      </c>
      <c r="M38" s="262" t="s">
        <v>2059</v>
      </c>
      <c r="N38" s="262" t="s">
        <v>2059</v>
      </c>
      <c r="O38" s="356"/>
    </row>
    <row r="39">
      <c r="A39" s="378" t="s">
        <v>2285</v>
      </c>
      <c r="B39" s="393" t="s">
        <v>2286</v>
      </c>
      <c r="C39" s="170" t="str">
        <f>HYPERLINK("https://play.google.com/store/apps/details?id=com.google.android.apps.walletnfcrel",HYPERLINK("https://play.google.com/store/apps/details?id=com.google.android.apps.walletnfcrel","com.google.android.apps.walletnfcrel"))</f>
        <v>com.google.android.apps.walletnfcrel</v>
      </c>
      <c r="D39" s="365" t="s">
        <v>2287</v>
      </c>
      <c r="E39" s="365" t="s">
        <v>2288</v>
      </c>
      <c r="F39" s="262" t="s">
        <v>2289</v>
      </c>
      <c r="G39" s="365" t="s">
        <v>1597</v>
      </c>
      <c r="H39" s="263" t="s">
        <v>1597</v>
      </c>
      <c r="I39" s="262" t="s">
        <v>1597</v>
      </c>
      <c r="J39" s="262" t="s">
        <v>1597</v>
      </c>
      <c r="K39" s="262" t="s">
        <v>1597</v>
      </c>
      <c r="L39" s="262" t="s">
        <v>1597</v>
      </c>
      <c r="M39" s="262" t="s">
        <v>1597</v>
      </c>
      <c r="N39" s="262" t="s">
        <v>1597</v>
      </c>
      <c r="O39" s="356"/>
    </row>
    <row r="40">
      <c r="A40" s="363" t="s">
        <v>2290</v>
      </c>
      <c r="B40" s="377" t="s">
        <v>2291</v>
      </c>
      <c r="C40" s="170" t="str">
        <f>HYPERLINK("https://play.google.com/store/apps/details?id=com.google.android.apps.books","com.google.android.apps.books")</f>
        <v>com.google.android.apps.books</v>
      </c>
      <c r="D40" s="365" t="s">
        <v>2292</v>
      </c>
      <c r="E40" s="365" t="s">
        <v>2292</v>
      </c>
      <c r="F40" s="262" t="s">
        <v>2293</v>
      </c>
      <c r="G40" s="365" t="s">
        <v>1597</v>
      </c>
      <c r="H40" s="262" t="s">
        <v>1597</v>
      </c>
      <c r="I40" s="262" t="s">
        <v>1597</v>
      </c>
      <c r="J40" s="262" t="s">
        <v>1597</v>
      </c>
      <c r="K40" s="262" t="s">
        <v>1597</v>
      </c>
      <c r="L40" s="262" t="s">
        <v>1597</v>
      </c>
      <c r="M40" s="262" t="s">
        <v>1597</v>
      </c>
      <c r="N40" s="262" t="s">
        <v>1597</v>
      </c>
      <c r="O40" s="356"/>
    </row>
    <row r="41">
      <c r="A41" s="378" t="s">
        <v>157</v>
      </c>
      <c r="B41" s="393" t="s">
        <v>158</v>
      </c>
      <c r="C41" s="394" t="s">
        <v>159</v>
      </c>
      <c r="D41" s="365" t="s">
        <v>2294</v>
      </c>
      <c r="E41" s="371" t="s">
        <v>2295</v>
      </c>
      <c r="F41" s="262" t="s">
        <v>2296</v>
      </c>
      <c r="G41" s="365" t="s">
        <v>2296</v>
      </c>
      <c r="H41" s="275" t="s">
        <v>947</v>
      </c>
      <c r="I41" s="275" t="s">
        <v>947</v>
      </c>
      <c r="J41" s="275" t="s">
        <v>947</v>
      </c>
      <c r="K41" s="275" t="s">
        <v>948</v>
      </c>
      <c r="L41" s="262" t="s">
        <v>1837</v>
      </c>
      <c r="M41" s="262" t="s">
        <v>1837</v>
      </c>
      <c r="N41" s="262" t="s">
        <v>1837</v>
      </c>
      <c r="O41" s="356"/>
    </row>
    <row r="42">
      <c r="A42" s="363" t="s">
        <v>162</v>
      </c>
      <c r="B42" s="377" t="s">
        <v>163</v>
      </c>
      <c r="C42" s="170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2" s="365" t="s">
        <v>2297</v>
      </c>
      <c r="E42" s="365" t="s">
        <v>2298</v>
      </c>
      <c r="F42" s="262" t="s">
        <v>2299</v>
      </c>
      <c r="G42" s="365" t="s">
        <v>2300</v>
      </c>
      <c r="H42" s="262" t="s">
        <v>2190</v>
      </c>
      <c r="I42" s="262" t="s">
        <v>2191</v>
      </c>
      <c r="J42" s="262" t="s">
        <v>2192</v>
      </c>
      <c r="K42" s="262" t="s">
        <v>2061</v>
      </c>
      <c r="L42" s="262" t="s">
        <v>2062</v>
      </c>
      <c r="M42" s="262" t="s">
        <v>2063</v>
      </c>
      <c r="N42" s="391" t="s">
        <v>2064</v>
      </c>
      <c r="O42" s="356"/>
    </row>
    <row r="43">
      <c r="A43" s="363" t="s">
        <v>2301</v>
      </c>
      <c r="B43" s="377" t="s">
        <v>2302</v>
      </c>
      <c r="C43" s="170" t="str">
        <f>HYPERLINK("https://play.google.com/store/apps/details?id=com.google.android.apps.cloudprint",HYPERLINK("https://play.google.com/store/apps/details?id=com.google.android.apps.cloudprint","com.google.android.apps.cloudprint"))</f>
        <v>com.google.android.apps.cloudprint</v>
      </c>
      <c r="D43" s="365" t="s">
        <v>2303</v>
      </c>
      <c r="E43" s="365" t="s">
        <v>2303</v>
      </c>
      <c r="F43" s="262" t="s">
        <v>2303</v>
      </c>
      <c r="G43" s="365" t="s">
        <v>1597</v>
      </c>
      <c r="H43" s="262" t="s">
        <v>1597</v>
      </c>
      <c r="I43" s="262" t="s">
        <v>1597</v>
      </c>
      <c r="J43" s="262" t="s">
        <v>1597</v>
      </c>
      <c r="K43" s="262" t="s">
        <v>1597</v>
      </c>
      <c r="L43" s="262" t="s">
        <v>1597</v>
      </c>
      <c r="M43" s="262" t="s">
        <v>1597</v>
      </c>
      <c r="N43" s="262" t="s">
        <v>1597</v>
      </c>
      <c r="O43" s="356"/>
    </row>
    <row r="44">
      <c r="A44" s="363" t="s">
        <v>179</v>
      </c>
      <c r="B44" s="377" t="s">
        <v>180</v>
      </c>
      <c r="C44" s="222" t="str">
        <f>HYPERLINK("https://play.google.com/store/apps/details?id=com.google.android.deskclock","com.google.android.deskclock")</f>
        <v>com.google.android.deskclock</v>
      </c>
      <c r="D44" s="365" t="s">
        <v>2304</v>
      </c>
      <c r="E44" s="365" t="s">
        <v>2304</v>
      </c>
      <c r="F44" s="262" t="s">
        <v>2305</v>
      </c>
      <c r="G44" s="365" t="s">
        <v>2305</v>
      </c>
      <c r="H44" s="275" t="s">
        <v>2069</v>
      </c>
      <c r="I44" s="275" t="s">
        <v>2069</v>
      </c>
      <c r="J44" s="275" t="s">
        <v>2069</v>
      </c>
      <c r="K44" s="275" t="s">
        <v>2069</v>
      </c>
      <c r="L44" s="275" t="s">
        <v>2069</v>
      </c>
      <c r="M44" s="275" t="s">
        <v>2069</v>
      </c>
      <c r="N44" s="275" t="s">
        <v>2069</v>
      </c>
      <c r="O44" s="356"/>
    </row>
    <row r="45">
      <c r="A45" s="363" t="s">
        <v>2306</v>
      </c>
      <c r="B45" s="377" t="s">
        <v>2307</v>
      </c>
      <c r="C45" s="170" t="str">
        <f>HYPERLINK("https://play.google.com/store/apps/details?id=com.google.android.apps.enterprise.dmagent",HYPERLINK("https://play.google.com/store/apps/details?id=com.google.android.apps.enterprise.dmagent","com.google.android.apps.enterprise.dmagent"))</f>
        <v>com.google.android.apps.enterprise.dmagent</v>
      </c>
      <c r="D45" s="365">
        <v>7.03</v>
      </c>
      <c r="E45" s="365">
        <v>7.03</v>
      </c>
      <c r="F45" s="317" t="s">
        <v>2308</v>
      </c>
      <c r="G45" s="365" t="s">
        <v>1597</v>
      </c>
      <c r="H45" s="262" t="s">
        <v>1597</v>
      </c>
      <c r="I45" s="262" t="s">
        <v>1597</v>
      </c>
      <c r="J45" s="262" t="s">
        <v>1597</v>
      </c>
      <c r="K45" s="262" t="s">
        <v>1597</v>
      </c>
      <c r="L45" s="262" t="s">
        <v>1597</v>
      </c>
      <c r="M45" s="262" t="s">
        <v>1597</v>
      </c>
      <c r="N45" s="262" t="s">
        <v>1597</v>
      </c>
      <c r="O45" s="356"/>
    </row>
    <row r="46">
      <c r="A46" s="363" t="s">
        <v>2309</v>
      </c>
      <c r="B46" s="395" t="s">
        <v>2310</v>
      </c>
      <c r="C46" s="396" t="str">
        <f>HYPERLINK("https://play.google.com/store/apps/details?id=com.google.android.apps.docs.editors.docs",HYPERLINK("https://play.google.com/store/apps/details?id=com.google.android.apps.docs.editors.docs","com.google.android.apps.docs.editors.docs"))</f>
        <v>com.google.android.apps.docs.editors.docs</v>
      </c>
      <c r="D46" s="278" t="s">
        <v>2311</v>
      </c>
      <c r="E46" s="278" t="s">
        <v>2312</v>
      </c>
      <c r="F46" s="278" t="s">
        <v>2312</v>
      </c>
      <c r="G46" s="365" t="s">
        <v>1597</v>
      </c>
      <c r="H46" s="262" t="s">
        <v>1597</v>
      </c>
      <c r="I46" s="262" t="s">
        <v>1597</v>
      </c>
      <c r="J46" s="262" t="s">
        <v>1597</v>
      </c>
      <c r="K46" s="262" t="s">
        <v>1597</v>
      </c>
      <c r="L46" s="262" t="s">
        <v>1597</v>
      </c>
      <c r="M46" s="262" t="s">
        <v>1597</v>
      </c>
      <c r="N46" s="262" t="s">
        <v>1597</v>
      </c>
      <c r="O46" s="356"/>
    </row>
    <row r="47">
      <c r="A47" s="363" t="s">
        <v>2313</v>
      </c>
      <c r="B47" s="395" t="s">
        <v>2314</v>
      </c>
      <c r="C47" s="396" t="str">
        <f>HYPERLINK("https://play.google.com/store/apps/details?id=com.google.android.apps.docs.editors.sheets",HYPERLINK("https://play.google.com/store/apps/details?id=com.google.android.apps.docs.editors.sheets","com.google.android.apps.docs.editors.sheets"))</f>
        <v>com.google.android.apps.docs.editors.sheets</v>
      </c>
      <c r="D47" s="278" t="s">
        <v>2315</v>
      </c>
      <c r="E47" s="278" t="s">
        <v>2312</v>
      </c>
      <c r="F47" s="278" t="s">
        <v>2312</v>
      </c>
      <c r="G47" s="365" t="s">
        <v>1597</v>
      </c>
      <c r="H47" s="262" t="s">
        <v>1597</v>
      </c>
      <c r="I47" s="262" t="s">
        <v>1597</v>
      </c>
      <c r="J47" s="262" t="s">
        <v>1597</v>
      </c>
      <c r="K47" s="262" t="s">
        <v>1597</v>
      </c>
      <c r="L47" s="262" t="s">
        <v>1597</v>
      </c>
      <c r="M47" s="262" t="s">
        <v>1597</v>
      </c>
      <c r="N47" s="262" t="s">
        <v>1597</v>
      </c>
      <c r="O47" s="356"/>
    </row>
    <row r="48">
      <c r="A48" s="363" t="s">
        <v>2316</v>
      </c>
      <c r="B48" s="395" t="s">
        <v>2317</v>
      </c>
      <c r="C48" s="396" t="str">
        <f>HYPERLINK("https://play.google.com/store/apps/details?id=com.google.android.apps.docs.editors.slides",HYPERLINK("https://play.google.com/store/apps/details?id=com.google.android.apps.docs.editors.slides","com.google.android.apps.docs.editors.slides"))</f>
        <v>com.google.android.apps.docs.editors.slides</v>
      </c>
      <c r="D48" s="278" t="s">
        <v>2318</v>
      </c>
      <c r="E48" s="278" t="s">
        <v>2319</v>
      </c>
      <c r="F48" s="278" t="s">
        <v>2319</v>
      </c>
      <c r="G48" s="365" t="s">
        <v>1597</v>
      </c>
      <c r="H48" s="262" t="s">
        <v>1597</v>
      </c>
      <c r="I48" s="262" t="s">
        <v>1597</v>
      </c>
      <c r="J48" s="262" t="s">
        <v>1597</v>
      </c>
      <c r="K48" s="262" t="s">
        <v>1597</v>
      </c>
      <c r="L48" s="262" t="s">
        <v>1597</v>
      </c>
      <c r="M48" s="262" t="s">
        <v>1597</v>
      </c>
      <c r="N48" s="262" t="s">
        <v>1597</v>
      </c>
      <c r="O48" s="356"/>
    </row>
    <row r="49">
      <c r="A49" s="363" t="s">
        <v>1629</v>
      </c>
      <c r="B49" s="377" t="s">
        <v>1630</v>
      </c>
      <c r="C49" s="363" t="s">
        <v>1631</v>
      </c>
      <c r="D49" s="365" t="s">
        <v>2207</v>
      </c>
      <c r="E49" s="365" t="s">
        <v>2207</v>
      </c>
      <c r="F49" s="262" t="s">
        <v>2207</v>
      </c>
      <c r="G49" s="365" t="s">
        <v>2207</v>
      </c>
      <c r="H49" s="262" t="s">
        <v>2207</v>
      </c>
      <c r="I49" s="262" t="s">
        <v>2207</v>
      </c>
      <c r="J49" s="262" t="s">
        <v>2207</v>
      </c>
      <c r="K49" s="262" t="s">
        <v>2207</v>
      </c>
      <c r="L49" s="262" t="s">
        <v>2207</v>
      </c>
      <c r="M49" s="262" t="s">
        <v>2207</v>
      </c>
      <c r="N49" s="262" t="s">
        <v>2207</v>
      </c>
      <c r="O49" s="356"/>
    </row>
    <row r="50">
      <c r="A50" s="363" t="s">
        <v>2320</v>
      </c>
      <c r="B50" s="377" t="s">
        <v>2321</v>
      </c>
      <c r="C50" s="170" t="str">
        <f>HYPERLINK("https://play.google.com/store/apps/details?id=com.google.android.apps.inputmethod.hindi",HYPERLINK("https://play.google.com/store/apps/details?id=com.google.android.apps.inputmethod.hindi","com.google.android.apps.inputmethod.hindi"))</f>
        <v>com.google.android.apps.inputmethod.hindi</v>
      </c>
      <c r="D50" s="365" t="s">
        <v>2322</v>
      </c>
      <c r="E50" s="365" t="s">
        <v>2322</v>
      </c>
      <c r="F50" s="262" t="s">
        <v>2322</v>
      </c>
      <c r="G50" s="365" t="s">
        <v>2322</v>
      </c>
      <c r="H50" s="262" t="s">
        <v>2322</v>
      </c>
      <c r="I50" s="262" t="s">
        <v>2322</v>
      </c>
      <c r="J50" s="262" t="s">
        <v>2322</v>
      </c>
      <c r="K50" s="262" t="s">
        <v>2322</v>
      </c>
      <c r="L50" s="262" t="s">
        <v>2322</v>
      </c>
      <c r="M50" s="262" t="s">
        <v>2322</v>
      </c>
      <c r="N50" s="262" t="s">
        <v>2322</v>
      </c>
      <c r="O50" s="356"/>
    </row>
    <row r="51">
      <c r="A51" s="363" t="s">
        <v>2070</v>
      </c>
      <c r="B51" s="377" t="s">
        <v>2071</v>
      </c>
      <c r="C51" s="170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51" s="365" t="s">
        <v>2323</v>
      </c>
      <c r="E51" s="365" t="s">
        <v>2323</v>
      </c>
      <c r="F51" s="262" t="s">
        <v>2323</v>
      </c>
      <c r="G51" s="365" t="s">
        <v>2323</v>
      </c>
      <c r="H51" s="262" t="s">
        <v>2323</v>
      </c>
      <c r="I51" s="262" t="s">
        <v>2323</v>
      </c>
      <c r="J51" s="262" t="s">
        <v>2323</v>
      </c>
      <c r="K51" s="262" t="s">
        <v>2323</v>
      </c>
      <c r="L51" s="262" t="s">
        <v>2323</v>
      </c>
      <c r="M51" s="262" t="s">
        <v>2323</v>
      </c>
      <c r="N51" s="262" t="s">
        <v>2323</v>
      </c>
      <c r="O51" s="356"/>
    </row>
    <row r="52">
      <c r="A52" s="363" t="s">
        <v>2073</v>
      </c>
      <c r="B52" s="377" t="s">
        <v>2074</v>
      </c>
      <c r="C52" s="210" t="str">
        <f>HYPERLINK("https://play.google.com/store/apps/details?id=com.google.android.inputmethod.japanese","com.google.android.inputmethod.japanese")</f>
        <v>com.google.android.inputmethod.japanese</v>
      </c>
      <c r="D52" s="365" t="s">
        <v>2324</v>
      </c>
      <c r="E52" s="365" t="s">
        <v>2324</v>
      </c>
      <c r="F52" s="262" t="s">
        <v>2324</v>
      </c>
      <c r="G52" s="365" t="s">
        <v>2324</v>
      </c>
      <c r="H52" s="262" t="s">
        <v>2324</v>
      </c>
      <c r="I52" s="262" t="s">
        <v>2324</v>
      </c>
      <c r="J52" s="262" t="s">
        <v>2324</v>
      </c>
      <c r="K52" s="262" t="s">
        <v>2324</v>
      </c>
      <c r="L52" s="262" t="s">
        <v>2324</v>
      </c>
      <c r="M52" s="262" t="s">
        <v>2324</v>
      </c>
      <c r="N52" s="262" t="s">
        <v>2324</v>
      </c>
      <c r="O52" s="356"/>
    </row>
    <row r="53">
      <c r="A53" s="363" t="s">
        <v>191</v>
      </c>
      <c r="B53" s="377" t="s">
        <v>191</v>
      </c>
      <c r="C53" s="170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53" s="365" t="s">
        <v>2325</v>
      </c>
      <c r="E53" s="365" t="s">
        <v>2326</v>
      </c>
      <c r="F53" s="262" t="s">
        <v>2327</v>
      </c>
      <c r="G53" s="365" t="s">
        <v>2328</v>
      </c>
      <c r="H53" s="262" t="s">
        <v>2193</v>
      </c>
      <c r="I53" s="262" t="s">
        <v>2194</v>
      </c>
      <c r="J53" s="262" t="s">
        <v>2195</v>
      </c>
      <c r="K53" s="262" t="s">
        <v>2076</v>
      </c>
      <c r="L53" s="262" t="s">
        <v>2077</v>
      </c>
      <c r="M53" s="262" t="s">
        <v>2078</v>
      </c>
      <c r="N53" s="319" t="s">
        <v>2079</v>
      </c>
      <c r="O53" s="356"/>
    </row>
    <row r="54">
      <c r="A54" s="363" t="s">
        <v>2084</v>
      </c>
      <c r="B54" s="377" t="s">
        <v>2085</v>
      </c>
      <c r="C54" s="170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54" s="365" t="s">
        <v>2329</v>
      </c>
      <c r="E54" s="365" t="s">
        <v>2329</v>
      </c>
      <c r="F54" s="262" t="s">
        <v>2329</v>
      </c>
      <c r="G54" s="365" t="s">
        <v>2329</v>
      </c>
      <c r="H54" s="262" t="s">
        <v>2329</v>
      </c>
      <c r="I54" s="262" t="s">
        <v>2329</v>
      </c>
      <c r="J54" s="262" t="s">
        <v>2329</v>
      </c>
      <c r="K54" s="262" t="s">
        <v>2329</v>
      </c>
      <c r="L54" s="262" t="s">
        <v>2329</v>
      </c>
      <c r="M54" s="262" t="s">
        <v>2329</v>
      </c>
      <c r="N54" s="262" t="s">
        <v>2329</v>
      </c>
      <c r="O54" s="356"/>
    </row>
    <row r="55">
      <c r="A55" s="363" t="s">
        <v>194</v>
      </c>
      <c r="B55" s="377" t="s">
        <v>195</v>
      </c>
      <c r="C55" s="170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55" s="365" t="s">
        <v>2330</v>
      </c>
      <c r="E55" s="365" t="s">
        <v>2330</v>
      </c>
      <c r="F55" s="262" t="s">
        <v>2330</v>
      </c>
      <c r="G55" s="365" t="s">
        <v>2330</v>
      </c>
      <c r="H55" s="262" t="s">
        <v>2330</v>
      </c>
      <c r="I55" s="262" t="s">
        <v>2330</v>
      </c>
      <c r="J55" s="262" t="s">
        <v>2330</v>
      </c>
      <c r="K55" s="262" t="s">
        <v>2330</v>
      </c>
      <c r="L55" s="262" t="s">
        <v>2330</v>
      </c>
      <c r="M55" s="262" t="s">
        <v>2330</v>
      </c>
      <c r="N55" s="262" t="s">
        <v>2330</v>
      </c>
      <c r="O55" s="356"/>
    </row>
    <row r="56">
      <c r="A56" s="363" t="s">
        <v>2331</v>
      </c>
      <c r="B56" s="377" t="s">
        <v>2332</v>
      </c>
      <c r="C56" s="170" t="str">
        <f>HYPERLINK("https://play.google.com/store/apps/details?id=com.google.android.play.games",HYPERLINK("https://play.google.com/store/apps/details?id=com.google.android.play.games","com.google.android.play.games"))</f>
        <v>com.google.android.play.games</v>
      </c>
      <c r="D56" s="365" t="s">
        <v>2333</v>
      </c>
      <c r="E56" s="365" t="s">
        <v>2333</v>
      </c>
      <c r="F56" s="262" t="s">
        <v>2333</v>
      </c>
      <c r="G56" s="365" t="s">
        <v>1597</v>
      </c>
      <c r="H56" s="262" t="s">
        <v>1597</v>
      </c>
      <c r="I56" s="262" t="s">
        <v>1597</v>
      </c>
      <c r="J56" s="262" t="s">
        <v>1597</v>
      </c>
      <c r="K56" s="262" t="s">
        <v>1597</v>
      </c>
      <c r="L56" s="262" t="s">
        <v>1597</v>
      </c>
      <c r="M56" s="262" t="s">
        <v>1597</v>
      </c>
      <c r="N56" s="262" t="s">
        <v>1597</v>
      </c>
      <c r="O56" s="356"/>
    </row>
    <row r="57">
      <c r="A57" s="363" t="s">
        <v>2334</v>
      </c>
      <c r="B57" s="377" t="s">
        <v>2335</v>
      </c>
      <c r="C57" s="170" t="str">
        <f>HYPERLINK("https://play.google.com/store/apps/details?id=com.google.android.apps.plus",HYPERLINK("https://play.google.com/store/apps/details?id=com.google.android.apps.plus","com.google.android.apps.plus"))</f>
        <v>com.google.android.apps.plus</v>
      </c>
      <c r="D57" s="365" t="s">
        <v>2336</v>
      </c>
      <c r="E57" s="365" t="s">
        <v>2336</v>
      </c>
      <c r="F57" s="262" t="s">
        <v>2337</v>
      </c>
      <c r="G57" s="365" t="s">
        <v>1597</v>
      </c>
      <c r="H57" s="262" t="s">
        <v>1597</v>
      </c>
      <c r="I57" s="262" t="s">
        <v>1597</v>
      </c>
      <c r="J57" s="262" t="s">
        <v>1597</v>
      </c>
      <c r="K57" s="262" t="s">
        <v>1597</v>
      </c>
      <c r="L57" s="262" t="s">
        <v>1597</v>
      </c>
      <c r="M57" s="262" t="s">
        <v>1597</v>
      </c>
      <c r="N57" s="262" t="s">
        <v>1597</v>
      </c>
      <c r="O57" s="356"/>
    </row>
    <row r="58">
      <c r="A58" s="363" t="s">
        <v>198</v>
      </c>
      <c r="B58" s="377" t="s">
        <v>199</v>
      </c>
      <c r="C58" s="170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58" s="368" t="s">
        <v>2338</v>
      </c>
      <c r="E58" s="397" t="s">
        <v>2339</v>
      </c>
      <c r="F58" s="369" t="s">
        <v>2339</v>
      </c>
      <c r="G58" s="368" t="s">
        <v>2340</v>
      </c>
      <c r="H58" s="369" t="s">
        <v>2341</v>
      </c>
      <c r="I58" s="369" t="s">
        <v>2341</v>
      </c>
      <c r="J58" s="369" t="s">
        <v>2341</v>
      </c>
      <c r="K58" s="369" t="s">
        <v>2341</v>
      </c>
      <c r="L58" s="369" t="s">
        <v>2341</v>
      </c>
      <c r="M58" s="369" t="s">
        <v>2095</v>
      </c>
      <c r="N58" s="369" t="s">
        <v>2095</v>
      </c>
      <c r="O58" s="356"/>
    </row>
    <row r="59">
      <c r="A59" s="363" t="s">
        <v>2342</v>
      </c>
      <c r="B59" s="377" t="s">
        <v>2343</v>
      </c>
      <c r="C59" s="170" t="str">
        <f>HYPERLINK("https://play.google.com/store/apps/details?id=com.google.android.apps.magazines",HYPERLINK("https://play.google.com/store/apps/details?id=com.google.android.apps.magazines","com.google.android.apps.magazines"))</f>
        <v>com.google.android.apps.magazines</v>
      </c>
      <c r="D59" s="365" t="s">
        <v>2344</v>
      </c>
      <c r="E59" s="365" t="s">
        <v>2344</v>
      </c>
      <c r="F59" s="262" t="s">
        <v>2345</v>
      </c>
      <c r="G59" s="365" t="s">
        <v>1597</v>
      </c>
      <c r="H59" s="262" t="s">
        <v>1597</v>
      </c>
      <c r="I59" s="262" t="s">
        <v>1597</v>
      </c>
      <c r="J59" s="262" t="s">
        <v>1597</v>
      </c>
      <c r="K59" s="262" t="s">
        <v>1597</v>
      </c>
      <c r="L59" s="262" t="s">
        <v>1597</v>
      </c>
      <c r="M59" s="262" t="s">
        <v>1597</v>
      </c>
      <c r="N59" s="262" t="s">
        <v>1597</v>
      </c>
      <c r="O59" s="356"/>
    </row>
    <row r="60">
      <c r="A60" s="363" t="s">
        <v>2346</v>
      </c>
      <c r="B60" s="377" t="s">
        <v>2347</v>
      </c>
      <c r="C60" s="170" t="str">
        <f>HYPERLINK("https://play.google.com/store/apps/details?id=com.google.android.apps.genie.geniewidget",HYPERLINK("https://play.google.com/store/apps/details?id=com.google.android.apps.genie.geniewidget","com.google.android.apps.genie.geniewidget"))</f>
        <v>com.google.android.apps.genie.geniewidget</v>
      </c>
      <c r="D60" s="365" t="s">
        <v>2348</v>
      </c>
      <c r="E60" s="365" t="s">
        <v>2348</v>
      </c>
      <c r="F60" s="262" t="s">
        <v>2348</v>
      </c>
      <c r="G60" s="365" t="s">
        <v>1597</v>
      </c>
      <c r="H60" s="262" t="s">
        <v>1597</v>
      </c>
      <c r="I60" s="262" t="s">
        <v>1597</v>
      </c>
      <c r="J60" s="262" t="s">
        <v>1597</v>
      </c>
      <c r="K60" s="262" t="s">
        <v>1597</v>
      </c>
      <c r="L60" s="262" t="s">
        <v>1597</v>
      </c>
      <c r="M60" s="262" t="s">
        <v>1597</v>
      </c>
      <c r="N60" s="262" t="s">
        <v>1597</v>
      </c>
      <c r="O60" s="356"/>
    </row>
    <row r="61">
      <c r="A61" s="363" t="s">
        <v>2349</v>
      </c>
      <c r="B61" s="393" t="s">
        <v>2349</v>
      </c>
      <c r="C61" s="210" t="str">
        <f>HYPERLINK("https://play.google.com/store/apps/details?id=com.google.android.apps.messaging","com.google.android.apps.messaging")</f>
        <v>com.google.android.apps.messaging</v>
      </c>
      <c r="D61" s="365" t="s">
        <v>2350</v>
      </c>
      <c r="E61" s="365" t="s">
        <v>2350</v>
      </c>
      <c r="F61" s="262" t="s">
        <v>2351</v>
      </c>
      <c r="G61" s="365" t="s">
        <v>2352</v>
      </c>
      <c r="H61" s="262" t="s">
        <v>2353</v>
      </c>
      <c r="I61" s="262" t="s">
        <v>2198</v>
      </c>
      <c r="J61" s="262" t="s">
        <v>2098</v>
      </c>
      <c r="K61" s="262" t="s">
        <v>2098</v>
      </c>
      <c r="L61" s="262" t="s">
        <v>2099</v>
      </c>
      <c r="M61" s="262" t="s">
        <v>2100</v>
      </c>
      <c r="N61" s="262" t="s">
        <v>2100</v>
      </c>
      <c r="O61" s="398"/>
    </row>
    <row r="62">
      <c r="A62" s="274" t="s">
        <v>205</v>
      </c>
      <c r="B62" s="399" t="s">
        <v>206</v>
      </c>
      <c r="C62" s="400" t="s">
        <v>207</v>
      </c>
      <c r="D62" s="262" t="s">
        <v>2207</v>
      </c>
      <c r="E62" s="262" t="s">
        <v>2207</v>
      </c>
      <c r="F62" s="262" t="s">
        <v>2207</v>
      </c>
      <c r="G62" s="262" t="s">
        <v>2207</v>
      </c>
      <c r="H62" s="262" t="s">
        <v>2207</v>
      </c>
      <c r="I62" s="262" t="s">
        <v>2207</v>
      </c>
      <c r="J62" s="262" t="s">
        <v>2207</v>
      </c>
      <c r="K62" s="262" t="s">
        <v>2207</v>
      </c>
      <c r="L62" s="262" t="s">
        <v>2207</v>
      </c>
      <c r="M62" s="262" t="s">
        <v>2207</v>
      </c>
      <c r="N62" s="262" t="s">
        <v>2207</v>
      </c>
      <c r="O62" s="356"/>
    </row>
    <row r="63">
      <c r="A63" s="401" t="s">
        <v>208</v>
      </c>
      <c r="B63" s="402" t="s">
        <v>209</v>
      </c>
      <c r="C63" s="403" t="s">
        <v>210</v>
      </c>
      <c r="D63" s="313" t="s">
        <v>2207</v>
      </c>
      <c r="E63" s="313" t="s">
        <v>2207</v>
      </c>
      <c r="F63" s="313" t="s">
        <v>2207</v>
      </c>
      <c r="G63" s="313" t="s">
        <v>2207</v>
      </c>
      <c r="H63" s="313" t="s">
        <v>2207</v>
      </c>
      <c r="I63" s="313" t="s">
        <v>2207</v>
      </c>
      <c r="J63" s="313" t="s">
        <v>2207</v>
      </c>
      <c r="K63" s="313" t="s">
        <v>2207</v>
      </c>
      <c r="L63" s="313" t="s">
        <v>2207</v>
      </c>
      <c r="M63" s="313" t="s">
        <v>2207</v>
      </c>
      <c r="N63" s="313" t="s">
        <v>2207</v>
      </c>
      <c r="O63" s="356"/>
    </row>
    <row r="64">
      <c r="A64" s="404"/>
      <c r="B64" s="405"/>
      <c r="C64" s="405"/>
      <c r="D64" s="405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</row>
  </sheetData>
  <mergeCells count="17">
    <mergeCell ref="H1:H2"/>
    <mergeCell ref="I1:I2"/>
    <mergeCell ref="J1:J2"/>
    <mergeCell ref="K1:K2"/>
    <mergeCell ref="L1:L2"/>
    <mergeCell ref="M1:M2"/>
    <mergeCell ref="N1:N2"/>
    <mergeCell ref="A3:B3"/>
    <mergeCell ref="A21:B21"/>
    <mergeCell ref="A24:B24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63"/>
    <col customWidth="1" min="2" max="2" width="24.0"/>
    <col customWidth="1" min="3" max="3" width="37.0"/>
    <col customWidth="1" min="4" max="18" width="18.0"/>
    <col customWidth="1" min="19" max="19" width="12.75"/>
  </cols>
  <sheetData>
    <row r="1">
      <c r="A1" s="354" t="s">
        <v>2199</v>
      </c>
      <c r="B1" s="354" t="s">
        <v>2200</v>
      </c>
      <c r="C1" s="354" t="s">
        <v>2201</v>
      </c>
      <c r="D1" s="354" t="s">
        <v>1929</v>
      </c>
      <c r="E1" s="355" t="s">
        <v>1930</v>
      </c>
      <c r="F1" s="355" t="s">
        <v>1931</v>
      </c>
      <c r="G1" s="355" t="s">
        <v>2124</v>
      </c>
      <c r="H1" s="355" t="s">
        <v>2125</v>
      </c>
      <c r="I1" s="355" t="s">
        <v>2126</v>
      </c>
      <c r="J1" s="355" t="s">
        <v>2202</v>
      </c>
      <c r="K1" s="355" t="s">
        <v>2203</v>
      </c>
      <c r="L1" s="355" t="s">
        <v>2204</v>
      </c>
      <c r="M1" s="355" t="s">
        <v>2205</v>
      </c>
      <c r="N1" s="355" t="s">
        <v>2354</v>
      </c>
      <c r="O1" s="355" t="s">
        <v>2355</v>
      </c>
      <c r="P1" s="355" t="s">
        <v>2356</v>
      </c>
      <c r="Q1" s="355" t="s">
        <v>2357</v>
      </c>
      <c r="R1" s="355" t="s">
        <v>2358</v>
      </c>
      <c r="S1" s="356"/>
    </row>
    <row r="2" ht="31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56"/>
    </row>
    <row r="3">
      <c r="A3" s="357" t="s">
        <v>6</v>
      </c>
      <c r="B3" s="91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6"/>
    </row>
    <row r="4">
      <c r="A4" s="359" t="s">
        <v>7</v>
      </c>
      <c r="B4" s="360" t="s">
        <v>7</v>
      </c>
      <c r="C4" s="361" t="s">
        <v>8</v>
      </c>
      <c r="D4" s="258" t="s">
        <v>2359</v>
      </c>
      <c r="E4" s="162" t="s">
        <v>2359</v>
      </c>
      <c r="F4" s="162" t="s">
        <v>2359</v>
      </c>
      <c r="G4" s="162" t="s">
        <v>2359</v>
      </c>
      <c r="H4" s="162" t="s">
        <v>2359</v>
      </c>
      <c r="I4" s="162" t="s">
        <v>2359</v>
      </c>
      <c r="J4" s="362" t="s">
        <v>2359</v>
      </c>
      <c r="K4" s="162" t="s">
        <v>2359</v>
      </c>
      <c r="L4" s="362" t="s">
        <v>2359</v>
      </c>
      <c r="M4" s="362" t="s">
        <v>2359</v>
      </c>
      <c r="N4" s="362" t="s">
        <v>2359</v>
      </c>
      <c r="O4" s="362" t="s">
        <v>2359</v>
      </c>
      <c r="P4" s="362" t="s">
        <v>2359</v>
      </c>
      <c r="Q4" s="362" t="s">
        <v>2359</v>
      </c>
      <c r="R4" s="362" t="s">
        <v>2359</v>
      </c>
      <c r="S4" s="356"/>
    </row>
    <row r="5">
      <c r="A5" s="363" t="s">
        <v>17</v>
      </c>
      <c r="B5" s="364" t="s">
        <v>18</v>
      </c>
      <c r="C5" s="170" t="str">
        <f>HYPERLINK("https://play.google.com/store/apps/details?id=com.google.android.gms",HYPERLINK("https://play.google.com/store/apps/details?id=com.google.android.gms","com.google.android.gms"))</f>
        <v>com.google.android.gms</v>
      </c>
      <c r="D5" s="168" t="s">
        <v>2360</v>
      </c>
      <c r="E5" s="365" t="s">
        <v>2361</v>
      </c>
      <c r="F5" s="365" t="s">
        <v>2362</v>
      </c>
      <c r="G5" s="365" t="s">
        <v>2363</v>
      </c>
      <c r="H5" s="365" t="s">
        <v>2208</v>
      </c>
      <c r="I5" s="365" t="s">
        <v>2209</v>
      </c>
      <c r="J5" s="262" t="s">
        <v>2209</v>
      </c>
      <c r="K5" s="365" t="s">
        <v>2210</v>
      </c>
      <c r="L5" s="262" t="s">
        <v>2137</v>
      </c>
      <c r="M5" s="262" t="s">
        <v>2138</v>
      </c>
      <c r="N5" s="367" t="s">
        <v>2139</v>
      </c>
      <c r="O5" s="262" t="s">
        <v>1942</v>
      </c>
      <c r="P5" s="262" t="s">
        <v>1943</v>
      </c>
      <c r="Q5" s="262" t="s">
        <v>1944</v>
      </c>
      <c r="R5" s="262" t="s">
        <v>1944</v>
      </c>
      <c r="S5" s="356"/>
    </row>
    <row r="6">
      <c r="A6" s="363" t="s">
        <v>1697</v>
      </c>
      <c r="B6" s="364" t="s">
        <v>1698</v>
      </c>
      <c r="C6" s="363" t="s">
        <v>1699</v>
      </c>
      <c r="D6" s="168" t="s">
        <v>2359</v>
      </c>
      <c r="E6" s="365" t="s">
        <v>2359</v>
      </c>
      <c r="F6" s="365" t="s">
        <v>2359</v>
      </c>
      <c r="G6" s="365" t="s">
        <v>2359</v>
      </c>
      <c r="H6" s="365" t="s">
        <v>2359</v>
      </c>
      <c r="I6" s="365" t="s">
        <v>2359</v>
      </c>
      <c r="J6" s="262" t="s">
        <v>2359</v>
      </c>
      <c r="K6" s="365" t="s">
        <v>2359</v>
      </c>
      <c r="L6" s="262" t="s">
        <v>2359</v>
      </c>
      <c r="M6" s="262" t="s">
        <v>2359</v>
      </c>
      <c r="N6" s="262" t="s">
        <v>2359</v>
      </c>
      <c r="O6" s="262" t="s">
        <v>2359</v>
      </c>
      <c r="P6" s="262" t="s">
        <v>2359</v>
      </c>
      <c r="Q6" s="262" t="s">
        <v>2359</v>
      </c>
      <c r="R6" s="262" t="s">
        <v>2359</v>
      </c>
      <c r="S6" s="356"/>
    </row>
    <row r="7">
      <c r="A7" s="363" t="s">
        <v>21</v>
      </c>
      <c r="B7" s="364" t="s">
        <v>22</v>
      </c>
      <c r="C7" s="363" t="s">
        <v>23</v>
      </c>
      <c r="D7" s="168" t="s">
        <v>2359</v>
      </c>
      <c r="E7" s="365" t="s">
        <v>2359</v>
      </c>
      <c r="F7" s="365" t="s">
        <v>2359</v>
      </c>
      <c r="G7" s="365" t="s">
        <v>2359</v>
      </c>
      <c r="H7" s="365" t="s">
        <v>2359</v>
      </c>
      <c r="I7" s="365" t="s">
        <v>2359</v>
      </c>
      <c r="J7" s="262" t="s">
        <v>2359</v>
      </c>
      <c r="K7" s="365" t="s">
        <v>2359</v>
      </c>
      <c r="L7" s="262" t="s">
        <v>2359</v>
      </c>
      <c r="M7" s="262" t="s">
        <v>2359</v>
      </c>
      <c r="N7" s="262" t="s">
        <v>2359</v>
      </c>
      <c r="O7" s="262" t="s">
        <v>2359</v>
      </c>
      <c r="P7" s="262" t="s">
        <v>2359</v>
      </c>
      <c r="Q7" s="262" t="s">
        <v>2359</v>
      </c>
      <c r="R7" s="262" t="s">
        <v>2359</v>
      </c>
      <c r="S7" s="356"/>
    </row>
    <row r="8">
      <c r="A8" s="363" t="s">
        <v>2211</v>
      </c>
      <c r="B8" s="364" t="s">
        <v>2212</v>
      </c>
      <c r="C8" s="363" t="s">
        <v>2213</v>
      </c>
      <c r="D8" s="168" t="s">
        <v>2359</v>
      </c>
      <c r="E8" s="365" t="s">
        <v>2359</v>
      </c>
      <c r="F8" s="365" t="s">
        <v>2359</v>
      </c>
      <c r="G8" s="365" t="s">
        <v>2359</v>
      </c>
      <c r="H8" s="365" t="s">
        <v>2359</v>
      </c>
      <c r="I8" s="365" t="s">
        <v>2359</v>
      </c>
      <c r="J8" s="262" t="s">
        <v>2359</v>
      </c>
      <c r="K8" s="365" t="s">
        <v>2359</v>
      </c>
      <c r="L8" s="262" t="s">
        <v>2359</v>
      </c>
      <c r="M8" s="262" t="s">
        <v>2359</v>
      </c>
      <c r="N8" s="262" t="s">
        <v>2359</v>
      </c>
      <c r="O8" s="262" t="s">
        <v>2359</v>
      </c>
      <c r="P8" s="262" t="s">
        <v>2359</v>
      </c>
      <c r="Q8" s="262" t="s">
        <v>2359</v>
      </c>
      <c r="R8" s="262" t="s">
        <v>2359</v>
      </c>
      <c r="S8" s="356"/>
    </row>
    <row r="9">
      <c r="A9" s="363" t="s">
        <v>261</v>
      </c>
      <c r="B9" s="364" t="s">
        <v>262</v>
      </c>
      <c r="C9" s="363" t="s">
        <v>263</v>
      </c>
      <c r="D9" s="168" t="s">
        <v>2359</v>
      </c>
      <c r="E9" s="365" t="s">
        <v>2359</v>
      </c>
      <c r="F9" s="365" t="s">
        <v>2359</v>
      </c>
      <c r="G9" s="365" t="s">
        <v>2359</v>
      </c>
      <c r="H9" s="365" t="s">
        <v>2359</v>
      </c>
      <c r="I9" s="365" t="s">
        <v>2359</v>
      </c>
      <c r="J9" s="262" t="s">
        <v>2359</v>
      </c>
      <c r="K9" s="365" t="s">
        <v>2359</v>
      </c>
      <c r="L9" s="262" t="s">
        <v>2359</v>
      </c>
      <c r="M9" s="262" t="s">
        <v>2359</v>
      </c>
      <c r="N9" s="262" t="s">
        <v>2359</v>
      </c>
      <c r="O9" s="262" t="s">
        <v>2359</v>
      </c>
      <c r="P9" s="262" t="s">
        <v>2359</v>
      </c>
      <c r="Q9" s="262" t="s">
        <v>2359</v>
      </c>
      <c r="R9" s="262" t="s">
        <v>2359</v>
      </c>
      <c r="S9" s="356"/>
    </row>
    <row r="10">
      <c r="A10" s="363" t="s">
        <v>26</v>
      </c>
      <c r="B10" s="364" t="s">
        <v>27</v>
      </c>
      <c r="C10" s="363" t="s">
        <v>28</v>
      </c>
      <c r="D10" s="168" t="s">
        <v>2359</v>
      </c>
      <c r="E10" s="365" t="s">
        <v>2359</v>
      </c>
      <c r="F10" s="365" t="s">
        <v>2359</v>
      </c>
      <c r="G10" s="365" t="s">
        <v>2359</v>
      </c>
      <c r="H10" s="365" t="s">
        <v>2359</v>
      </c>
      <c r="I10" s="365" t="s">
        <v>2359</v>
      </c>
      <c r="J10" s="262" t="s">
        <v>2364</v>
      </c>
      <c r="K10" s="365" t="s">
        <v>2364</v>
      </c>
      <c r="L10" s="262" t="s">
        <v>2365</v>
      </c>
      <c r="M10" s="262" t="s">
        <v>2365</v>
      </c>
      <c r="N10" s="262" t="s">
        <v>2365</v>
      </c>
      <c r="O10" s="262" t="s">
        <v>2365</v>
      </c>
      <c r="P10" s="262" t="s">
        <v>2365</v>
      </c>
      <c r="Q10" s="262" t="s">
        <v>2365</v>
      </c>
      <c r="R10" s="262" t="s">
        <v>2365</v>
      </c>
      <c r="S10" s="356"/>
    </row>
    <row r="11">
      <c r="A11" s="363" t="s">
        <v>36</v>
      </c>
      <c r="B11" s="364" t="s">
        <v>37</v>
      </c>
      <c r="C11" s="363" t="s">
        <v>38</v>
      </c>
      <c r="D11" s="168" t="s">
        <v>2359</v>
      </c>
      <c r="E11" s="365" t="s">
        <v>2359</v>
      </c>
      <c r="F11" s="365" t="s">
        <v>2359</v>
      </c>
      <c r="G11" s="365" t="s">
        <v>2359</v>
      </c>
      <c r="H11" s="365" t="s">
        <v>2359</v>
      </c>
      <c r="I11" s="365" t="s">
        <v>2359</v>
      </c>
      <c r="J11" s="262" t="s">
        <v>2359</v>
      </c>
      <c r="K11" s="365" t="s">
        <v>2359</v>
      </c>
      <c r="L11" s="262" t="s">
        <v>2359</v>
      </c>
      <c r="M11" s="262" t="s">
        <v>2359</v>
      </c>
      <c r="N11" s="262" t="s">
        <v>2359</v>
      </c>
      <c r="O11" s="262" t="s">
        <v>2359</v>
      </c>
      <c r="P11" s="262" t="s">
        <v>2359</v>
      </c>
      <c r="Q11" s="262" t="s">
        <v>2359</v>
      </c>
      <c r="R11" s="262" t="s">
        <v>2359</v>
      </c>
      <c r="S11" s="356"/>
    </row>
    <row r="12">
      <c r="A12" s="363" t="s">
        <v>48</v>
      </c>
      <c r="B12" s="364" t="s">
        <v>49</v>
      </c>
      <c r="C12" s="363" t="s">
        <v>50</v>
      </c>
      <c r="D12" s="328" t="s">
        <v>2366</v>
      </c>
      <c r="E12" s="368" t="s">
        <v>2367</v>
      </c>
      <c r="F12" s="368" t="s">
        <v>2368</v>
      </c>
      <c r="G12" s="368" t="s">
        <v>2369</v>
      </c>
      <c r="H12" s="368" t="s">
        <v>2216</v>
      </c>
      <c r="I12" s="368" t="s">
        <v>2217</v>
      </c>
      <c r="J12" s="369" t="s">
        <v>2218</v>
      </c>
      <c r="K12" s="368" t="s">
        <v>2219</v>
      </c>
      <c r="L12" s="369" t="s">
        <v>2220</v>
      </c>
      <c r="M12" s="369" t="s">
        <v>2144</v>
      </c>
      <c r="N12" s="369" t="s">
        <v>2145</v>
      </c>
      <c r="O12" s="369" t="s">
        <v>1950</v>
      </c>
      <c r="P12" s="369" t="s">
        <v>1951</v>
      </c>
      <c r="Q12" s="369" t="s">
        <v>1952</v>
      </c>
      <c r="R12" s="370" t="s">
        <v>1953</v>
      </c>
      <c r="S12" s="356"/>
    </row>
    <row r="13">
      <c r="A13" s="363" t="s">
        <v>53</v>
      </c>
      <c r="B13" s="364" t="s">
        <v>54</v>
      </c>
      <c r="C13" s="363" t="s">
        <v>55</v>
      </c>
      <c r="D13" s="168">
        <v>224.3037786</v>
      </c>
      <c r="E13" s="365">
        <v>224.3233482</v>
      </c>
      <c r="F13" s="365">
        <v>224.3233482</v>
      </c>
      <c r="G13" s="365">
        <v>224.3344164</v>
      </c>
      <c r="H13" s="365">
        <v>224.3344164</v>
      </c>
      <c r="I13" s="365">
        <v>224.3634633</v>
      </c>
      <c r="J13" s="317" t="s">
        <v>2370</v>
      </c>
      <c r="K13" s="365">
        <v>224.3779664</v>
      </c>
      <c r="L13" s="317" t="s">
        <v>2370</v>
      </c>
      <c r="M13" s="317" t="s">
        <v>2370</v>
      </c>
      <c r="N13" s="317" t="s">
        <v>2370</v>
      </c>
      <c r="O13" s="317" t="s">
        <v>2370</v>
      </c>
      <c r="P13" s="317" t="s">
        <v>2370</v>
      </c>
      <c r="Q13" s="317" t="s">
        <v>2370</v>
      </c>
      <c r="R13" s="317" t="s">
        <v>2370</v>
      </c>
      <c r="S13" s="356"/>
    </row>
    <row r="14">
      <c r="A14" s="363" t="s">
        <v>62</v>
      </c>
      <c r="B14" s="364" t="s">
        <v>63</v>
      </c>
      <c r="C14" s="170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4" s="168" t="s">
        <v>2371</v>
      </c>
      <c r="E14" s="365" t="s">
        <v>2372</v>
      </c>
      <c r="F14" s="365" t="s">
        <v>2373</v>
      </c>
      <c r="G14" s="365" t="s">
        <v>2374</v>
      </c>
      <c r="H14" s="365" t="s">
        <v>2227</v>
      </c>
      <c r="I14" s="365" t="s">
        <v>2228</v>
      </c>
      <c r="J14" s="262" t="s">
        <v>2229</v>
      </c>
      <c r="K14" s="365" t="s">
        <v>2230</v>
      </c>
      <c r="L14" s="262" t="s">
        <v>2154</v>
      </c>
      <c r="M14" s="262" t="s">
        <v>2155</v>
      </c>
      <c r="N14" s="262" t="s">
        <v>2156</v>
      </c>
      <c r="O14" s="262" t="s">
        <v>1966</v>
      </c>
      <c r="P14" s="262" t="s">
        <v>1967</v>
      </c>
      <c r="Q14" s="262" t="s">
        <v>1967</v>
      </c>
      <c r="R14" s="262" t="s">
        <v>1967</v>
      </c>
      <c r="S14" s="356"/>
    </row>
    <row r="15">
      <c r="A15" s="373" t="s">
        <v>317</v>
      </c>
      <c r="B15" s="374" t="s">
        <v>318</v>
      </c>
      <c r="C15" s="197" t="str">
        <f>HYPERLINK("https://play.google.com/store/apps/details?id=com.google.android.ims","com.google.android.ims")</f>
        <v>com.google.android.ims</v>
      </c>
      <c r="D15" s="328"/>
      <c r="E15" s="368"/>
      <c r="F15" s="368"/>
      <c r="G15" s="368"/>
      <c r="H15" s="368"/>
      <c r="I15" s="368"/>
      <c r="J15" s="375"/>
      <c r="K15" s="368"/>
      <c r="L15" s="375"/>
      <c r="M15" s="375"/>
      <c r="N15" s="369" t="s">
        <v>2157</v>
      </c>
      <c r="O15" s="369" t="s">
        <v>1972</v>
      </c>
      <c r="P15" s="376" t="s">
        <v>1973</v>
      </c>
      <c r="Q15" s="376" t="s">
        <v>1974</v>
      </c>
      <c r="R15" s="376" t="s">
        <v>1974</v>
      </c>
      <c r="S15" s="356"/>
    </row>
    <row r="16">
      <c r="A16" s="373" t="s">
        <v>187</v>
      </c>
      <c r="B16" s="374" t="s">
        <v>188</v>
      </c>
      <c r="C16" s="200" t="str">
        <f>HYPERLINK("https://play.google.com/store/apps/details?id=com.google.android.contacts","com.google.android.contacts")</f>
        <v>com.google.android.contacts</v>
      </c>
      <c r="D16" s="328"/>
      <c r="E16" s="368"/>
      <c r="F16" s="368"/>
      <c r="G16" s="368"/>
      <c r="H16" s="368"/>
      <c r="I16" s="368"/>
      <c r="J16" s="375"/>
      <c r="K16" s="368"/>
      <c r="L16" s="375"/>
      <c r="M16" s="375"/>
      <c r="N16" s="369" t="s">
        <v>1977</v>
      </c>
      <c r="O16" s="369" t="s">
        <v>1977</v>
      </c>
      <c r="P16" s="376" t="s">
        <v>1978</v>
      </c>
      <c r="Q16" s="376" t="s">
        <v>1978</v>
      </c>
      <c r="R16" s="370" t="s">
        <v>1979</v>
      </c>
      <c r="S16" s="356"/>
    </row>
    <row r="17">
      <c r="A17" s="373" t="s">
        <v>97</v>
      </c>
      <c r="B17" s="374" t="s">
        <v>98</v>
      </c>
      <c r="C17" s="200" t="str">
        <f>HYPERLINK("https://play.google.com/store/apps/details?id=com.google.android.dialer","com.google.android.dialer")</f>
        <v>com.google.android.dialer</v>
      </c>
      <c r="D17" s="328"/>
      <c r="E17" s="368"/>
      <c r="F17" s="368"/>
      <c r="G17" s="368"/>
      <c r="H17" s="368"/>
      <c r="I17" s="368"/>
      <c r="J17" s="375"/>
      <c r="K17" s="368"/>
      <c r="L17" s="375"/>
      <c r="M17" s="375"/>
      <c r="N17" s="369" t="s">
        <v>2158</v>
      </c>
      <c r="O17" s="369" t="s">
        <v>1982</v>
      </c>
      <c r="P17" s="376" t="s">
        <v>1983</v>
      </c>
      <c r="Q17" s="376" t="s">
        <v>1984</v>
      </c>
      <c r="R17" s="370" t="s">
        <v>1985</v>
      </c>
      <c r="S17" s="356"/>
    </row>
    <row r="18">
      <c r="A18" s="363" t="s">
        <v>327</v>
      </c>
      <c r="B18" s="377" t="s">
        <v>328</v>
      </c>
      <c r="C18" s="363" t="s">
        <v>329</v>
      </c>
      <c r="D18" s="328">
        <v>1.1</v>
      </c>
      <c r="E18" s="368">
        <v>1.1</v>
      </c>
      <c r="F18" s="368">
        <v>1.1</v>
      </c>
      <c r="G18" s="368">
        <v>1.1</v>
      </c>
      <c r="H18" s="368">
        <v>1.1</v>
      </c>
      <c r="I18" s="368">
        <v>1.1</v>
      </c>
      <c r="J18" s="323" t="s">
        <v>330</v>
      </c>
      <c r="K18" s="368">
        <v>1.1</v>
      </c>
      <c r="L18" s="323" t="s">
        <v>330</v>
      </c>
      <c r="M18" s="323" t="s">
        <v>330</v>
      </c>
      <c r="N18" s="323" t="s">
        <v>330</v>
      </c>
      <c r="O18" s="323" t="s">
        <v>330</v>
      </c>
      <c r="P18" s="323" t="s">
        <v>330</v>
      </c>
      <c r="Q18" s="323" t="s">
        <v>330</v>
      </c>
      <c r="R18" s="323" t="s">
        <v>330</v>
      </c>
      <c r="S18" s="356"/>
    </row>
    <row r="19">
      <c r="A19" s="378" t="s">
        <v>1759</v>
      </c>
      <c r="B19" s="379" t="s">
        <v>1760</v>
      </c>
      <c r="C19" s="378" t="s">
        <v>1761</v>
      </c>
      <c r="D19" s="328" t="s">
        <v>2359</v>
      </c>
      <c r="E19" s="368" t="s">
        <v>2359</v>
      </c>
      <c r="F19" s="368" t="s">
        <v>2359</v>
      </c>
      <c r="G19" s="368" t="s">
        <v>2359</v>
      </c>
      <c r="H19" s="368" t="s">
        <v>2359</v>
      </c>
      <c r="I19" s="368" t="s">
        <v>2359</v>
      </c>
      <c r="J19" s="369" t="s">
        <v>2359</v>
      </c>
      <c r="K19" s="368" t="s">
        <v>2359</v>
      </c>
      <c r="L19" s="369" t="s">
        <v>2359</v>
      </c>
      <c r="M19" s="369" t="s">
        <v>2359</v>
      </c>
      <c r="N19" s="369" t="s">
        <v>2359</v>
      </c>
      <c r="O19" s="369" t="s">
        <v>2359</v>
      </c>
      <c r="P19" s="369" t="s">
        <v>2359</v>
      </c>
      <c r="Q19" s="369" t="s">
        <v>2359</v>
      </c>
      <c r="R19" s="369" t="s">
        <v>2359</v>
      </c>
      <c r="S19" s="356"/>
    </row>
    <row r="20">
      <c r="A20" s="380" t="s">
        <v>110</v>
      </c>
      <c r="B20" s="381" t="s">
        <v>111</v>
      </c>
      <c r="C20" s="380" t="s">
        <v>112</v>
      </c>
      <c r="D20" s="406" t="s">
        <v>2375</v>
      </c>
      <c r="E20" s="407" t="s">
        <v>2376</v>
      </c>
      <c r="F20" s="407" t="s">
        <v>2377</v>
      </c>
      <c r="G20" s="407" t="s">
        <v>2378</v>
      </c>
      <c r="H20" s="382" t="s">
        <v>2379</v>
      </c>
      <c r="I20" s="382" t="s">
        <v>2380</v>
      </c>
      <c r="J20" s="313" t="s">
        <v>2380</v>
      </c>
      <c r="K20" s="382" t="s">
        <v>2380</v>
      </c>
      <c r="L20" s="313" t="s">
        <v>2380</v>
      </c>
      <c r="M20" s="313" t="s">
        <v>2381</v>
      </c>
      <c r="N20" s="313" t="s">
        <v>2382</v>
      </c>
      <c r="O20" s="313" t="s">
        <v>2382</v>
      </c>
      <c r="P20" s="313" t="s">
        <v>2382</v>
      </c>
      <c r="Q20" s="313" t="s">
        <v>2382</v>
      </c>
      <c r="R20" s="313" t="s">
        <v>2382</v>
      </c>
      <c r="S20" s="356"/>
    </row>
    <row r="21">
      <c r="A21" s="357" t="s">
        <v>2235</v>
      </c>
      <c r="B21" s="91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6"/>
    </row>
    <row r="22">
      <c r="A22" s="359" t="s">
        <v>2236</v>
      </c>
      <c r="B22" s="360" t="s">
        <v>2237</v>
      </c>
      <c r="C22" s="359" t="s">
        <v>2238</v>
      </c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56"/>
    </row>
    <row r="23">
      <c r="A23" s="384" t="s">
        <v>2239</v>
      </c>
      <c r="B23" s="385" t="s">
        <v>2240</v>
      </c>
      <c r="C23" s="384" t="s">
        <v>2241</v>
      </c>
      <c r="D23" s="386"/>
      <c r="E23" s="386"/>
      <c r="F23" s="386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56"/>
    </row>
    <row r="24">
      <c r="A24" s="357" t="s">
        <v>113</v>
      </c>
      <c r="B24" s="91"/>
      <c r="C24" s="358"/>
      <c r="D24" s="358"/>
      <c r="E24" s="358"/>
      <c r="F24" s="358"/>
      <c r="G24" s="358"/>
      <c r="H24" s="358"/>
      <c r="I24" s="358"/>
      <c r="J24" s="358"/>
      <c r="K24" s="358"/>
      <c r="L24" s="358"/>
      <c r="M24" s="358"/>
      <c r="N24" s="358"/>
      <c r="O24" s="358"/>
      <c r="P24" s="358"/>
      <c r="Q24" s="358"/>
      <c r="R24" s="358"/>
      <c r="S24" s="356"/>
    </row>
    <row r="25">
      <c r="A25" s="359" t="s">
        <v>114</v>
      </c>
      <c r="B25" s="360" t="s">
        <v>114</v>
      </c>
      <c r="C25" s="208" t="str">
        <f>HYPERLINK("https://play.google.com/store/apps/details?id=com.android.chrome",HYPERLINK("https://play.google.com/store/apps/details?id=com.android.chrome","com.android.chrome"))</f>
        <v>com.android.chrome</v>
      </c>
      <c r="D25" s="258" t="s">
        <v>2383</v>
      </c>
      <c r="E25" s="162" t="s">
        <v>2383</v>
      </c>
      <c r="F25" s="162" t="s">
        <v>2384</v>
      </c>
      <c r="G25" s="162" t="s">
        <v>2385</v>
      </c>
      <c r="H25" s="162" t="s">
        <v>2242</v>
      </c>
      <c r="I25" s="162" t="s">
        <v>2242</v>
      </c>
      <c r="J25" s="362" t="s">
        <v>2243</v>
      </c>
      <c r="K25" s="162" t="s">
        <v>2244</v>
      </c>
      <c r="L25" s="362" t="s">
        <v>2167</v>
      </c>
      <c r="M25" s="362" t="s">
        <v>2168</v>
      </c>
      <c r="N25" s="362" t="s">
        <v>2169</v>
      </c>
      <c r="O25" s="362" t="s">
        <v>1992</v>
      </c>
      <c r="P25" s="362" t="s">
        <v>1993</v>
      </c>
      <c r="Q25" s="362" t="s">
        <v>1994</v>
      </c>
      <c r="R25" s="362" t="s">
        <v>1994</v>
      </c>
      <c r="S25" s="356"/>
    </row>
    <row r="26">
      <c r="A26" s="363" t="s">
        <v>117</v>
      </c>
      <c r="B26" s="364" t="s">
        <v>117</v>
      </c>
      <c r="C26" s="170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6" s="168" t="s">
        <v>2386</v>
      </c>
      <c r="E26" s="365" t="s">
        <v>2387</v>
      </c>
      <c r="F26" s="365" t="s">
        <v>2388</v>
      </c>
      <c r="G26" s="365" t="s">
        <v>2389</v>
      </c>
      <c r="H26" s="365" t="s">
        <v>2245</v>
      </c>
      <c r="I26" s="365" t="s">
        <v>2246</v>
      </c>
      <c r="J26" s="262" t="s">
        <v>2247</v>
      </c>
      <c r="K26" s="365" t="s">
        <v>2248</v>
      </c>
      <c r="L26" s="262" t="s">
        <v>2170</v>
      </c>
      <c r="M26" s="262" t="s">
        <v>2171</v>
      </c>
      <c r="N26" s="262" t="s">
        <v>2172</v>
      </c>
      <c r="O26" s="262" t="s">
        <v>1998</v>
      </c>
      <c r="P26" s="367" t="s">
        <v>1999</v>
      </c>
      <c r="Q26" s="367" t="s">
        <v>1999</v>
      </c>
      <c r="R26" s="319" t="s">
        <v>2000</v>
      </c>
      <c r="S26" s="356"/>
    </row>
    <row r="27">
      <c r="A27" s="378" t="s">
        <v>886</v>
      </c>
      <c r="B27" s="379" t="s">
        <v>886</v>
      </c>
      <c r="C27" s="209" t="str">
        <f>HYPERLINK("https://play.google.com/store/apps/details?id=com.google.android.apps.tachyon","com.google.android.apps.tachyon")</f>
        <v>com.google.android.apps.tachyon</v>
      </c>
      <c r="D27" s="168"/>
      <c r="E27" s="365"/>
      <c r="F27" s="365"/>
      <c r="G27" s="408" t="s">
        <v>2390</v>
      </c>
      <c r="H27" s="387" t="s">
        <v>2249</v>
      </c>
      <c r="I27" s="387" t="s">
        <v>2250</v>
      </c>
      <c r="J27" s="388" t="s">
        <v>2251</v>
      </c>
      <c r="K27" s="387" t="s">
        <v>2252</v>
      </c>
      <c r="L27" s="388" t="s">
        <v>2173</v>
      </c>
      <c r="M27" s="388" t="s">
        <v>2174</v>
      </c>
      <c r="N27" s="388" t="s">
        <v>2175</v>
      </c>
      <c r="O27" s="388" t="s">
        <v>2004</v>
      </c>
      <c r="P27" s="389" t="s">
        <v>2005</v>
      </c>
      <c r="Q27" s="389" t="s">
        <v>2006</v>
      </c>
      <c r="R27" s="390" t="s">
        <v>2007</v>
      </c>
      <c r="S27" s="356"/>
    </row>
    <row r="28">
      <c r="A28" s="363" t="s">
        <v>123</v>
      </c>
      <c r="B28" s="364" t="s">
        <v>124</v>
      </c>
      <c r="C28" s="170" t="str">
        <f>HYPERLINK("https://play.google.com/store/apps/details?id=com.google.android.gm",HYPERLINK("https://play.google.com/store/apps/details?id=com.google.android.gm","com.google.android.gm"))</f>
        <v>com.google.android.gm</v>
      </c>
      <c r="D28" s="168" t="s">
        <v>2391</v>
      </c>
      <c r="E28" s="365" t="s">
        <v>2392</v>
      </c>
      <c r="F28" s="365" t="s">
        <v>2393</v>
      </c>
      <c r="G28" s="365" t="s">
        <v>2394</v>
      </c>
      <c r="H28" s="365" t="s">
        <v>2253</v>
      </c>
      <c r="I28" s="365" t="s">
        <v>2254</v>
      </c>
      <c r="J28" s="262" t="s">
        <v>2255</v>
      </c>
      <c r="K28" s="365" t="s">
        <v>2256</v>
      </c>
      <c r="L28" s="262" t="s">
        <v>2257</v>
      </c>
      <c r="M28" s="262" t="s">
        <v>2258</v>
      </c>
      <c r="N28" s="262" t="s">
        <v>2178</v>
      </c>
      <c r="O28" s="262" t="s">
        <v>2012</v>
      </c>
      <c r="P28" s="262" t="s">
        <v>2013</v>
      </c>
      <c r="Q28" s="262" t="s">
        <v>2014</v>
      </c>
      <c r="R28" s="319" t="s">
        <v>2015</v>
      </c>
      <c r="S28" s="356"/>
    </row>
    <row r="29">
      <c r="A29" s="363" t="s">
        <v>127</v>
      </c>
      <c r="B29" s="364" t="s">
        <v>128</v>
      </c>
      <c r="C29" s="363" t="s">
        <v>129</v>
      </c>
      <c r="D29" s="168" t="s">
        <v>2020</v>
      </c>
      <c r="E29" s="365" t="s">
        <v>2020</v>
      </c>
      <c r="F29" s="365" t="s">
        <v>2020</v>
      </c>
      <c r="G29" s="365" t="s">
        <v>2020</v>
      </c>
      <c r="H29" s="365" t="s">
        <v>2020</v>
      </c>
      <c r="I29" s="365" t="s">
        <v>2020</v>
      </c>
      <c r="J29" s="262" t="s">
        <v>2020</v>
      </c>
      <c r="K29" s="365" t="s">
        <v>2020</v>
      </c>
      <c r="L29" s="262" t="s">
        <v>2020</v>
      </c>
      <c r="M29" s="262" t="s">
        <v>2020</v>
      </c>
      <c r="N29" s="262" t="s">
        <v>2020</v>
      </c>
      <c r="O29" s="262" t="s">
        <v>2020</v>
      </c>
      <c r="P29" s="262" t="s">
        <v>2020</v>
      </c>
      <c r="Q29" s="262" t="s">
        <v>2020</v>
      </c>
      <c r="R29" s="262" t="s">
        <v>2020</v>
      </c>
      <c r="S29" s="356"/>
    </row>
    <row r="30">
      <c r="A30" s="363" t="s">
        <v>1098</v>
      </c>
      <c r="B30" s="364" t="s">
        <v>1099</v>
      </c>
      <c r="C30" s="363" t="s">
        <v>1100</v>
      </c>
      <c r="D30" s="168" t="s">
        <v>2359</v>
      </c>
      <c r="E30" s="365" t="s">
        <v>2359</v>
      </c>
      <c r="F30" s="365" t="s">
        <v>2359</v>
      </c>
      <c r="G30" s="365" t="s">
        <v>2359</v>
      </c>
      <c r="H30" s="365" t="s">
        <v>2359</v>
      </c>
      <c r="I30" s="365" t="s">
        <v>2359</v>
      </c>
      <c r="J30" s="262" t="s">
        <v>2359</v>
      </c>
      <c r="K30" s="365" t="s">
        <v>2395</v>
      </c>
      <c r="L30" s="262" t="s">
        <v>2395</v>
      </c>
      <c r="M30" s="262" t="s">
        <v>2395</v>
      </c>
      <c r="N30" s="262" t="s">
        <v>2395</v>
      </c>
      <c r="O30" s="262" t="s">
        <v>2395</v>
      </c>
      <c r="P30" s="262" t="s">
        <v>2395</v>
      </c>
      <c r="Q30" s="262" t="s">
        <v>2395</v>
      </c>
      <c r="R30" s="262" t="s">
        <v>2395</v>
      </c>
      <c r="S30" s="356"/>
    </row>
    <row r="31">
      <c r="A31" s="363" t="s">
        <v>1798</v>
      </c>
      <c r="B31" s="364" t="s">
        <v>1798</v>
      </c>
      <c r="C31" s="170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31" s="168" t="s">
        <v>2396</v>
      </c>
      <c r="E31" s="365" t="s">
        <v>2397</v>
      </c>
      <c r="F31" s="365" t="s">
        <v>2397</v>
      </c>
      <c r="G31" s="365" t="s">
        <v>2398</v>
      </c>
      <c r="H31" s="365" t="s">
        <v>2260</v>
      </c>
      <c r="I31" s="365" t="s">
        <v>2261</v>
      </c>
      <c r="J31" s="262" t="s">
        <v>2262</v>
      </c>
      <c r="K31" s="365" t="s">
        <v>2021</v>
      </c>
      <c r="L31" s="262" t="s">
        <v>2263</v>
      </c>
      <c r="M31" s="262" t="s">
        <v>2263</v>
      </c>
      <c r="N31" s="262" t="s">
        <v>2263</v>
      </c>
      <c r="O31" s="262" t="s">
        <v>2263</v>
      </c>
      <c r="P31" s="262" t="s">
        <v>2022</v>
      </c>
      <c r="Q31" s="262" t="s">
        <v>1799</v>
      </c>
      <c r="R31" s="262" t="s">
        <v>1799</v>
      </c>
      <c r="S31" s="356"/>
    </row>
    <row r="32">
      <c r="A32" s="363" t="s">
        <v>131</v>
      </c>
      <c r="B32" s="364" t="s">
        <v>131</v>
      </c>
      <c r="C32" s="170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2" s="168" t="s">
        <v>2399</v>
      </c>
      <c r="E32" s="365" t="s">
        <v>2400</v>
      </c>
      <c r="F32" s="365" t="s">
        <v>2401</v>
      </c>
      <c r="G32" s="365" t="s">
        <v>2402</v>
      </c>
      <c r="H32" s="365" t="s">
        <v>2264</v>
      </c>
      <c r="I32" s="365" t="s">
        <v>2265</v>
      </c>
      <c r="J32" s="262" t="s">
        <v>2266</v>
      </c>
      <c r="K32" s="365" t="s">
        <v>2266</v>
      </c>
      <c r="L32" s="262" t="s">
        <v>2266</v>
      </c>
      <c r="M32" s="262" t="s">
        <v>2266</v>
      </c>
      <c r="N32" s="262" t="s">
        <v>2266</v>
      </c>
      <c r="O32" s="262" t="s">
        <v>2266</v>
      </c>
      <c r="P32" s="262" t="s">
        <v>2266</v>
      </c>
      <c r="Q32" s="262" t="s">
        <v>2024</v>
      </c>
      <c r="R32" s="319" t="s">
        <v>2025</v>
      </c>
      <c r="S32" s="356"/>
    </row>
    <row r="33">
      <c r="A33" s="363" t="s">
        <v>1594</v>
      </c>
      <c r="B33" s="364" t="s">
        <v>1595</v>
      </c>
      <c r="C33" s="170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3" s="168" t="s">
        <v>2403</v>
      </c>
      <c r="E33" s="365" t="s">
        <v>2404</v>
      </c>
      <c r="F33" s="365" t="s">
        <v>2405</v>
      </c>
      <c r="G33" s="365" t="s">
        <v>2406</v>
      </c>
      <c r="H33" s="365" t="s">
        <v>2267</v>
      </c>
      <c r="I33" s="365" t="s">
        <v>2268</v>
      </c>
      <c r="J33" s="262" t="s">
        <v>2269</v>
      </c>
      <c r="K33" s="365" t="s">
        <v>2270</v>
      </c>
      <c r="L33" s="262" t="s">
        <v>2179</v>
      </c>
      <c r="M33" s="262" t="s">
        <v>2180</v>
      </c>
      <c r="N33" s="262" t="s">
        <v>2180</v>
      </c>
      <c r="O33" s="262" t="s">
        <v>2030</v>
      </c>
      <c r="P33" s="262" t="s">
        <v>2031</v>
      </c>
      <c r="Q33" s="262" t="s">
        <v>2031</v>
      </c>
      <c r="R33" s="319" t="s">
        <v>2032</v>
      </c>
      <c r="S33" s="356"/>
    </row>
    <row r="34">
      <c r="A34" s="363" t="s">
        <v>134</v>
      </c>
      <c r="B34" s="364" t="s">
        <v>135</v>
      </c>
      <c r="C34" s="210" t="str">
        <f>HYPERLINK("https://play.google.com/store/apps/details?id=com.google.android.apps.photos","com.google.android.apps.photos")</f>
        <v>com.google.android.apps.photos</v>
      </c>
      <c r="D34" s="168" t="s">
        <v>2407</v>
      </c>
      <c r="E34" s="365" t="s">
        <v>2408</v>
      </c>
      <c r="F34" s="365" t="s">
        <v>2409</v>
      </c>
      <c r="G34" s="365" t="s">
        <v>2410</v>
      </c>
      <c r="H34" s="365" t="s">
        <v>2271</v>
      </c>
      <c r="I34" s="365" t="s">
        <v>2272</v>
      </c>
      <c r="J34" s="262" t="s">
        <v>2273</v>
      </c>
      <c r="K34" s="365" t="s">
        <v>2274</v>
      </c>
      <c r="L34" s="262" t="s">
        <v>2181</v>
      </c>
      <c r="M34" s="262" t="s">
        <v>2182</v>
      </c>
      <c r="N34" s="262" t="s">
        <v>2183</v>
      </c>
      <c r="O34" s="262" t="s">
        <v>2036</v>
      </c>
      <c r="P34" s="262" t="s">
        <v>2037</v>
      </c>
      <c r="Q34" s="262" t="s">
        <v>2038</v>
      </c>
      <c r="R34" s="391" t="s">
        <v>2039</v>
      </c>
      <c r="S34" s="392"/>
    </row>
    <row r="35">
      <c r="A35" s="363" t="s">
        <v>138</v>
      </c>
      <c r="B35" s="364" t="s">
        <v>139</v>
      </c>
      <c r="C35" s="170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5" s="168" t="s">
        <v>2411</v>
      </c>
      <c r="E35" s="365" t="s">
        <v>2411</v>
      </c>
      <c r="F35" s="365" t="s">
        <v>2412</v>
      </c>
      <c r="G35" s="365" t="s">
        <v>2412</v>
      </c>
      <c r="H35" s="365" t="s">
        <v>2275</v>
      </c>
      <c r="I35" s="365" t="s">
        <v>2276</v>
      </c>
      <c r="J35" s="262" t="s">
        <v>2277</v>
      </c>
      <c r="K35" s="365" t="s">
        <v>2278</v>
      </c>
      <c r="L35" s="262" t="s">
        <v>2184</v>
      </c>
      <c r="M35" s="262" t="s">
        <v>2184</v>
      </c>
      <c r="N35" s="262" t="s">
        <v>2185</v>
      </c>
      <c r="O35" s="262" t="s">
        <v>2044</v>
      </c>
      <c r="P35" s="262" t="s">
        <v>2044</v>
      </c>
      <c r="Q35" s="262" t="s">
        <v>2044</v>
      </c>
      <c r="R35" s="319" t="s">
        <v>2045</v>
      </c>
      <c r="S35" s="356"/>
    </row>
    <row r="36">
      <c r="A36" s="363" t="s">
        <v>142</v>
      </c>
      <c r="B36" s="364" t="s">
        <v>143</v>
      </c>
      <c r="C36" s="170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6" s="168" t="s">
        <v>2383</v>
      </c>
      <c r="E36" s="365" t="s">
        <v>2383</v>
      </c>
      <c r="F36" s="365" t="s">
        <v>2384</v>
      </c>
      <c r="G36" s="365" t="s">
        <v>2385</v>
      </c>
      <c r="H36" s="365" t="s">
        <v>2242</v>
      </c>
      <c r="I36" s="365" t="s">
        <v>2242</v>
      </c>
      <c r="J36" s="262" t="s">
        <v>2243</v>
      </c>
      <c r="K36" s="365" t="s">
        <v>2244</v>
      </c>
      <c r="L36" s="262" t="s">
        <v>2167</v>
      </c>
      <c r="M36" s="262" t="s">
        <v>2168</v>
      </c>
      <c r="N36" s="262" t="s">
        <v>2169</v>
      </c>
      <c r="O36" s="262" t="s">
        <v>1992</v>
      </c>
      <c r="P36" s="262" t="s">
        <v>1993</v>
      </c>
      <c r="Q36" s="262" t="s">
        <v>1994</v>
      </c>
      <c r="R36" s="262" t="s">
        <v>1994</v>
      </c>
      <c r="S36" s="356"/>
    </row>
    <row r="37">
      <c r="A37" s="363" t="s">
        <v>145</v>
      </c>
      <c r="B37" s="364" t="s">
        <v>145</v>
      </c>
      <c r="C37" s="170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7" s="168" t="s">
        <v>2413</v>
      </c>
      <c r="E37" s="365" t="s">
        <v>2414</v>
      </c>
      <c r="F37" s="365" t="s">
        <v>2415</v>
      </c>
      <c r="G37" s="365" t="s">
        <v>2416</v>
      </c>
      <c r="H37" s="365" t="s">
        <v>2279</v>
      </c>
      <c r="I37" s="365" t="s">
        <v>2280</v>
      </c>
      <c r="J37" s="262" t="s">
        <v>2281</v>
      </c>
      <c r="K37" s="365" t="s">
        <v>2282</v>
      </c>
      <c r="L37" s="262" t="s">
        <v>2186</v>
      </c>
      <c r="M37" s="262" t="s">
        <v>2187</v>
      </c>
      <c r="N37" s="262" t="s">
        <v>2188</v>
      </c>
      <c r="O37" s="262" t="s">
        <v>2050</v>
      </c>
      <c r="P37" s="262" t="s">
        <v>2051</v>
      </c>
      <c r="Q37" s="262" t="s">
        <v>2052</v>
      </c>
      <c r="R37" s="391" t="s">
        <v>2053</v>
      </c>
      <c r="S37" s="356"/>
    </row>
    <row r="38">
      <c r="A38" s="363" t="s">
        <v>1388</v>
      </c>
      <c r="B38" s="364" t="s">
        <v>1389</v>
      </c>
      <c r="C38" s="170" t="str">
        <f>HYPERLINK("https://play.google.com/store/apps/details?id=com.google.android.tts",HYPERLINK("https://play.google.com/store/apps/details?id=com.google.android.tts","com.google.android.tts"))</f>
        <v>com.google.android.tts</v>
      </c>
      <c r="D38" s="168" t="s">
        <v>2417</v>
      </c>
      <c r="E38" s="365" t="s">
        <v>2417</v>
      </c>
      <c r="F38" s="365" t="s">
        <v>2283</v>
      </c>
      <c r="G38" s="365" t="s">
        <v>2283</v>
      </c>
      <c r="H38" s="365" t="s">
        <v>2283</v>
      </c>
      <c r="I38" s="365" t="s">
        <v>2283</v>
      </c>
      <c r="J38" s="262" t="s">
        <v>2283</v>
      </c>
      <c r="K38" s="365" t="s">
        <v>2284</v>
      </c>
      <c r="L38" s="262" t="s">
        <v>2284</v>
      </c>
      <c r="M38" s="262" t="s">
        <v>2284</v>
      </c>
      <c r="N38" s="262" t="s">
        <v>2284</v>
      </c>
      <c r="O38" s="262" t="s">
        <v>2058</v>
      </c>
      <c r="P38" s="262" t="s">
        <v>2058</v>
      </c>
      <c r="Q38" s="262" t="s">
        <v>2059</v>
      </c>
      <c r="R38" s="262" t="s">
        <v>2059</v>
      </c>
      <c r="S38" s="356"/>
    </row>
    <row r="39">
      <c r="A39" s="378" t="s">
        <v>2285</v>
      </c>
      <c r="B39" s="393" t="s">
        <v>2286</v>
      </c>
      <c r="C39" s="170" t="str">
        <f>HYPERLINK("https://play.google.com/store/apps/details?id=com.google.android.apps.walletnfcrel",HYPERLINK("https://play.google.com/store/apps/details?id=com.google.android.apps.walletnfcrel","com.google.android.apps.walletnfcrel"))</f>
        <v>com.google.android.apps.walletnfcrel</v>
      </c>
      <c r="D39" s="168" t="s">
        <v>2418</v>
      </c>
      <c r="E39" s="365" t="s">
        <v>2419</v>
      </c>
      <c r="F39" s="365" t="s">
        <v>2420</v>
      </c>
      <c r="G39" s="365" t="s">
        <v>2421</v>
      </c>
      <c r="H39" s="365" t="s">
        <v>2287</v>
      </c>
      <c r="I39" s="365" t="s">
        <v>2288</v>
      </c>
      <c r="J39" s="262" t="s">
        <v>2289</v>
      </c>
      <c r="K39" s="365" t="s">
        <v>1597</v>
      </c>
      <c r="L39" s="262" t="s">
        <v>1597</v>
      </c>
      <c r="M39" s="262" t="s">
        <v>1597</v>
      </c>
      <c r="N39" s="262" t="s">
        <v>1597</v>
      </c>
      <c r="O39" s="262" t="s">
        <v>1597</v>
      </c>
      <c r="P39" s="262" t="s">
        <v>1597</v>
      </c>
      <c r="Q39" s="262" t="s">
        <v>1597</v>
      </c>
      <c r="R39" s="262" t="s">
        <v>1597</v>
      </c>
      <c r="S39" s="356"/>
    </row>
    <row r="40">
      <c r="A40" s="363" t="s">
        <v>2290</v>
      </c>
      <c r="B40" s="377" t="s">
        <v>2291</v>
      </c>
      <c r="C40" s="170" t="str">
        <f>HYPERLINK("https://play.google.com/store/apps/details?id=com.google.android.apps.books","com.google.android.apps.books")</f>
        <v>com.google.android.apps.books</v>
      </c>
      <c r="D40" s="168" t="s">
        <v>2422</v>
      </c>
      <c r="E40" s="365" t="s">
        <v>2423</v>
      </c>
      <c r="F40" s="365" t="s">
        <v>2424</v>
      </c>
      <c r="G40" s="365" t="s">
        <v>2424</v>
      </c>
      <c r="H40" s="365" t="s">
        <v>2292</v>
      </c>
      <c r="I40" s="365" t="s">
        <v>2292</v>
      </c>
      <c r="J40" s="262" t="s">
        <v>2293</v>
      </c>
      <c r="K40" s="365" t="s">
        <v>1597</v>
      </c>
      <c r="L40" s="262" t="s">
        <v>1597</v>
      </c>
      <c r="M40" s="262" t="s">
        <v>1597</v>
      </c>
      <c r="N40" s="262" t="s">
        <v>1597</v>
      </c>
      <c r="O40" s="262" t="s">
        <v>1597</v>
      </c>
      <c r="P40" s="262" t="s">
        <v>1597</v>
      </c>
      <c r="Q40" s="262" t="s">
        <v>1597</v>
      </c>
      <c r="R40" s="262" t="s">
        <v>1597</v>
      </c>
      <c r="S40" s="356"/>
    </row>
    <row r="41">
      <c r="A41" s="378" t="s">
        <v>157</v>
      </c>
      <c r="B41" s="393" t="s">
        <v>158</v>
      </c>
      <c r="C41" s="394" t="s">
        <v>159</v>
      </c>
      <c r="D41" s="168" t="s">
        <v>2425</v>
      </c>
      <c r="E41" s="365" t="s">
        <v>2426</v>
      </c>
      <c r="F41" s="365" t="s">
        <v>2426</v>
      </c>
      <c r="G41" s="365" t="s">
        <v>2294</v>
      </c>
      <c r="H41" s="365" t="s">
        <v>2294</v>
      </c>
      <c r="I41" s="371" t="s">
        <v>2295</v>
      </c>
      <c r="J41" s="262" t="s">
        <v>2296</v>
      </c>
      <c r="K41" s="365" t="s">
        <v>2296</v>
      </c>
      <c r="L41" s="275" t="s">
        <v>947</v>
      </c>
      <c r="M41" s="275" t="s">
        <v>947</v>
      </c>
      <c r="N41" s="275" t="s">
        <v>947</v>
      </c>
      <c r="O41" s="275" t="s">
        <v>948</v>
      </c>
      <c r="P41" s="262" t="s">
        <v>1837</v>
      </c>
      <c r="Q41" s="262" t="s">
        <v>1837</v>
      </c>
      <c r="R41" s="262" t="s">
        <v>1837</v>
      </c>
      <c r="S41" s="356"/>
    </row>
    <row r="42">
      <c r="A42" s="363" t="s">
        <v>162</v>
      </c>
      <c r="B42" s="377" t="s">
        <v>163</v>
      </c>
      <c r="C42" s="170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2" s="168" t="s">
        <v>2427</v>
      </c>
      <c r="E42" s="365" t="s">
        <v>2428</v>
      </c>
      <c r="F42" s="365" t="s">
        <v>2429</v>
      </c>
      <c r="G42" s="365" t="s">
        <v>2430</v>
      </c>
      <c r="H42" s="365" t="s">
        <v>2297</v>
      </c>
      <c r="I42" s="365" t="s">
        <v>2298</v>
      </c>
      <c r="J42" s="262" t="s">
        <v>2299</v>
      </c>
      <c r="K42" s="365" t="s">
        <v>2300</v>
      </c>
      <c r="L42" s="262" t="s">
        <v>2190</v>
      </c>
      <c r="M42" s="262" t="s">
        <v>2191</v>
      </c>
      <c r="N42" s="262" t="s">
        <v>2192</v>
      </c>
      <c r="O42" s="262" t="s">
        <v>2061</v>
      </c>
      <c r="P42" s="262" t="s">
        <v>2062</v>
      </c>
      <c r="Q42" s="262" t="s">
        <v>2063</v>
      </c>
      <c r="R42" s="391" t="s">
        <v>2064</v>
      </c>
      <c r="S42" s="356"/>
    </row>
    <row r="43">
      <c r="A43" s="363" t="s">
        <v>2301</v>
      </c>
      <c r="B43" s="377" t="s">
        <v>2302</v>
      </c>
      <c r="C43" s="170" t="str">
        <f>HYPERLINK("https://play.google.com/store/apps/details?id=com.google.android.apps.cloudprint",HYPERLINK("https://play.google.com/store/apps/details?id=com.google.android.apps.cloudprint","com.google.android.apps.cloudprint"))</f>
        <v>com.google.android.apps.cloudprint</v>
      </c>
      <c r="D43" s="168" t="s">
        <v>2431</v>
      </c>
      <c r="E43" s="365" t="s">
        <v>2303</v>
      </c>
      <c r="F43" s="365" t="s">
        <v>2303</v>
      </c>
      <c r="G43" s="365" t="s">
        <v>2303</v>
      </c>
      <c r="H43" s="365" t="s">
        <v>2303</v>
      </c>
      <c r="I43" s="365" t="s">
        <v>2303</v>
      </c>
      <c r="J43" s="262" t="s">
        <v>2303</v>
      </c>
      <c r="K43" s="365" t="s">
        <v>1597</v>
      </c>
      <c r="L43" s="262" t="s">
        <v>1597</v>
      </c>
      <c r="M43" s="262" t="s">
        <v>1597</v>
      </c>
      <c r="N43" s="262" t="s">
        <v>1597</v>
      </c>
      <c r="O43" s="262" t="s">
        <v>1597</v>
      </c>
      <c r="P43" s="262" t="s">
        <v>1597</v>
      </c>
      <c r="Q43" s="262" t="s">
        <v>1597</v>
      </c>
      <c r="R43" s="262" t="s">
        <v>1597</v>
      </c>
      <c r="S43" s="356"/>
    </row>
    <row r="44">
      <c r="A44" s="363" t="s">
        <v>179</v>
      </c>
      <c r="B44" s="377" t="s">
        <v>180</v>
      </c>
      <c r="C44" s="222" t="str">
        <f>HYPERLINK("https://play.google.com/store/apps/details?id=com.google.android.deskclock","com.google.android.deskclock")</f>
        <v>com.google.android.deskclock</v>
      </c>
      <c r="D44" s="168" t="s">
        <v>2432</v>
      </c>
      <c r="E44" s="365" t="s">
        <v>2432</v>
      </c>
      <c r="F44" s="365" t="s">
        <v>2432</v>
      </c>
      <c r="G44" s="365" t="s">
        <v>2304</v>
      </c>
      <c r="H44" s="365" t="s">
        <v>2304</v>
      </c>
      <c r="I44" s="365" t="s">
        <v>2304</v>
      </c>
      <c r="J44" s="262" t="s">
        <v>2305</v>
      </c>
      <c r="K44" s="365" t="s">
        <v>2305</v>
      </c>
      <c r="L44" s="275" t="s">
        <v>2069</v>
      </c>
      <c r="M44" s="275" t="s">
        <v>2069</v>
      </c>
      <c r="N44" s="275" t="s">
        <v>2069</v>
      </c>
      <c r="O44" s="275" t="s">
        <v>2069</v>
      </c>
      <c r="P44" s="275" t="s">
        <v>2069</v>
      </c>
      <c r="Q44" s="275" t="s">
        <v>2069</v>
      </c>
      <c r="R44" s="275" t="s">
        <v>2069</v>
      </c>
      <c r="S44" s="356"/>
    </row>
    <row r="45">
      <c r="A45" s="363" t="s">
        <v>2306</v>
      </c>
      <c r="B45" s="377" t="s">
        <v>2307</v>
      </c>
      <c r="C45" s="170" t="str">
        <f>HYPERLINK("https://play.google.com/store/apps/details?id=com.google.android.apps.enterprise.dmagent",HYPERLINK("https://play.google.com/store/apps/details?id=com.google.android.apps.enterprise.dmagent","com.google.android.apps.enterprise.dmagent"))</f>
        <v>com.google.android.apps.enterprise.dmagent</v>
      </c>
      <c r="D45" s="168">
        <v>7.03</v>
      </c>
      <c r="E45" s="365">
        <v>7.03</v>
      </c>
      <c r="F45" s="365">
        <v>7.03</v>
      </c>
      <c r="G45" s="365">
        <v>7.03</v>
      </c>
      <c r="H45" s="365">
        <v>7.03</v>
      </c>
      <c r="I45" s="365">
        <v>7.03</v>
      </c>
      <c r="J45" s="317" t="s">
        <v>2308</v>
      </c>
      <c r="K45" s="365" t="s">
        <v>1597</v>
      </c>
      <c r="L45" s="262" t="s">
        <v>1597</v>
      </c>
      <c r="M45" s="262" t="s">
        <v>1597</v>
      </c>
      <c r="N45" s="262" t="s">
        <v>1597</v>
      </c>
      <c r="O45" s="262" t="s">
        <v>1597</v>
      </c>
      <c r="P45" s="262" t="s">
        <v>1597</v>
      </c>
      <c r="Q45" s="262" t="s">
        <v>1597</v>
      </c>
      <c r="R45" s="262" t="s">
        <v>1597</v>
      </c>
      <c r="S45" s="356"/>
    </row>
    <row r="46">
      <c r="A46" s="363" t="s">
        <v>2309</v>
      </c>
      <c r="B46" s="395" t="s">
        <v>2310</v>
      </c>
      <c r="C46" s="396" t="str">
        <f>HYPERLINK("https://play.google.com/store/apps/details?id=com.google.android.apps.docs.editors.docs",HYPERLINK("https://play.google.com/store/apps/details?id=com.google.android.apps.docs.editors.docs","com.google.android.apps.docs.editors.docs"))</f>
        <v>com.google.android.apps.docs.editors.docs</v>
      </c>
      <c r="D46" s="168" t="s">
        <v>2433</v>
      </c>
      <c r="E46" s="365" t="s">
        <v>2434</v>
      </c>
      <c r="F46" s="365" t="s">
        <v>2435</v>
      </c>
      <c r="G46" s="365" t="s">
        <v>2436</v>
      </c>
      <c r="H46" s="278" t="s">
        <v>2311</v>
      </c>
      <c r="I46" s="278" t="s">
        <v>2312</v>
      </c>
      <c r="J46" s="278" t="s">
        <v>2312</v>
      </c>
      <c r="K46" s="365" t="s">
        <v>1597</v>
      </c>
      <c r="L46" s="262" t="s">
        <v>1597</v>
      </c>
      <c r="M46" s="262" t="s">
        <v>1597</v>
      </c>
      <c r="N46" s="262" t="s">
        <v>1597</v>
      </c>
      <c r="O46" s="262" t="s">
        <v>1597</v>
      </c>
      <c r="P46" s="262" t="s">
        <v>1597</v>
      </c>
      <c r="Q46" s="262" t="s">
        <v>1597</v>
      </c>
      <c r="R46" s="262" t="s">
        <v>1597</v>
      </c>
      <c r="S46" s="356"/>
    </row>
    <row r="47">
      <c r="A47" s="363" t="s">
        <v>2313</v>
      </c>
      <c r="B47" s="395" t="s">
        <v>2314</v>
      </c>
      <c r="C47" s="396" t="str">
        <f>HYPERLINK("https://play.google.com/store/apps/details?id=com.google.android.apps.docs.editors.sheets",HYPERLINK("https://play.google.com/store/apps/details?id=com.google.android.apps.docs.editors.sheets","com.google.android.apps.docs.editors.sheets"))</f>
        <v>com.google.android.apps.docs.editors.sheets</v>
      </c>
      <c r="D47" s="168" t="s">
        <v>2437</v>
      </c>
      <c r="E47" s="365" t="s">
        <v>2438</v>
      </c>
      <c r="F47" s="365" t="s">
        <v>2439</v>
      </c>
      <c r="G47" s="365" t="s">
        <v>2440</v>
      </c>
      <c r="H47" s="278" t="s">
        <v>2315</v>
      </c>
      <c r="I47" s="278" t="s">
        <v>2312</v>
      </c>
      <c r="J47" s="278" t="s">
        <v>2312</v>
      </c>
      <c r="K47" s="365" t="s">
        <v>1597</v>
      </c>
      <c r="L47" s="262" t="s">
        <v>1597</v>
      </c>
      <c r="M47" s="262" t="s">
        <v>1597</v>
      </c>
      <c r="N47" s="262" t="s">
        <v>1597</v>
      </c>
      <c r="O47" s="262" t="s">
        <v>1597</v>
      </c>
      <c r="P47" s="262" t="s">
        <v>1597</v>
      </c>
      <c r="Q47" s="262" t="s">
        <v>1597</v>
      </c>
      <c r="R47" s="262" t="s">
        <v>1597</v>
      </c>
      <c r="S47" s="356"/>
    </row>
    <row r="48">
      <c r="A48" s="363" t="s">
        <v>2316</v>
      </c>
      <c r="B48" s="395" t="s">
        <v>2317</v>
      </c>
      <c r="C48" s="396" t="str">
        <f>HYPERLINK("https://play.google.com/store/apps/details?id=com.google.android.apps.docs.editors.slides",HYPERLINK("https://play.google.com/store/apps/details?id=com.google.android.apps.docs.editors.slides","com.google.android.apps.docs.editors.slides"))</f>
        <v>com.google.android.apps.docs.editors.slides</v>
      </c>
      <c r="D48" s="168" t="s">
        <v>2441</v>
      </c>
      <c r="E48" s="365" t="s">
        <v>2442</v>
      </c>
      <c r="F48" s="365" t="s">
        <v>2443</v>
      </c>
      <c r="G48" s="365" t="s">
        <v>2444</v>
      </c>
      <c r="H48" s="278" t="s">
        <v>2318</v>
      </c>
      <c r="I48" s="278" t="s">
        <v>2319</v>
      </c>
      <c r="J48" s="278" t="s">
        <v>2319</v>
      </c>
      <c r="K48" s="365" t="s">
        <v>1597</v>
      </c>
      <c r="L48" s="262" t="s">
        <v>1597</v>
      </c>
      <c r="M48" s="262" t="s">
        <v>1597</v>
      </c>
      <c r="N48" s="262" t="s">
        <v>1597</v>
      </c>
      <c r="O48" s="262" t="s">
        <v>1597</v>
      </c>
      <c r="P48" s="262" t="s">
        <v>1597</v>
      </c>
      <c r="Q48" s="262" t="s">
        <v>1597</v>
      </c>
      <c r="R48" s="262" t="s">
        <v>1597</v>
      </c>
      <c r="S48" s="356"/>
    </row>
    <row r="49">
      <c r="A49" s="363" t="s">
        <v>1629</v>
      </c>
      <c r="B49" s="377" t="s">
        <v>1630</v>
      </c>
      <c r="C49" s="363" t="s">
        <v>1631</v>
      </c>
      <c r="D49" s="168" t="s">
        <v>2359</v>
      </c>
      <c r="E49" s="365" t="s">
        <v>2359</v>
      </c>
      <c r="F49" s="365" t="s">
        <v>2359</v>
      </c>
      <c r="G49" s="365" t="s">
        <v>2359</v>
      </c>
      <c r="H49" s="365" t="s">
        <v>2359</v>
      </c>
      <c r="I49" s="365" t="s">
        <v>2359</v>
      </c>
      <c r="J49" s="262" t="s">
        <v>2359</v>
      </c>
      <c r="K49" s="365" t="s">
        <v>2359</v>
      </c>
      <c r="L49" s="262" t="s">
        <v>2359</v>
      </c>
      <c r="M49" s="262" t="s">
        <v>2359</v>
      </c>
      <c r="N49" s="262" t="s">
        <v>2359</v>
      </c>
      <c r="O49" s="262" t="s">
        <v>2359</v>
      </c>
      <c r="P49" s="262" t="s">
        <v>2359</v>
      </c>
      <c r="Q49" s="262" t="s">
        <v>2359</v>
      </c>
      <c r="R49" s="262" t="s">
        <v>2359</v>
      </c>
      <c r="S49" s="356"/>
    </row>
    <row r="50">
      <c r="A50" s="363" t="s">
        <v>2320</v>
      </c>
      <c r="B50" s="377" t="s">
        <v>2321</v>
      </c>
      <c r="C50" s="170" t="str">
        <f>HYPERLINK("https://play.google.com/store/apps/details?id=com.google.android.apps.inputmethod.hindi",HYPERLINK("https://play.google.com/store/apps/details?id=com.google.android.apps.inputmethod.hindi","com.google.android.apps.inputmethod.hindi"))</f>
        <v>com.google.android.apps.inputmethod.hindi</v>
      </c>
      <c r="D50" s="168" t="s">
        <v>2322</v>
      </c>
      <c r="E50" s="365" t="s">
        <v>2322</v>
      </c>
      <c r="F50" s="365" t="s">
        <v>2322</v>
      </c>
      <c r="G50" s="365" t="s">
        <v>2322</v>
      </c>
      <c r="H50" s="365" t="s">
        <v>2322</v>
      </c>
      <c r="I50" s="365" t="s">
        <v>2322</v>
      </c>
      <c r="J50" s="262" t="s">
        <v>2322</v>
      </c>
      <c r="K50" s="365" t="s">
        <v>2322</v>
      </c>
      <c r="L50" s="262" t="s">
        <v>2322</v>
      </c>
      <c r="M50" s="262" t="s">
        <v>2322</v>
      </c>
      <c r="N50" s="262" t="s">
        <v>2322</v>
      </c>
      <c r="O50" s="262" t="s">
        <v>2322</v>
      </c>
      <c r="P50" s="262" t="s">
        <v>2322</v>
      </c>
      <c r="Q50" s="262" t="s">
        <v>2322</v>
      </c>
      <c r="R50" s="262" t="s">
        <v>2322</v>
      </c>
      <c r="S50" s="356"/>
    </row>
    <row r="51">
      <c r="A51" s="363" t="s">
        <v>2070</v>
      </c>
      <c r="B51" s="377" t="s">
        <v>2071</v>
      </c>
      <c r="C51" s="170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51" s="168" t="s">
        <v>2323</v>
      </c>
      <c r="E51" s="365" t="s">
        <v>2323</v>
      </c>
      <c r="F51" s="365" t="s">
        <v>2323</v>
      </c>
      <c r="G51" s="365" t="s">
        <v>2323</v>
      </c>
      <c r="H51" s="365" t="s">
        <v>2323</v>
      </c>
      <c r="I51" s="365" t="s">
        <v>2323</v>
      </c>
      <c r="J51" s="262" t="s">
        <v>2323</v>
      </c>
      <c r="K51" s="365" t="s">
        <v>2323</v>
      </c>
      <c r="L51" s="262" t="s">
        <v>2323</v>
      </c>
      <c r="M51" s="262" t="s">
        <v>2323</v>
      </c>
      <c r="N51" s="262" t="s">
        <v>2323</v>
      </c>
      <c r="O51" s="262" t="s">
        <v>2323</v>
      </c>
      <c r="P51" s="262" t="s">
        <v>2323</v>
      </c>
      <c r="Q51" s="262" t="s">
        <v>2323</v>
      </c>
      <c r="R51" s="262" t="s">
        <v>2323</v>
      </c>
      <c r="S51" s="356"/>
    </row>
    <row r="52">
      <c r="A52" s="363" t="s">
        <v>2073</v>
      </c>
      <c r="B52" s="377" t="s">
        <v>2074</v>
      </c>
      <c r="C52" s="210" t="str">
        <f>HYPERLINK("https://play.google.com/store/apps/details?id=com.google.android.inputmethod.japanese","com.google.android.inputmethod.japanese")</f>
        <v>com.google.android.inputmethod.japanese</v>
      </c>
      <c r="D52" s="168" t="s">
        <v>2324</v>
      </c>
      <c r="E52" s="365" t="s">
        <v>2324</v>
      </c>
      <c r="F52" s="365" t="s">
        <v>2324</v>
      </c>
      <c r="G52" s="365" t="s">
        <v>2324</v>
      </c>
      <c r="H52" s="365" t="s">
        <v>2324</v>
      </c>
      <c r="I52" s="365" t="s">
        <v>2324</v>
      </c>
      <c r="J52" s="262" t="s">
        <v>2324</v>
      </c>
      <c r="K52" s="365" t="s">
        <v>2324</v>
      </c>
      <c r="L52" s="262" t="s">
        <v>2324</v>
      </c>
      <c r="M52" s="262" t="s">
        <v>2324</v>
      </c>
      <c r="N52" s="262" t="s">
        <v>2324</v>
      </c>
      <c r="O52" s="262" t="s">
        <v>2324</v>
      </c>
      <c r="P52" s="262" t="s">
        <v>2324</v>
      </c>
      <c r="Q52" s="262" t="s">
        <v>2324</v>
      </c>
      <c r="R52" s="262" t="s">
        <v>2324</v>
      </c>
      <c r="S52" s="356"/>
    </row>
    <row r="53">
      <c r="A53" s="363" t="s">
        <v>191</v>
      </c>
      <c r="B53" s="377" t="s">
        <v>191</v>
      </c>
      <c r="C53" s="170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53" s="168" t="s">
        <v>2445</v>
      </c>
      <c r="E53" s="365" t="s">
        <v>2446</v>
      </c>
      <c r="F53" s="365" t="s">
        <v>2447</v>
      </c>
      <c r="G53" s="365" t="s">
        <v>2448</v>
      </c>
      <c r="H53" s="365" t="s">
        <v>2325</v>
      </c>
      <c r="I53" s="365" t="s">
        <v>2326</v>
      </c>
      <c r="J53" s="262" t="s">
        <v>2327</v>
      </c>
      <c r="K53" s="365" t="s">
        <v>2328</v>
      </c>
      <c r="L53" s="262" t="s">
        <v>2193</v>
      </c>
      <c r="M53" s="262" t="s">
        <v>2194</v>
      </c>
      <c r="N53" s="262" t="s">
        <v>2195</v>
      </c>
      <c r="O53" s="262" t="s">
        <v>2076</v>
      </c>
      <c r="P53" s="262" t="s">
        <v>2077</v>
      </c>
      <c r="Q53" s="262" t="s">
        <v>2078</v>
      </c>
      <c r="R53" s="319" t="s">
        <v>2079</v>
      </c>
      <c r="S53" s="356"/>
    </row>
    <row r="54">
      <c r="A54" s="363" t="s">
        <v>2084</v>
      </c>
      <c r="B54" s="377" t="s">
        <v>2085</v>
      </c>
      <c r="C54" s="170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54" s="168" t="s">
        <v>2329</v>
      </c>
      <c r="E54" s="365" t="s">
        <v>2329</v>
      </c>
      <c r="F54" s="365" t="s">
        <v>2329</v>
      </c>
      <c r="G54" s="365" t="s">
        <v>2329</v>
      </c>
      <c r="H54" s="365" t="s">
        <v>2329</v>
      </c>
      <c r="I54" s="365" t="s">
        <v>2329</v>
      </c>
      <c r="J54" s="262" t="s">
        <v>2329</v>
      </c>
      <c r="K54" s="365" t="s">
        <v>2329</v>
      </c>
      <c r="L54" s="262" t="s">
        <v>2329</v>
      </c>
      <c r="M54" s="262" t="s">
        <v>2329</v>
      </c>
      <c r="N54" s="262" t="s">
        <v>2329</v>
      </c>
      <c r="O54" s="262" t="s">
        <v>2329</v>
      </c>
      <c r="P54" s="262" t="s">
        <v>2329</v>
      </c>
      <c r="Q54" s="262" t="s">
        <v>2329</v>
      </c>
      <c r="R54" s="262" t="s">
        <v>2329</v>
      </c>
      <c r="S54" s="356"/>
    </row>
    <row r="55">
      <c r="A55" s="363" t="s">
        <v>194</v>
      </c>
      <c r="B55" s="377" t="s">
        <v>195</v>
      </c>
      <c r="C55" s="170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55" s="168" t="s">
        <v>2330</v>
      </c>
      <c r="E55" s="365" t="s">
        <v>2330</v>
      </c>
      <c r="F55" s="365" t="s">
        <v>2330</v>
      </c>
      <c r="G55" s="365" t="s">
        <v>2330</v>
      </c>
      <c r="H55" s="365" t="s">
        <v>2330</v>
      </c>
      <c r="I55" s="365" t="s">
        <v>2330</v>
      </c>
      <c r="J55" s="262" t="s">
        <v>2330</v>
      </c>
      <c r="K55" s="365" t="s">
        <v>2330</v>
      </c>
      <c r="L55" s="262" t="s">
        <v>2330</v>
      </c>
      <c r="M55" s="262" t="s">
        <v>2330</v>
      </c>
      <c r="N55" s="262" t="s">
        <v>2330</v>
      </c>
      <c r="O55" s="262" t="s">
        <v>2330</v>
      </c>
      <c r="P55" s="262" t="s">
        <v>2330</v>
      </c>
      <c r="Q55" s="262" t="s">
        <v>2330</v>
      </c>
      <c r="R55" s="262" t="s">
        <v>2330</v>
      </c>
      <c r="S55" s="356"/>
    </row>
    <row r="56">
      <c r="A56" s="363" t="s">
        <v>2331</v>
      </c>
      <c r="B56" s="377" t="s">
        <v>2332</v>
      </c>
      <c r="C56" s="170" t="str">
        <f>HYPERLINK("https://play.google.com/store/apps/details?id=com.google.android.play.games",HYPERLINK("https://play.google.com/store/apps/details?id=com.google.android.play.games","com.google.android.play.games"))</f>
        <v>com.google.android.play.games</v>
      </c>
      <c r="D56" s="168" t="s">
        <v>2449</v>
      </c>
      <c r="E56" s="365" t="s">
        <v>2450</v>
      </c>
      <c r="F56" s="365" t="s">
        <v>2450</v>
      </c>
      <c r="G56" s="365" t="s">
        <v>2450</v>
      </c>
      <c r="H56" s="365" t="s">
        <v>2333</v>
      </c>
      <c r="I56" s="365" t="s">
        <v>2333</v>
      </c>
      <c r="J56" s="262" t="s">
        <v>2333</v>
      </c>
      <c r="K56" s="365" t="s">
        <v>1597</v>
      </c>
      <c r="L56" s="262" t="s">
        <v>1597</v>
      </c>
      <c r="M56" s="262" t="s">
        <v>1597</v>
      </c>
      <c r="N56" s="262" t="s">
        <v>1597</v>
      </c>
      <c r="O56" s="262" t="s">
        <v>1597</v>
      </c>
      <c r="P56" s="262" t="s">
        <v>1597</v>
      </c>
      <c r="Q56" s="262" t="s">
        <v>1597</v>
      </c>
      <c r="R56" s="262" t="s">
        <v>1597</v>
      </c>
      <c r="S56" s="356"/>
    </row>
    <row r="57">
      <c r="A57" s="363" t="s">
        <v>2334</v>
      </c>
      <c r="B57" s="377" t="s">
        <v>2335</v>
      </c>
      <c r="C57" s="170" t="str">
        <f>HYPERLINK("https://play.google.com/store/apps/details?id=com.google.android.apps.plus",HYPERLINK("https://play.google.com/store/apps/details?id=com.google.android.apps.plus","com.google.android.apps.plus"))</f>
        <v>com.google.android.apps.plus</v>
      </c>
      <c r="D57" s="168" t="s">
        <v>2451</v>
      </c>
      <c r="E57" s="365" t="s">
        <v>2452</v>
      </c>
      <c r="F57" s="365" t="s">
        <v>2453</v>
      </c>
      <c r="G57" s="365" t="s">
        <v>2454</v>
      </c>
      <c r="H57" s="365" t="s">
        <v>2336</v>
      </c>
      <c r="I57" s="365" t="s">
        <v>2336</v>
      </c>
      <c r="J57" s="262" t="s">
        <v>2337</v>
      </c>
      <c r="K57" s="365" t="s">
        <v>1597</v>
      </c>
      <c r="L57" s="262" t="s">
        <v>1597</v>
      </c>
      <c r="M57" s="262" t="s">
        <v>1597</v>
      </c>
      <c r="N57" s="262" t="s">
        <v>1597</v>
      </c>
      <c r="O57" s="262" t="s">
        <v>1597</v>
      </c>
      <c r="P57" s="262" t="s">
        <v>1597</v>
      </c>
      <c r="Q57" s="262" t="s">
        <v>1597</v>
      </c>
      <c r="R57" s="262" t="s">
        <v>1597</v>
      </c>
      <c r="S57" s="356"/>
    </row>
    <row r="58">
      <c r="A58" s="363" t="s">
        <v>198</v>
      </c>
      <c r="B58" s="377" t="s">
        <v>199</v>
      </c>
      <c r="C58" s="170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58" s="328" t="s">
        <v>2455</v>
      </c>
      <c r="E58" s="368" t="s">
        <v>2338</v>
      </c>
      <c r="F58" s="368" t="s">
        <v>2338</v>
      </c>
      <c r="G58" s="368" t="s">
        <v>2338</v>
      </c>
      <c r="H58" s="368" t="s">
        <v>2338</v>
      </c>
      <c r="I58" s="368" t="s">
        <v>2339</v>
      </c>
      <c r="J58" s="369" t="s">
        <v>2339</v>
      </c>
      <c r="K58" s="368" t="s">
        <v>2340</v>
      </c>
      <c r="L58" s="369" t="s">
        <v>2341</v>
      </c>
      <c r="M58" s="369" t="s">
        <v>2341</v>
      </c>
      <c r="N58" s="369" t="s">
        <v>2341</v>
      </c>
      <c r="O58" s="369" t="s">
        <v>2341</v>
      </c>
      <c r="P58" s="369" t="s">
        <v>2341</v>
      </c>
      <c r="Q58" s="369" t="s">
        <v>2095</v>
      </c>
      <c r="R58" s="369" t="s">
        <v>2095</v>
      </c>
      <c r="S58" s="356"/>
    </row>
    <row r="59">
      <c r="A59" s="363" t="s">
        <v>2342</v>
      </c>
      <c r="B59" s="377" t="s">
        <v>2343</v>
      </c>
      <c r="C59" s="170" t="str">
        <f>HYPERLINK("https://play.google.com/store/apps/details?id=com.google.android.apps.magazines",HYPERLINK("https://play.google.com/store/apps/details?id=com.google.android.apps.magazines","com.google.android.apps.magazines"))</f>
        <v>com.google.android.apps.magazines</v>
      </c>
      <c r="D59" s="168" t="s">
        <v>2456</v>
      </c>
      <c r="E59" s="365" t="s">
        <v>2456</v>
      </c>
      <c r="F59" s="365" t="s">
        <v>2457</v>
      </c>
      <c r="G59" s="365" t="s">
        <v>2457</v>
      </c>
      <c r="H59" s="365" t="s">
        <v>2344</v>
      </c>
      <c r="I59" s="365" t="s">
        <v>2344</v>
      </c>
      <c r="J59" s="262" t="s">
        <v>2345</v>
      </c>
      <c r="K59" s="365" t="s">
        <v>1597</v>
      </c>
      <c r="L59" s="262" t="s">
        <v>1597</v>
      </c>
      <c r="M59" s="262" t="s">
        <v>1597</v>
      </c>
      <c r="N59" s="262" t="s">
        <v>1597</v>
      </c>
      <c r="O59" s="262" t="s">
        <v>1597</v>
      </c>
      <c r="P59" s="262" t="s">
        <v>1597</v>
      </c>
      <c r="Q59" s="262" t="s">
        <v>1597</v>
      </c>
      <c r="R59" s="262" t="s">
        <v>1597</v>
      </c>
      <c r="S59" s="356"/>
    </row>
    <row r="60">
      <c r="A60" s="363" t="s">
        <v>2346</v>
      </c>
      <c r="B60" s="377" t="s">
        <v>2347</v>
      </c>
      <c r="C60" s="170" t="str">
        <f>HYPERLINK("https://play.google.com/store/apps/details?id=com.google.android.apps.genie.geniewidget",HYPERLINK("https://play.google.com/store/apps/details?id=com.google.android.apps.genie.geniewidget","com.google.android.apps.genie.geniewidget"))</f>
        <v>com.google.android.apps.genie.geniewidget</v>
      </c>
      <c r="D60" s="168" t="s">
        <v>2348</v>
      </c>
      <c r="E60" s="365" t="s">
        <v>2348</v>
      </c>
      <c r="F60" s="365" t="s">
        <v>2348</v>
      </c>
      <c r="G60" s="365" t="s">
        <v>2348</v>
      </c>
      <c r="H60" s="365" t="s">
        <v>2348</v>
      </c>
      <c r="I60" s="365" t="s">
        <v>2348</v>
      </c>
      <c r="J60" s="262" t="s">
        <v>2348</v>
      </c>
      <c r="K60" s="365" t="s">
        <v>1597</v>
      </c>
      <c r="L60" s="262" t="s">
        <v>1597</v>
      </c>
      <c r="M60" s="262" t="s">
        <v>1597</v>
      </c>
      <c r="N60" s="262" t="s">
        <v>1597</v>
      </c>
      <c r="O60" s="262" t="s">
        <v>1597</v>
      </c>
      <c r="P60" s="262" t="s">
        <v>1597</v>
      </c>
      <c r="Q60" s="262" t="s">
        <v>1597</v>
      </c>
      <c r="R60" s="262" t="s">
        <v>1597</v>
      </c>
      <c r="S60" s="356"/>
    </row>
    <row r="61">
      <c r="A61" s="363" t="s">
        <v>2349</v>
      </c>
      <c r="B61" s="393" t="s">
        <v>2349</v>
      </c>
      <c r="C61" s="210" t="str">
        <f>HYPERLINK("https://play.google.com/store/apps/details?id=com.google.android.apps.messaging","com.google.android.apps.messaging")</f>
        <v>com.google.android.apps.messaging</v>
      </c>
      <c r="D61" s="168" t="s">
        <v>2458</v>
      </c>
      <c r="E61" s="365" t="s">
        <v>2459</v>
      </c>
      <c r="F61" s="365" t="s">
        <v>2459</v>
      </c>
      <c r="G61" s="365" t="s">
        <v>2460</v>
      </c>
      <c r="H61" s="365" t="s">
        <v>2350</v>
      </c>
      <c r="I61" s="365" t="s">
        <v>2350</v>
      </c>
      <c r="J61" s="262" t="s">
        <v>2351</v>
      </c>
      <c r="K61" s="365" t="s">
        <v>2352</v>
      </c>
      <c r="L61" s="262" t="s">
        <v>2353</v>
      </c>
      <c r="M61" s="262" t="s">
        <v>2198</v>
      </c>
      <c r="N61" s="262" t="s">
        <v>2098</v>
      </c>
      <c r="O61" s="262" t="s">
        <v>2098</v>
      </c>
      <c r="P61" s="262" t="s">
        <v>2099</v>
      </c>
      <c r="Q61" s="262" t="s">
        <v>2100</v>
      </c>
      <c r="R61" s="262" t="s">
        <v>2100</v>
      </c>
      <c r="S61" s="398"/>
    </row>
    <row r="62">
      <c r="A62" s="274" t="s">
        <v>205</v>
      </c>
      <c r="B62" s="399" t="s">
        <v>206</v>
      </c>
      <c r="C62" s="400" t="s">
        <v>207</v>
      </c>
      <c r="D62" s="328" t="s">
        <v>2359</v>
      </c>
      <c r="E62" s="262" t="s">
        <v>2359</v>
      </c>
      <c r="F62" s="262" t="s">
        <v>2359</v>
      </c>
      <c r="G62" s="262" t="s">
        <v>2359</v>
      </c>
      <c r="H62" s="262" t="s">
        <v>2359</v>
      </c>
      <c r="I62" s="262" t="s">
        <v>2359</v>
      </c>
      <c r="J62" s="262" t="s">
        <v>2359</v>
      </c>
      <c r="K62" s="262" t="s">
        <v>2359</v>
      </c>
      <c r="L62" s="262" t="s">
        <v>2359</v>
      </c>
      <c r="M62" s="262" t="s">
        <v>2359</v>
      </c>
      <c r="N62" s="262" t="s">
        <v>2359</v>
      </c>
      <c r="O62" s="262" t="s">
        <v>2359</v>
      </c>
      <c r="P62" s="262" t="s">
        <v>2359</v>
      </c>
      <c r="Q62" s="262" t="s">
        <v>2359</v>
      </c>
      <c r="R62" s="262" t="s">
        <v>2359</v>
      </c>
      <c r="S62" s="356"/>
    </row>
    <row r="63">
      <c r="A63" s="401" t="s">
        <v>208</v>
      </c>
      <c r="B63" s="402" t="s">
        <v>209</v>
      </c>
      <c r="C63" s="403" t="s">
        <v>210</v>
      </c>
      <c r="D63" s="406" t="s">
        <v>2359</v>
      </c>
      <c r="E63" s="313" t="s">
        <v>2359</v>
      </c>
      <c r="F63" s="313" t="s">
        <v>2359</v>
      </c>
      <c r="G63" s="313" t="s">
        <v>2359</v>
      </c>
      <c r="H63" s="313" t="s">
        <v>2359</v>
      </c>
      <c r="I63" s="313" t="s">
        <v>2359</v>
      </c>
      <c r="J63" s="313" t="s">
        <v>2359</v>
      </c>
      <c r="K63" s="313" t="s">
        <v>2359</v>
      </c>
      <c r="L63" s="313" t="s">
        <v>2359</v>
      </c>
      <c r="M63" s="313" t="s">
        <v>2359</v>
      </c>
      <c r="N63" s="313" t="s">
        <v>2359</v>
      </c>
      <c r="O63" s="313" t="s">
        <v>2359</v>
      </c>
      <c r="P63" s="313" t="s">
        <v>2359</v>
      </c>
      <c r="Q63" s="313" t="s">
        <v>2359</v>
      </c>
      <c r="R63" s="313" t="s">
        <v>2359</v>
      </c>
      <c r="S63" s="356"/>
    </row>
    <row r="64">
      <c r="A64" s="404"/>
      <c r="B64" s="405"/>
      <c r="C64" s="405"/>
      <c r="D64" s="405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</row>
  </sheetData>
  <mergeCells count="21"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  <mergeCell ref="A3:B3"/>
    <mergeCell ref="A21:B21"/>
    <mergeCell ref="A24:B24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4.63"/>
    <col customWidth="1" min="2" max="2" width="24.0"/>
    <col customWidth="1" min="3" max="3" width="35.63"/>
    <col customWidth="1" min="4" max="15" width="18.0"/>
    <col customWidth="1" min="16" max="16" width="12.75"/>
  </cols>
  <sheetData>
    <row r="1">
      <c r="A1" s="354" t="s">
        <v>2199</v>
      </c>
      <c r="B1" s="354" t="s">
        <v>2200</v>
      </c>
      <c r="C1" s="354" t="s">
        <v>2201</v>
      </c>
      <c r="D1" s="354" t="s">
        <v>1929</v>
      </c>
      <c r="E1" s="409" t="s">
        <v>1930</v>
      </c>
      <c r="F1" s="409" t="s">
        <v>1931</v>
      </c>
      <c r="G1" s="409" t="s">
        <v>2124</v>
      </c>
      <c r="H1" s="409" t="s">
        <v>2125</v>
      </c>
      <c r="I1" s="409" t="s">
        <v>2126</v>
      </c>
      <c r="J1" s="409" t="s">
        <v>2202</v>
      </c>
      <c r="K1" s="409" t="s">
        <v>2203</v>
      </c>
      <c r="L1" s="409" t="s">
        <v>2204</v>
      </c>
      <c r="M1" s="409" t="s">
        <v>2205</v>
      </c>
      <c r="N1" s="409" t="s">
        <v>2354</v>
      </c>
      <c r="O1" s="409" t="s">
        <v>2355</v>
      </c>
      <c r="P1" s="356"/>
    </row>
    <row r="2" ht="31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356"/>
    </row>
    <row r="3">
      <c r="A3" s="357" t="s">
        <v>6</v>
      </c>
      <c r="B3" s="91"/>
      <c r="C3" s="358"/>
      <c r="D3" s="358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356"/>
    </row>
    <row r="4">
      <c r="A4" s="359" t="s">
        <v>7</v>
      </c>
      <c r="B4" s="360" t="s">
        <v>7</v>
      </c>
      <c r="C4" s="361" t="s">
        <v>8</v>
      </c>
      <c r="D4" s="235" t="s">
        <v>2461</v>
      </c>
      <c r="E4" s="235" t="s">
        <v>2461</v>
      </c>
      <c r="F4" s="235" t="s">
        <v>2462</v>
      </c>
      <c r="G4" s="258" t="s">
        <v>2462</v>
      </c>
      <c r="H4" s="162" t="s">
        <v>2462</v>
      </c>
      <c r="I4" s="162" t="s">
        <v>2462</v>
      </c>
      <c r="J4" s="162" t="s">
        <v>2462</v>
      </c>
      <c r="K4" s="162" t="s">
        <v>2462</v>
      </c>
      <c r="L4" s="162" t="s">
        <v>2462</v>
      </c>
      <c r="M4" s="162" t="s">
        <v>2462</v>
      </c>
      <c r="N4" s="162" t="s">
        <v>2462</v>
      </c>
      <c r="O4" s="162" t="s">
        <v>2462</v>
      </c>
      <c r="P4" s="356"/>
    </row>
    <row r="5">
      <c r="A5" s="363" t="s">
        <v>17</v>
      </c>
      <c r="B5" s="364" t="s">
        <v>18</v>
      </c>
      <c r="C5" s="170" t="str">
        <f>HYPERLINK("https://play.google.com/store/apps/details?id=com.google.android.gms",HYPERLINK("https://play.google.com/store/apps/details?id=com.google.android.gms","com.google.android.gms"))</f>
        <v>com.google.android.gms</v>
      </c>
      <c r="D5" s="239" t="s">
        <v>2463</v>
      </c>
      <c r="E5" s="239" t="s">
        <v>2464</v>
      </c>
      <c r="F5" s="239" t="s">
        <v>2465</v>
      </c>
      <c r="G5" s="168" t="s">
        <v>2465</v>
      </c>
      <c r="H5" s="408" t="s">
        <v>2466</v>
      </c>
      <c r="I5" s="365" t="s">
        <v>2465</v>
      </c>
      <c r="J5" s="365" t="s">
        <v>2467</v>
      </c>
      <c r="K5" s="365" t="s">
        <v>2361</v>
      </c>
      <c r="L5" s="365" t="s">
        <v>2362</v>
      </c>
      <c r="M5" s="365" t="s">
        <v>2363</v>
      </c>
      <c r="N5" s="365" t="s">
        <v>2208</v>
      </c>
      <c r="O5" s="365" t="s">
        <v>2208</v>
      </c>
      <c r="P5" s="356"/>
    </row>
    <row r="6">
      <c r="A6" s="363" t="s">
        <v>1697</v>
      </c>
      <c r="B6" s="364" t="s">
        <v>1698</v>
      </c>
      <c r="C6" s="363" t="s">
        <v>1699</v>
      </c>
      <c r="D6" s="239" t="s">
        <v>2461</v>
      </c>
      <c r="E6" s="239" t="s">
        <v>2461</v>
      </c>
      <c r="F6" s="239" t="s">
        <v>2462</v>
      </c>
      <c r="G6" s="168" t="s">
        <v>2462</v>
      </c>
      <c r="H6" s="365" t="s">
        <v>2462</v>
      </c>
      <c r="I6" s="365" t="s">
        <v>2462</v>
      </c>
      <c r="J6" s="365" t="s">
        <v>2462</v>
      </c>
      <c r="K6" s="365" t="s">
        <v>2462</v>
      </c>
      <c r="L6" s="365" t="s">
        <v>2462</v>
      </c>
      <c r="M6" s="365" t="s">
        <v>2462</v>
      </c>
      <c r="N6" s="365" t="s">
        <v>2462</v>
      </c>
      <c r="O6" s="365" t="s">
        <v>2462</v>
      </c>
      <c r="P6" s="356"/>
    </row>
    <row r="7">
      <c r="A7" s="363" t="s">
        <v>21</v>
      </c>
      <c r="B7" s="364" t="s">
        <v>22</v>
      </c>
      <c r="C7" s="363" t="s">
        <v>23</v>
      </c>
      <c r="D7" s="239" t="s">
        <v>2461</v>
      </c>
      <c r="E7" s="239" t="s">
        <v>2461</v>
      </c>
      <c r="F7" s="239" t="s">
        <v>2462</v>
      </c>
      <c r="G7" s="168" t="s">
        <v>2462</v>
      </c>
      <c r="H7" s="365" t="s">
        <v>2462</v>
      </c>
      <c r="I7" s="365" t="s">
        <v>2462</v>
      </c>
      <c r="J7" s="365" t="s">
        <v>2462</v>
      </c>
      <c r="K7" s="365" t="s">
        <v>2462</v>
      </c>
      <c r="L7" s="365" t="s">
        <v>2462</v>
      </c>
      <c r="M7" s="365" t="s">
        <v>2462</v>
      </c>
      <c r="N7" s="365" t="s">
        <v>2462</v>
      </c>
      <c r="O7" s="365" t="s">
        <v>2462</v>
      </c>
      <c r="P7" s="356"/>
    </row>
    <row r="8">
      <c r="A8" s="363" t="s">
        <v>2211</v>
      </c>
      <c r="B8" s="364" t="s">
        <v>2212</v>
      </c>
      <c r="C8" s="363" t="s">
        <v>2213</v>
      </c>
      <c r="D8" s="239" t="s">
        <v>2461</v>
      </c>
      <c r="E8" s="239" t="s">
        <v>2461</v>
      </c>
      <c r="F8" s="239" t="s">
        <v>2462</v>
      </c>
      <c r="G8" s="168" t="s">
        <v>2462</v>
      </c>
      <c r="H8" s="408" t="s">
        <v>2468</v>
      </c>
      <c r="I8" s="408" t="s">
        <v>2468</v>
      </c>
      <c r="J8" s="365" t="s">
        <v>2468</v>
      </c>
      <c r="K8" s="365" t="s">
        <v>2468</v>
      </c>
      <c r="L8" s="365" t="s">
        <v>2468</v>
      </c>
      <c r="M8" s="365" t="s">
        <v>2468</v>
      </c>
      <c r="N8" s="365" t="s">
        <v>2468</v>
      </c>
      <c r="O8" s="365" t="s">
        <v>2468</v>
      </c>
      <c r="P8" s="356"/>
    </row>
    <row r="9">
      <c r="A9" s="363" t="s">
        <v>261</v>
      </c>
      <c r="B9" s="364" t="s">
        <v>262</v>
      </c>
      <c r="C9" s="363" t="s">
        <v>263</v>
      </c>
      <c r="D9" s="239" t="s">
        <v>2461</v>
      </c>
      <c r="E9" s="239" t="s">
        <v>2461</v>
      </c>
      <c r="F9" s="239" t="s">
        <v>2462</v>
      </c>
      <c r="G9" s="168" t="s">
        <v>2462</v>
      </c>
      <c r="H9" s="365" t="s">
        <v>2462</v>
      </c>
      <c r="I9" s="365" t="s">
        <v>2462</v>
      </c>
      <c r="J9" s="365" t="s">
        <v>2462</v>
      </c>
      <c r="K9" s="365" t="s">
        <v>2462</v>
      </c>
      <c r="L9" s="365" t="s">
        <v>2462</v>
      </c>
      <c r="M9" s="365" t="s">
        <v>2462</v>
      </c>
      <c r="N9" s="365" t="s">
        <v>2462</v>
      </c>
      <c r="O9" s="365" t="s">
        <v>2462</v>
      </c>
      <c r="P9" s="356"/>
    </row>
    <row r="10">
      <c r="A10" s="363" t="s">
        <v>26</v>
      </c>
      <c r="B10" s="364" t="s">
        <v>27</v>
      </c>
      <c r="C10" s="363" t="s">
        <v>28</v>
      </c>
      <c r="D10" s="239" t="s">
        <v>2461</v>
      </c>
      <c r="E10" s="239" t="s">
        <v>2461</v>
      </c>
      <c r="F10" s="239" t="s">
        <v>2462</v>
      </c>
      <c r="G10" s="168" t="s">
        <v>2462</v>
      </c>
      <c r="H10" s="365" t="s">
        <v>2462</v>
      </c>
      <c r="I10" s="365" t="s">
        <v>2462</v>
      </c>
      <c r="J10" s="365" t="s">
        <v>2462</v>
      </c>
      <c r="K10" s="365" t="s">
        <v>2462</v>
      </c>
      <c r="L10" s="365" t="s">
        <v>2462</v>
      </c>
      <c r="M10" s="365" t="s">
        <v>2462</v>
      </c>
      <c r="N10" s="365" t="s">
        <v>2462</v>
      </c>
      <c r="O10" s="365" t="s">
        <v>2462</v>
      </c>
      <c r="P10" s="356"/>
    </row>
    <row r="11">
      <c r="A11" s="363" t="s">
        <v>36</v>
      </c>
      <c r="B11" s="364" t="s">
        <v>37</v>
      </c>
      <c r="C11" s="363" t="s">
        <v>38</v>
      </c>
      <c r="D11" s="239" t="s">
        <v>2461</v>
      </c>
      <c r="E11" s="239" t="s">
        <v>2461</v>
      </c>
      <c r="F11" s="239" t="s">
        <v>2462</v>
      </c>
      <c r="G11" s="168" t="s">
        <v>2462</v>
      </c>
      <c r="H11" s="365" t="s">
        <v>2462</v>
      </c>
      <c r="I11" s="365" t="s">
        <v>2462</v>
      </c>
      <c r="J11" s="365" t="s">
        <v>2462</v>
      </c>
      <c r="K11" s="365" t="s">
        <v>2462</v>
      </c>
      <c r="L11" s="365" t="s">
        <v>2462</v>
      </c>
      <c r="M11" s="365" t="s">
        <v>2462</v>
      </c>
      <c r="N11" s="365" t="s">
        <v>2462</v>
      </c>
      <c r="O11" s="365" t="s">
        <v>2462</v>
      </c>
      <c r="P11" s="356"/>
    </row>
    <row r="12">
      <c r="A12" s="363" t="s">
        <v>48</v>
      </c>
      <c r="B12" s="364" t="s">
        <v>49</v>
      </c>
      <c r="C12" s="363" t="s">
        <v>50</v>
      </c>
      <c r="D12" s="411" t="s">
        <v>2469</v>
      </c>
      <c r="E12" s="411" t="s">
        <v>2470</v>
      </c>
      <c r="F12" s="411" t="s">
        <v>2471</v>
      </c>
      <c r="G12" s="328" t="s">
        <v>2472</v>
      </c>
      <c r="H12" s="365" t="s">
        <v>2472</v>
      </c>
      <c r="I12" s="365" t="s">
        <v>2472</v>
      </c>
      <c r="J12" s="365" t="s">
        <v>2473</v>
      </c>
      <c r="K12" s="365" t="s">
        <v>2367</v>
      </c>
      <c r="L12" s="365" t="s">
        <v>2474</v>
      </c>
      <c r="M12" s="368" t="s">
        <v>2369</v>
      </c>
      <c r="N12" s="368" t="s">
        <v>2216</v>
      </c>
      <c r="O12" s="368" t="s">
        <v>2216</v>
      </c>
      <c r="P12" s="356"/>
    </row>
    <row r="13">
      <c r="A13" s="363" t="s">
        <v>53</v>
      </c>
      <c r="B13" s="364" t="s">
        <v>54</v>
      </c>
      <c r="C13" s="363" t="s">
        <v>55</v>
      </c>
      <c r="D13" s="303" t="s">
        <v>2475</v>
      </c>
      <c r="E13" s="303" t="s">
        <v>2475</v>
      </c>
      <c r="F13" s="239" t="s">
        <v>2476</v>
      </c>
      <c r="G13" s="168" t="s">
        <v>2476</v>
      </c>
      <c r="H13" s="365" t="s">
        <v>2476</v>
      </c>
      <c r="I13" s="365" t="s">
        <v>2476</v>
      </c>
      <c r="J13" s="365" t="s">
        <v>2476</v>
      </c>
      <c r="K13" s="365" t="s">
        <v>2476</v>
      </c>
      <c r="L13" s="365" t="s">
        <v>2476</v>
      </c>
      <c r="M13" s="365" t="s">
        <v>2476</v>
      </c>
      <c r="N13" s="365" t="s">
        <v>2476</v>
      </c>
      <c r="O13" s="412" t="s">
        <v>2477</v>
      </c>
      <c r="P13" s="356"/>
    </row>
    <row r="14">
      <c r="A14" s="363" t="s">
        <v>62</v>
      </c>
      <c r="B14" s="364" t="s">
        <v>63</v>
      </c>
      <c r="C14" s="170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4" s="239" t="s">
        <v>2478</v>
      </c>
      <c r="E14" s="413" t="s">
        <v>2479</v>
      </c>
      <c r="F14" s="413" t="s">
        <v>2480</v>
      </c>
      <c r="G14" s="227" t="s">
        <v>2481</v>
      </c>
      <c r="H14" s="414" t="s">
        <v>2482</v>
      </c>
      <c r="I14" s="414" t="s">
        <v>2482</v>
      </c>
      <c r="J14" s="414" t="s">
        <v>2483</v>
      </c>
      <c r="K14" s="414" t="s">
        <v>2372</v>
      </c>
      <c r="L14" s="414" t="s">
        <v>2373</v>
      </c>
      <c r="M14" s="365" t="s">
        <v>2374</v>
      </c>
      <c r="N14" s="365" t="s">
        <v>2227</v>
      </c>
      <c r="O14" s="365" t="s">
        <v>2227</v>
      </c>
      <c r="P14" s="356"/>
    </row>
    <row r="15">
      <c r="A15" s="384" t="s">
        <v>327</v>
      </c>
      <c r="B15" s="415" t="s">
        <v>328</v>
      </c>
      <c r="C15" s="384" t="s">
        <v>329</v>
      </c>
      <c r="D15" s="416" t="s">
        <v>330</v>
      </c>
      <c r="E15" s="416" t="s">
        <v>330</v>
      </c>
      <c r="F15" s="417" t="s">
        <v>2484</v>
      </c>
      <c r="G15" s="406" t="s">
        <v>2484</v>
      </c>
      <c r="H15" s="382" t="s">
        <v>2484</v>
      </c>
      <c r="I15" s="382" t="s">
        <v>2484</v>
      </c>
      <c r="J15" s="382" t="s">
        <v>2484</v>
      </c>
      <c r="K15" s="382" t="s">
        <v>2484</v>
      </c>
      <c r="L15" s="382" t="s">
        <v>2484</v>
      </c>
      <c r="M15" s="382" t="s">
        <v>2484</v>
      </c>
      <c r="N15" s="382" t="s">
        <v>2484</v>
      </c>
      <c r="O15" s="382" t="s">
        <v>2484</v>
      </c>
      <c r="P15" s="356"/>
    </row>
    <row r="16">
      <c r="A16" s="357" t="s">
        <v>2235</v>
      </c>
      <c r="B16" s="91"/>
      <c r="C16" s="358"/>
      <c r="D16" s="358"/>
      <c r="E16" s="418"/>
      <c r="F16" s="358"/>
      <c r="G16" s="418"/>
      <c r="H16" s="358"/>
      <c r="I16" s="358"/>
      <c r="J16" s="418"/>
      <c r="K16" s="418"/>
      <c r="L16" s="418"/>
      <c r="M16" s="418"/>
      <c r="N16" s="418"/>
      <c r="O16" s="418"/>
      <c r="P16" s="356"/>
    </row>
    <row r="17">
      <c r="A17" s="359" t="s">
        <v>2236</v>
      </c>
      <c r="B17" s="360" t="s">
        <v>2237</v>
      </c>
      <c r="C17" s="359" t="s">
        <v>2238</v>
      </c>
      <c r="D17" s="383"/>
      <c r="E17" s="419"/>
      <c r="F17" s="383"/>
      <c r="G17" s="419"/>
      <c r="H17" s="383"/>
      <c r="I17" s="383"/>
      <c r="J17" s="419"/>
      <c r="K17" s="419"/>
      <c r="L17" s="419"/>
      <c r="M17" s="419"/>
      <c r="N17" s="419"/>
      <c r="O17" s="419"/>
      <c r="P17" s="356"/>
    </row>
    <row r="18">
      <c r="A18" s="384" t="s">
        <v>2239</v>
      </c>
      <c r="B18" s="385" t="s">
        <v>2240</v>
      </c>
      <c r="C18" s="384" t="s">
        <v>2241</v>
      </c>
      <c r="D18" s="386"/>
      <c r="E18" s="420"/>
      <c r="F18" s="420"/>
      <c r="G18" s="420"/>
      <c r="H18" s="420"/>
      <c r="I18" s="420"/>
      <c r="J18" s="420"/>
      <c r="K18" s="420"/>
      <c r="L18" s="420"/>
      <c r="M18" s="420"/>
      <c r="N18" s="420"/>
      <c r="O18" s="420"/>
      <c r="P18" s="356"/>
    </row>
    <row r="19">
      <c r="A19" s="357" t="s">
        <v>113</v>
      </c>
      <c r="B19" s="91"/>
      <c r="C19" s="358"/>
      <c r="D19" s="358"/>
      <c r="E19" s="418"/>
      <c r="F19" s="358"/>
      <c r="G19" s="418"/>
      <c r="H19" s="358"/>
      <c r="I19" s="358"/>
      <c r="J19" s="418"/>
      <c r="K19" s="418"/>
      <c r="L19" s="418"/>
      <c r="M19" s="418"/>
      <c r="N19" s="418"/>
      <c r="O19" s="418"/>
      <c r="P19" s="356"/>
    </row>
    <row r="20">
      <c r="A20" s="363" t="s">
        <v>114</v>
      </c>
      <c r="B20" s="364" t="s">
        <v>114</v>
      </c>
      <c r="C20" s="170" t="str">
        <f>HYPERLINK("https://play.google.com/store/apps/details?id=com.android.chrome",HYPERLINK("https://play.google.com/store/apps/details?id=com.android.chrome","com.android.chrome"))</f>
        <v>com.android.chrome</v>
      </c>
      <c r="D20" s="235" t="s">
        <v>2485</v>
      </c>
      <c r="E20" s="235" t="s">
        <v>2486</v>
      </c>
      <c r="F20" s="235" t="s">
        <v>2487</v>
      </c>
      <c r="G20" s="258" t="s">
        <v>2488</v>
      </c>
      <c r="H20" s="365" t="s">
        <v>2488</v>
      </c>
      <c r="I20" s="365" t="s">
        <v>2488</v>
      </c>
      <c r="J20" s="365" t="s">
        <v>2489</v>
      </c>
      <c r="K20" s="365" t="s">
        <v>2383</v>
      </c>
      <c r="L20" s="365" t="s">
        <v>2384</v>
      </c>
      <c r="M20" s="162" t="s">
        <v>2385</v>
      </c>
      <c r="N20" s="162" t="s">
        <v>2242</v>
      </c>
      <c r="O20" s="421" t="s">
        <v>2243</v>
      </c>
      <c r="P20" s="356"/>
    </row>
    <row r="21">
      <c r="A21" s="363" t="s">
        <v>117</v>
      </c>
      <c r="B21" s="364" t="s">
        <v>117</v>
      </c>
      <c r="C21" s="170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1" s="239" t="s">
        <v>2490</v>
      </c>
      <c r="E21" s="239" t="s">
        <v>2490</v>
      </c>
      <c r="F21" s="239" t="s">
        <v>2491</v>
      </c>
      <c r="G21" s="168" t="s">
        <v>2491</v>
      </c>
      <c r="H21" s="365" t="s">
        <v>2492</v>
      </c>
      <c r="I21" s="365" t="s">
        <v>2492</v>
      </c>
      <c r="J21" s="365" t="s">
        <v>2493</v>
      </c>
      <c r="K21" s="365" t="s">
        <v>2387</v>
      </c>
      <c r="L21" s="365" t="s">
        <v>2388</v>
      </c>
      <c r="M21" s="365" t="s">
        <v>2389</v>
      </c>
      <c r="N21" s="365" t="s">
        <v>2245</v>
      </c>
      <c r="O21" s="365" t="s">
        <v>2245</v>
      </c>
      <c r="P21" s="356"/>
    </row>
    <row r="22">
      <c r="A22" s="378" t="s">
        <v>886</v>
      </c>
      <c r="B22" s="379" t="s">
        <v>886</v>
      </c>
      <c r="C22" s="209" t="str">
        <f>HYPERLINK("https://play.google.com/store/apps/details?id=com.google.android.apps.tachyon","com.google.android.apps.tachyon")</f>
        <v>com.google.android.apps.tachyon</v>
      </c>
      <c r="D22" s="239"/>
      <c r="E22" s="239"/>
      <c r="F22" s="239"/>
      <c r="G22" s="168"/>
      <c r="H22" s="365"/>
      <c r="I22" s="365"/>
      <c r="J22" s="365"/>
      <c r="K22" s="365"/>
      <c r="L22" s="365"/>
      <c r="M22" s="408" t="s">
        <v>2390</v>
      </c>
      <c r="N22" s="387" t="s">
        <v>2249</v>
      </c>
      <c r="O22" s="387" t="s">
        <v>2249</v>
      </c>
      <c r="P22" s="356"/>
    </row>
    <row r="23">
      <c r="A23" s="363" t="s">
        <v>123</v>
      </c>
      <c r="B23" s="364" t="s">
        <v>124</v>
      </c>
      <c r="C23" s="170" t="str">
        <f>HYPERLINK("https://play.google.com/store/apps/details?id=com.google.android.gm",HYPERLINK("https://play.google.com/store/apps/details?id=com.google.android.gm","com.google.android.gm"))</f>
        <v>com.google.android.gm</v>
      </c>
      <c r="D23" s="239" t="s">
        <v>2494</v>
      </c>
      <c r="E23" s="239" t="s">
        <v>2494</v>
      </c>
      <c r="F23" s="239" t="s">
        <v>2495</v>
      </c>
      <c r="G23" s="168" t="s">
        <v>2495</v>
      </c>
      <c r="H23" s="365" t="s">
        <v>2496</v>
      </c>
      <c r="I23" s="365" t="s">
        <v>2496</v>
      </c>
      <c r="J23" s="365" t="s">
        <v>2496</v>
      </c>
      <c r="K23" s="365" t="s">
        <v>2497</v>
      </c>
      <c r="L23" s="365" t="s">
        <v>2393</v>
      </c>
      <c r="M23" s="365" t="s">
        <v>2394</v>
      </c>
      <c r="N23" s="365" t="s">
        <v>2253</v>
      </c>
      <c r="O23" s="365" t="s">
        <v>2253</v>
      </c>
      <c r="P23" s="356"/>
    </row>
    <row r="24">
      <c r="A24" s="363" t="s">
        <v>127</v>
      </c>
      <c r="B24" s="364" t="s">
        <v>128</v>
      </c>
      <c r="C24" s="363" t="s">
        <v>129</v>
      </c>
      <c r="D24" s="239" t="s">
        <v>2020</v>
      </c>
      <c r="E24" s="239" t="s">
        <v>2020</v>
      </c>
      <c r="F24" s="239" t="s">
        <v>2020</v>
      </c>
      <c r="G24" s="168" t="s">
        <v>2020</v>
      </c>
      <c r="H24" s="365" t="s">
        <v>2020</v>
      </c>
      <c r="I24" s="365" t="s">
        <v>2020</v>
      </c>
      <c r="J24" s="365" t="s">
        <v>2020</v>
      </c>
      <c r="K24" s="365" t="s">
        <v>2020</v>
      </c>
      <c r="L24" s="365" t="s">
        <v>2020</v>
      </c>
      <c r="M24" s="365" t="s">
        <v>2020</v>
      </c>
      <c r="N24" s="365" t="s">
        <v>2020</v>
      </c>
      <c r="O24" s="365" t="s">
        <v>2020</v>
      </c>
      <c r="P24" s="356"/>
    </row>
    <row r="25">
      <c r="A25" s="363" t="s">
        <v>1098</v>
      </c>
      <c r="B25" s="364" t="s">
        <v>1099</v>
      </c>
      <c r="C25" s="363" t="s">
        <v>1100</v>
      </c>
      <c r="D25" s="239" t="s">
        <v>2461</v>
      </c>
      <c r="E25" s="239" t="s">
        <v>2461</v>
      </c>
      <c r="F25" s="239" t="s">
        <v>2462</v>
      </c>
      <c r="G25" s="168" t="s">
        <v>2462</v>
      </c>
      <c r="H25" s="365" t="s">
        <v>2462</v>
      </c>
      <c r="I25" s="365" t="s">
        <v>2462</v>
      </c>
      <c r="J25" s="365" t="s">
        <v>2462</v>
      </c>
      <c r="K25" s="365" t="s">
        <v>2462</v>
      </c>
      <c r="L25" s="365" t="s">
        <v>2462</v>
      </c>
      <c r="M25" s="365" t="s">
        <v>2462</v>
      </c>
      <c r="N25" s="365" t="s">
        <v>2462</v>
      </c>
      <c r="O25" s="365" t="s">
        <v>2462</v>
      </c>
      <c r="P25" s="356"/>
    </row>
    <row r="26">
      <c r="A26" s="363" t="s">
        <v>1798</v>
      </c>
      <c r="B26" s="364" t="s">
        <v>1798</v>
      </c>
      <c r="C26" s="170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26" s="239" t="s">
        <v>2498</v>
      </c>
      <c r="E26" s="239" t="s">
        <v>2498</v>
      </c>
      <c r="F26" s="239" t="s">
        <v>2499</v>
      </c>
      <c r="G26" s="168" t="s">
        <v>2499</v>
      </c>
      <c r="H26" s="365" t="s">
        <v>2500</v>
      </c>
      <c r="I26" s="365" t="s">
        <v>2500</v>
      </c>
      <c r="J26" s="365" t="s">
        <v>2501</v>
      </c>
      <c r="K26" s="365" t="s">
        <v>2397</v>
      </c>
      <c r="L26" s="365" t="s">
        <v>2397</v>
      </c>
      <c r="M26" s="365" t="s">
        <v>2398</v>
      </c>
      <c r="N26" s="365" t="s">
        <v>2260</v>
      </c>
      <c r="O26" s="365" t="s">
        <v>2260</v>
      </c>
      <c r="P26" s="356"/>
    </row>
    <row r="27">
      <c r="A27" s="363" t="s">
        <v>131</v>
      </c>
      <c r="B27" s="364" t="s">
        <v>131</v>
      </c>
      <c r="C27" s="170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27" s="239" t="s">
        <v>2502</v>
      </c>
      <c r="E27" s="239" t="s">
        <v>2502</v>
      </c>
      <c r="F27" s="239" t="s">
        <v>2503</v>
      </c>
      <c r="G27" s="168" t="s">
        <v>2503</v>
      </c>
      <c r="H27" s="365" t="s">
        <v>2504</v>
      </c>
      <c r="I27" s="365" t="s">
        <v>2504</v>
      </c>
      <c r="J27" s="365" t="s">
        <v>2505</v>
      </c>
      <c r="K27" s="365" t="s">
        <v>2400</v>
      </c>
      <c r="L27" s="365" t="s">
        <v>2401</v>
      </c>
      <c r="M27" s="365" t="s">
        <v>2402</v>
      </c>
      <c r="N27" s="365" t="s">
        <v>2264</v>
      </c>
      <c r="O27" s="365" t="s">
        <v>2264</v>
      </c>
      <c r="P27" s="356"/>
    </row>
    <row r="28">
      <c r="A28" s="363" t="s">
        <v>1594</v>
      </c>
      <c r="B28" s="364" t="s">
        <v>1595</v>
      </c>
      <c r="C28" s="170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28" s="239" t="s">
        <v>2506</v>
      </c>
      <c r="E28" s="239" t="s">
        <v>2506</v>
      </c>
      <c r="F28" s="239" t="s">
        <v>2507</v>
      </c>
      <c r="G28" s="168" t="s">
        <v>2508</v>
      </c>
      <c r="H28" s="365" t="s">
        <v>2509</v>
      </c>
      <c r="I28" s="365" t="s">
        <v>2509</v>
      </c>
      <c r="J28" s="365" t="s">
        <v>2510</v>
      </c>
      <c r="K28" s="387" t="s">
        <v>2404</v>
      </c>
      <c r="L28" s="387" t="s">
        <v>2405</v>
      </c>
      <c r="M28" s="387" t="s">
        <v>2406</v>
      </c>
      <c r="N28" s="387" t="s">
        <v>2267</v>
      </c>
      <c r="O28" s="387" t="s">
        <v>2267</v>
      </c>
      <c r="P28" s="356"/>
    </row>
    <row r="29">
      <c r="A29" s="363" t="s">
        <v>134</v>
      </c>
      <c r="B29" s="364" t="s">
        <v>135</v>
      </c>
      <c r="C29" s="210" t="str">
        <f>HYPERLINK("https://play.google.com/store/apps/details?id=com.google.android.apps.photos","com.google.android.apps.photos")</f>
        <v>com.google.android.apps.photos</v>
      </c>
      <c r="D29" s="239" t="s">
        <v>2511</v>
      </c>
      <c r="E29" s="239" t="s">
        <v>2511</v>
      </c>
      <c r="F29" s="239" t="s">
        <v>2512</v>
      </c>
      <c r="G29" s="168" t="s">
        <v>2513</v>
      </c>
      <c r="H29" s="365" t="s">
        <v>2514</v>
      </c>
      <c r="I29" s="365" t="s">
        <v>2514</v>
      </c>
      <c r="J29" s="365" t="s">
        <v>2515</v>
      </c>
      <c r="K29" s="365" t="s">
        <v>2408</v>
      </c>
      <c r="L29" s="365" t="s">
        <v>2409</v>
      </c>
      <c r="M29" s="365" t="s">
        <v>2410</v>
      </c>
      <c r="N29" s="365" t="s">
        <v>2271</v>
      </c>
      <c r="O29" s="365" t="s">
        <v>2271</v>
      </c>
      <c r="P29" s="392"/>
    </row>
    <row r="30">
      <c r="A30" s="363" t="s">
        <v>138</v>
      </c>
      <c r="B30" s="364" t="s">
        <v>139</v>
      </c>
      <c r="C30" s="170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0" s="239" t="s">
        <v>2516</v>
      </c>
      <c r="E30" s="239" t="s">
        <v>2516</v>
      </c>
      <c r="F30" s="239" t="s">
        <v>2517</v>
      </c>
      <c r="G30" s="168" t="s">
        <v>2518</v>
      </c>
      <c r="H30" s="365" t="s">
        <v>2519</v>
      </c>
      <c r="I30" s="365" t="s">
        <v>2519</v>
      </c>
      <c r="J30" s="365" t="s">
        <v>2520</v>
      </c>
      <c r="K30" s="365" t="s">
        <v>2411</v>
      </c>
      <c r="L30" s="365" t="s">
        <v>2412</v>
      </c>
      <c r="M30" s="365" t="s">
        <v>2412</v>
      </c>
      <c r="N30" s="365" t="s">
        <v>2275</v>
      </c>
      <c r="O30" s="365" t="s">
        <v>2275</v>
      </c>
      <c r="P30" s="356"/>
    </row>
    <row r="31">
      <c r="A31" s="363" t="s">
        <v>142</v>
      </c>
      <c r="B31" s="364" t="s">
        <v>143</v>
      </c>
      <c r="C31" s="170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1" s="239" t="s">
        <v>2521</v>
      </c>
      <c r="E31" s="239" t="s">
        <v>2486</v>
      </c>
      <c r="F31" s="239" t="s">
        <v>2522</v>
      </c>
      <c r="G31" s="168" t="s">
        <v>2523</v>
      </c>
      <c r="H31" s="365" t="s">
        <v>2524</v>
      </c>
      <c r="I31" s="365" t="s">
        <v>2524</v>
      </c>
      <c r="J31" s="365" t="s">
        <v>2489</v>
      </c>
      <c r="K31" s="365" t="s">
        <v>2383</v>
      </c>
      <c r="L31" s="365" t="s">
        <v>2384</v>
      </c>
      <c r="M31" s="365" t="s">
        <v>2385</v>
      </c>
      <c r="N31" s="365" t="s">
        <v>2242</v>
      </c>
      <c r="O31" s="365" t="s">
        <v>2242</v>
      </c>
      <c r="P31" s="356"/>
    </row>
    <row r="32">
      <c r="A32" s="363" t="s">
        <v>145</v>
      </c>
      <c r="B32" s="364" t="s">
        <v>145</v>
      </c>
      <c r="C32" s="170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2" s="239" t="s">
        <v>2525</v>
      </c>
      <c r="E32" s="239" t="s">
        <v>2525</v>
      </c>
      <c r="F32" s="239" t="s">
        <v>2526</v>
      </c>
      <c r="G32" s="168" t="s">
        <v>2526</v>
      </c>
      <c r="H32" s="365" t="s">
        <v>2527</v>
      </c>
      <c r="I32" s="365" t="s">
        <v>2527</v>
      </c>
      <c r="J32" s="365" t="s">
        <v>2528</v>
      </c>
      <c r="K32" s="365" t="s">
        <v>2414</v>
      </c>
      <c r="L32" s="365" t="s">
        <v>2415</v>
      </c>
      <c r="M32" s="365" t="s">
        <v>2416</v>
      </c>
      <c r="N32" s="365" t="s">
        <v>2279</v>
      </c>
      <c r="O32" s="365" t="s">
        <v>2279</v>
      </c>
      <c r="P32" s="356"/>
    </row>
    <row r="33">
      <c r="A33" s="363" t="s">
        <v>1388</v>
      </c>
      <c r="B33" s="364" t="s">
        <v>1389</v>
      </c>
      <c r="C33" s="170" t="str">
        <f>HYPERLINK("https://play.google.com/store/apps/details?id=com.google.android.tts",HYPERLINK("https://play.google.com/store/apps/details?id=com.google.android.tts","com.google.android.tts"))</f>
        <v>com.google.android.tts</v>
      </c>
      <c r="D33" s="422" t="s">
        <v>2529</v>
      </c>
      <c r="E33" s="239" t="s">
        <v>2529</v>
      </c>
      <c r="F33" s="168" t="s">
        <v>2530</v>
      </c>
      <c r="G33" s="168" t="s">
        <v>2530</v>
      </c>
      <c r="H33" s="365" t="s">
        <v>2530</v>
      </c>
      <c r="I33" s="365" t="s">
        <v>2530</v>
      </c>
      <c r="J33" s="365" t="s">
        <v>2531</v>
      </c>
      <c r="K33" s="365" t="s">
        <v>2531</v>
      </c>
      <c r="L33" s="365" t="s">
        <v>2283</v>
      </c>
      <c r="M33" s="365" t="s">
        <v>2283</v>
      </c>
      <c r="N33" s="365" t="s">
        <v>2283</v>
      </c>
      <c r="O33" s="365" t="s">
        <v>2283</v>
      </c>
      <c r="P33" s="356"/>
    </row>
    <row r="34">
      <c r="A34" s="363" t="s">
        <v>2290</v>
      </c>
      <c r="B34" s="377" t="s">
        <v>2291</v>
      </c>
      <c r="C34" s="170" t="str">
        <f>HYPERLINK("https://play.google.com/store/apps/details?id=com.google.android.apps.books","com.google.android.apps.books")</f>
        <v>com.google.android.apps.books</v>
      </c>
      <c r="D34" s="423" t="s">
        <v>2532</v>
      </c>
      <c r="E34" s="239" t="s">
        <v>2532</v>
      </c>
      <c r="F34" s="239" t="s">
        <v>2533</v>
      </c>
      <c r="G34" s="168" t="s">
        <v>2534</v>
      </c>
      <c r="H34" s="365" t="s">
        <v>2534</v>
      </c>
      <c r="I34" s="365" t="s">
        <v>2534</v>
      </c>
      <c r="J34" s="365" t="s">
        <v>2535</v>
      </c>
      <c r="K34" s="365" t="s">
        <v>2423</v>
      </c>
      <c r="L34" s="365" t="s">
        <v>2424</v>
      </c>
      <c r="M34" s="365" t="s">
        <v>2424</v>
      </c>
      <c r="N34" s="365" t="s">
        <v>2292</v>
      </c>
      <c r="O34" s="365" t="s">
        <v>2292</v>
      </c>
      <c r="P34" s="356"/>
    </row>
    <row r="35">
      <c r="A35" s="363" t="s">
        <v>2349</v>
      </c>
      <c r="B35" s="393" t="s">
        <v>2349</v>
      </c>
      <c r="C35" s="210" t="str">
        <f>HYPERLINK("https://play.google.com/store/apps/details?id=com.google.android.apps.messaging","com.google.android.apps.messaging")</f>
        <v>com.google.android.apps.messaging</v>
      </c>
      <c r="D35" s="239" t="s">
        <v>2536</v>
      </c>
      <c r="E35" s="239" t="s">
        <v>2536</v>
      </c>
      <c r="F35" s="239" t="s">
        <v>2537</v>
      </c>
      <c r="G35" s="168" t="s">
        <v>2537</v>
      </c>
      <c r="H35" s="365" t="s">
        <v>2538</v>
      </c>
      <c r="I35" s="365" t="s">
        <v>2538</v>
      </c>
      <c r="J35" s="365" t="s">
        <v>2539</v>
      </c>
      <c r="K35" s="365" t="s">
        <v>2459</v>
      </c>
      <c r="L35" s="365" t="s">
        <v>2459</v>
      </c>
      <c r="M35" s="365" t="s">
        <v>2460</v>
      </c>
      <c r="N35" s="365" t="s">
        <v>2350</v>
      </c>
      <c r="O35" s="365" t="s">
        <v>2350</v>
      </c>
      <c r="P35" s="398"/>
    </row>
    <row r="36">
      <c r="A36" s="378" t="s">
        <v>157</v>
      </c>
      <c r="B36" s="393" t="s">
        <v>158</v>
      </c>
      <c r="C36" s="394" t="s">
        <v>159</v>
      </c>
      <c r="D36" s="239" t="s">
        <v>2540</v>
      </c>
      <c r="E36" s="239" t="s">
        <v>2540</v>
      </c>
      <c r="F36" s="424" t="s">
        <v>2540</v>
      </c>
      <c r="G36" s="424" t="s">
        <v>2540</v>
      </c>
      <c r="H36" s="365" t="s">
        <v>2540</v>
      </c>
      <c r="I36" s="365" t="s">
        <v>2540</v>
      </c>
      <c r="J36" s="365" t="s">
        <v>2541</v>
      </c>
      <c r="K36" s="365" t="s">
        <v>2426</v>
      </c>
      <c r="L36" s="365" t="s">
        <v>2426</v>
      </c>
      <c r="M36" s="365" t="s">
        <v>2294</v>
      </c>
      <c r="N36" s="365" t="s">
        <v>2294</v>
      </c>
      <c r="O36" s="365" t="s">
        <v>2294</v>
      </c>
      <c r="P36" s="356"/>
    </row>
    <row r="37">
      <c r="A37" s="363" t="s">
        <v>162</v>
      </c>
      <c r="B37" s="377" t="s">
        <v>163</v>
      </c>
      <c r="C37" s="170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37" s="239" t="s">
        <v>2542</v>
      </c>
      <c r="E37" s="239" t="s">
        <v>2542</v>
      </c>
      <c r="F37" s="239" t="s">
        <v>2543</v>
      </c>
      <c r="G37" s="168" t="s">
        <v>2543</v>
      </c>
      <c r="H37" s="365" t="s">
        <v>2543</v>
      </c>
      <c r="I37" s="365" t="s">
        <v>2543</v>
      </c>
      <c r="J37" s="365" t="s">
        <v>2544</v>
      </c>
      <c r="K37" s="365" t="s">
        <v>2428</v>
      </c>
      <c r="L37" s="365" t="s">
        <v>2429</v>
      </c>
      <c r="M37" s="365" t="s">
        <v>2430</v>
      </c>
      <c r="N37" s="365" t="s">
        <v>2297</v>
      </c>
      <c r="O37" s="365" t="s">
        <v>2297</v>
      </c>
      <c r="P37" s="356"/>
    </row>
    <row r="38">
      <c r="A38" s="363" t="s">
        <v>2301</v>
      </c>
      <c r="B38" s="377" t="s">
        <v>2302</v>
      </c>
      <c r="C38" s="170" t="str">
        <f>HYPERLINK("https://play.google.com/store/apps/details?id=com.google.android.apps.cloudprint",HYPERLINK("https://play.google.com/store/apps/details?id=com.google.android.apps.cloudprint","com.google.android.apps.cloudprint"))</f>
        <v>com.google.android.apps.cloudprint</v>
      </c>
      <c r="D38" s="239" t="s">
        <v>2545</v>
      </c>
      <c r="E38" s="239" t="s">
        <v>2545</v>
      </c>
      <c r="F38" s="239" t="s">
        <v>2431</v>
      </c>
      <c r="G38" s="168" t="s">
        <v>2431</v>
      </c>
      <c r="H38" s="365" t="s">
        <v>2431</v>
      </c>
      <c r="I38" s="365" t="s">
        <v>2431</v>
      </c>
      <c r="J38" s="365" t="s">
        <v>2431</v>
      </c>
      <c r="K38" s="365" t="s">
        <v>2303</v>
      </c>
      <c r="L38" s="365" t="s">
        <v>2303</v>
      </c>
      <c r="M38" s="365" t="s">
        <v>2303</v>
      </c>
      <c r="N38" s="365" t="s">
        <v>2303</v>
      </c>
      <c r="O38" s="365" t="s">
        <v>2303</v>
      </c>
      <c r="P38" s="356"/>
    </row>
    <row r="39">
      <c r="A39" s="363" t="s">
        <v>179</v>
      </c>
      <c r="B39" s="377" t="s">
        <v>180</v>
      </c>
      <c r="C39" s="222" t="str">
        <f>HYPERLINK("https://play.google.com/store/apps/details?id=com.google.android.deskclock","com.google.android.deskclock")</f>
        <v>com.google.android.deskclock</v>
      </c>
      <c r="D39" s="239" t="s">
        <v>2546</v>
      </c>
      <c r="E39" s="239" t="s">
        <v>2547</v>
      </c>
      <c r="F39" s="239" t="s">
        <v>2547</v>
      </c>
      <c r="G39" s="168" t="s">
        <v>2547</v>
      </c>
      <c r="H39" s="365" t="s">
        <v>2547</v>
      </c>
      <c r="I39" s="365" t="s">
        <v>2547</v>
      </c>
      <c r="J39" s="365" t="s">
        <v>2547</v>
      </c>
      <c r="K39" s="365" t="s">
        <v>2547</v>
      </c>
      <c r="L39" s="365" t="s">
        <v>2547</v>
      </c>
      <c r="M39" s="365" t="s">
        <v>2547</v>
      </c>
      <c r="N39" s="365" t="s">
        <v>2547</v>
      </c>
      <c r="O39" s="365" t="s">
        <v>2547</v>
      </c>
      <c r="P39" s="356"/>
    </row>
    <row r="40">
      <c r="A40" s="363" t="s">
        <v>2306</v>
      </c>
      <c r="B40" s="377" t="s">
        <v>2307</v>
      </c>
      <c r="C40" s="170" t="str">
        <f>HYPERLINK("https://play.google.com/store/apps/details?id=com.google.android.apps.enterprise.dmagent",HYPERLINK("https://play.google.com/store/apps/details?id=com.google.android.apps.enterprise.dmagent","com.google.android.apps.enterprise.dmagent"))</f>
        <v>com.google.android.apps.enterprise.dmagent</v>
      </c>
      <c r="D40" s="239">
        <v>6.81</v>
      </c>
      <c r="E40" s="239">
        <v>6.81</v>
      </c>
      <c r="F40" s="303" t="s">
        <v>2548</v>
      </c>
      <c r="G40" s="168">
        <v>6.81</v>
      </c>
      <c r="H40" s="371" t="s">
        <v>2548</v>
      </c>
      <c r="I40" s="371" t="s">
        <v>2548</v>
      </c>
      <c r="J40" s="371" t="s">
        <v>2548</v>
      </c>
      <c r="K40" s="371" t="s">
        <v>2548</v>
      </c>
      <c r="L40" s="371" t="s">
        <v>2548</v>
      </c>
      <c r="M40" s="371" t="s">
        <v>2548</v>
      </c>
      <c r="N40" s="371" t="s">
        <v>2548</v>
      </c>
      <c r="O40" s="371" t="s">
        <v>2548</v>
      </c>
      <c r="P40" s="356"/>
    </row>
    <row r="41">
      <c r="A41" s="363" t="s">
        <v>2309</v>
      </c>
      <c r="B41" s="395" t="s">
        <v>2310</v>
      </c>
      <c r="C41" s="396" t="str">
        <f>HYPERLINK("https://play.google.com/store/apps/details?id=com.google.android.apps.docs.editors.docs",HYPERLINK("https://play.google.com/store/apps/details?id=com.google.android.apps.docs.editors.docs","com.google.android.apps.docs.editors.docs"))</f>
        <v>com.google.android.apps.docs.editors.docs</v>
      </c>
      <c r="D41" s="239" t="s">
        <v>2549</v>
      </c>
      <c r="E41" s="239" t="s">
        <v>2549</v>
      </c>
      <c r="F41" s="239" t="s">
        <v>2550</v>
      </c>
      <c r="G41" s="168" t="s">
        <v>2550</v>
      </c>
      <c r="H41" s="365" t="s">
        <v>2550</v>
      </c>
      <c r="I41" s="365" t="s">
        <v>2550</v>
      </c>
      <c r="J41" s="365" t="s">
        <v>2551</v>
      </c>
      <c r="K41" s="365" t="s">
        <v>2434</v>
      </c>
      <c r="L41" s="365" t="s">
        <v>2435</v>
      </c>
      <c r="M41" s="365" t="s">
        <v>2436</v>
      </c>
      <c r="N41" s="278" t="s">
        <v>2311</v>
      </c>
      <c r="O41" s="278" t="s">
        <v>2311</v>
      </c>
      <c r="P41" s="356"/>
    </row>
    <row r="42">
      <c r="A42" s="363" t="s">
        <v>2313</v>
      </c>
      <c r="B42" s="395" t="s">
        <v>2314</v>
      </c>
      <c r="C42" s="396" t="str">
        <f>HYPERLINK("https://play.google.com/store/apps/details?id=com.google.android.apps.docs.editors.sheets",HYPERLINK("https://play.google.com/store/apps/details?id=com.google.android.apps.docs.editors.sheets","com.google.android.apps.docs.editors.sheets"))</f>
        <v>com.google.android.apps.docs.editors.sheets</v>
      </c>
      <c r="D42" s="239" t="s">
        <v>2549</v>
      </c>
      <c r="E42" s="239" t="s">
        <v>2549</v>
      </c>
      <c r="F42" s="239" t="s">
        <v>2550</v>
      </c>
      <c r="G42" s="168" t="s">
        <v>2550</v>
      </c>
      <c r="H42" s="365" t="s">
        <v>2550</v>
      </c>
      <c r="I42" s="365" t="s">
        <v>2550</v>
      </c>
      <c r="J42" s="365" t="s">
        <v>2552</v>
      </c>
      <c r="K42" s="365" t="s">
        <v>2438</v>
      </c>
      <c r="L42" s="365" t="s">
        <v>2439</v>
      </c>
      <c r="M42" s="365" t="s">
        <v>2440</v>
      </c>
      <c r="N42" s="278" t="s">
        <v>2315</v>
      </c>
      <c r="O42" s="278" t="s">
        <v>2315</v>
      </c>
      <c r="P42" s="356"/>
    </row>
    <row r="43">
      <c r="A43" s="363" t="s">
        <v>2316</v>
      </c>
      <c r="B43" s="395" t="s">
        <v>2317</v>
      </c>
      <c r="C43" s="396" t="str">
        <f>HYPERLINK("https://play.google.com/store/apps/details?id=com.google.android.apps.docs.editors.slides",HYPERLINK("https://play.google.com/store/apps/details?id=com.google.android.apps.docs.editors.slides","com.google.android.apps.docs.editors.slides"))</f>
        <v>com.google.android.apps.docs.editors.slides</v>
      </c>
      <c r="D43" s="239" t="s">
        <v>2553</v>
      </c>
      <c r="E43" s="239" t="s">
        <v>2553</v>
      </c>
      <c r="F43" s="239" t="s">
        <v>2554</v>
      </c>
      <c r="G43" s="168" t="s">
        <v>2554</v>
      </c>
      <c r="H43" s="365" t="s">
        <v>2554</v>
      </c>
      <c r="I43" s="365" t="s">
        <v>2554</v>
      </c>
      <c r="J43" s="365" t="s">
        <v>2555</v>
      </c>
      <c r="K43" s="365" t="s">
        <v>2442</v>
      </c>
      <c r="L43" s="365" t="s">
        <v>2443</v>
      </c>
      <c r="M43" s="365" t="s">
        <v>2444</v>
      </c>
      <c r="N43" s="278" t="s">
        <v>2318</v>
      </c>
      <c r="O43" s="278" t="s">
        <v>2318</v>
      </c>
      <c r="P43" s="356"/>
    </row>
    <row r="44">
      <c r="A44" s="363" t="s">
        <v>1629</v>
      </c>
      <c r="B44" s="377" t="s">
        <v>1630</v>
      </c>
      <c r="C44" s="363" t="s">
        <v>1631</v>
      </c>
      <c r="D44" s="239" t="s">
        <v>2461</v>
      </c>
      <c r="E44" s="239" t="s">
        <v>2461</v>
      </c>
      <c r="F44" s="239" t="s">
        <v>2462</v>
      </c>
      <c r="G44" s="168" t="s">
        <v>2462</v>
      </c>
      <c r="H44" s="365" t="s">
        <v>2462</v>
      </c>
      <c r="I44" s="365" t="s">
        <v>2462</v>
      </c>
      <c r="J44" s="365" t="s">
        <v>2462</v>
      </c>
      <c r="K44" s="365" t="s">
        <v>2462</v>
      </c>
      <c r="L44" s="365" t="s">
        <v>2462</v>
      </c>
      <c r="M44" s="365" t="s">
        <v>2556</v>
      </c>
      <c r="N44" s="365" t="s">
        <v>2556</v>
      </c>
      <c r="O44" s="365" t="s">
        <v>2556</v>
      </c>
      <c r="P44" s="356"/>
    </row>
    <row r="45">
      <c r="A45" s="363" t="s">
        <v>2320</v>
      </c>
      <c r="B45" s="377" t="s">
        <v>2321</v>
      </c>
      <c r="C45" s="170" t="str">
        <f>HYPERLINK("https://play.google.com/store/apps/details?id=com.google.android.apps.inputmethod.hindi",HYPERLINK("https://play.google.com/store/apps/details?id=com.google.android.apps.inputmethod.hindi","com.google.android.apps.inputmethod.hindi"))</f>
        <v>com.google.android.apps.inputmethod.hindi</v>
      </c>
      <c r="D45" s="239" t="s">
        <v>2557</v>
      </c>
      <c r="E45" s="239" t="s">
        <v>2557</v>
      </c>
      <c r="F45" s="274" t="s">
        <v>2558</v>
      </c>
      <c r="G45" s="261" t="s">
        <v>2558</v>
      </c>
      <c r="H45" s="262" t="s">
        <v>2558</v>
      </c>
      <c r="I45" s="262" t="s">
        <v>2558</v>
      </c>
      <c r="J45" s="262" t="s">
        <v>2559</v>
      </c>
      <c r="K45" s="262" t="s">
        <v>2559</v>
      </c>
      <c r="L45" s="262" t="s">
        <v>2559</v>
      </c>
      <c r="M45" s="262" t="s">
        <v>2559</v>
      </c>
      <c r="N45" s="262" t="s">
        <v>2559</v>
      </c>
      <c r="O45" s="262" t="s">
        <v>2559</v>
      </c>
      <c r="P45" s="356"/>
    </row>
    <row r="46">
      <c r="A46" s="363" t="s">
        <v>2560</v>
      </c>
      <c r="B46" s="377" t="s">
        <v>2561</v>
      </c>
      <c r="C46" s="170" t="str">
        <f>HYPERLINK("https://play.google.com/store/apps/details?id=com.google.android.launcher",HYPERLINK("https://play.google.com/store/apps/details?id=com.google.android.launcher","com.google.android.launcher"))</f>
        <v>com.google.android.launcher</v>
      </c>
      <c r="D46" s="239" t="s">
        <v>2562</v>
      </c>
      <c r="E46" s="239" t="s">
        <v>2562</v>
      </c>
      <c r="F46" s="239" t="s">
        <v>2563</v>
      </c>
      <c r="G46" s="425" t="s">
        <v>1597</v>
      </c>
      <c r="H46" s="426" t="s">
        <v>1597</v>
      </c>
      <c r="I46" s="426" t="s">
        <v>1597</v>
      </c>
      <c r="J46" s="426" t="s">
        <v>1597</v>
      </c>
      <c r="K46" s="426" t="s">
        <v>1597</v>
      </c>
      <c r="L46" s="426" t="s">
        <v>1597</v>
      </c>
      <c r="M46" s="426" t="s">
        <v>1597</v>
      </c>
      <c r="N46" s="426" t="s">
        <v>1597</v>
      </c>
      <c r="O46" s="426" t="s">
        <v>1597</v>
      </c>
      <c r="P46" s="356"/>
    </row>
    <row r="47">
      <c r="A47" s="363" t="s">
        <v>2070</v>
      </c>
      <c r="B47" s="377" t="s">
        <v>2071</v>
      </c>
      <c r="C47" s="170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47" s="239" t="s">
        <v>2564</v>
      </c>
      <c r="E47" s="239" t="s">
        <v>2564</v>
      </c>
      <c r="F47" s="274" t="s">
        <v>2565</v>
      </c>
      <c r="G47" s="261" t="s">
        <v>2565</v>
      </c>
      <c r="H47" s="262" t="s">
        <v>2565</v>
      </c>
      <c r="I47" s="262" t="s">
        <v>2565</v>
      </c>
      <c r="J47" s="262" t="s">
        <v>2566</v>
      </c>
      <c r="K47" s="262" t="s">
        <v>2566</v>
      </c>
      <c r="L47" s="263" t="s">
        <v>2566</v>
      </c>
      <c r="M47" s="262" t="s">
        <v>2566</v>
      </c>
      <c r="N47" s="262" t="s">
        <v>2566</v>
      </c>
      <c r="O47" s="262" t="s">
        <v>2566</v>
      </c>
      <c r="P47" s="356"/>
    </row>
    <row r="48">
      <c r="A48" s="363" t="s">
        <v>2073</v>
      </c>
      <c r="B48" s="377" t="s">
        <v>2074</v>
      </c>
      <c r="C48" s="210" t="str">
        <f>HYPERLINK("https://play.google.com/store/apps/details?id=com.google.android.inputmethod.japanese","com.google.android.inputmethod.japanese")</f>
        <v>com.google.android.inputmethod.japanese</v>
      </c>
      <c r="D48" s="239" t="s">
        <v>2567</v>
      </c>
      <c r="E48" s="239" t="s">
        <v>2567</v>
      </c>
      <c r="F48" s="274" t="s">
        <v>2568</v>
      </c>
      <c r="G48" s="261" t="s">
        <v>2568</v>
      </c>
      <c r="H48" s="262" t="s">
        <v>2568</v>
      </c>
      <c r="I48" s="262" t="s">
        <v>2568</v>
      </c>
      <c r="J48" s="262" t="s">
        <v>2569</v>
      </c>
      <c r="K48" s="388" t="s">
        <v>2570</v>
      </c>
      <c r="L48" s="388" t="s">
        <v>2570</v>
      </c>
      <c r="M48" s="388" t="s">
        <v>2570</v>
      </c>
      <c r="N48" s="388" t="s">
        <v>2570</v>
      </c>
      <c r="O48" s="388" t="s">
        <v>2570</v>
      </c>
      <c r="P48" s="356"/>
    </row>
    <row r="49">
      <c r="A49" s="363" t="s">
        <v>191</v>
      </c>
      <c r="B49" s="377" t="s">
        <v>191</v>
      </c>
      <c r="C49" s="170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49" s="239" t="s">
        <v>2571</v>
      </c>
      <c r="E49" s="239" t="s">
        <v>2571</v>
      </c>
      <c r="F49" s="239" t="s">
        <v>2572</v>
      </c>
      <c r="G49" s="168" t="s">
        <v>2572</v>
      </c>
      <c r="H49" s="365" t="s">
        <v>2573</v>
      </c>
      <c r="I49" s="365" t="s">
        <v>2573</v>
      </c>
      <c r="J49" s="365" t="s">
        <v>2574</v>
      </c>
      <c r="K49" s="365" t="s">
        <v>2446</v>
      </c>
      <c r="L49" s="365" t="s">
        <v>2447</v>
      </c>
      <c r="M49" s="365" t="s">
        <v>2448</v>
      </c>
      <c r="N49" s="365" t="s">
        <v>2325</v>
      </c>
      <c r="O49" s="365" t="s">
        <v>2325</v>
      </c>
      <c r="P49" s="356"/>
    </row>
    <row r="50">
      <c r="A50" s="363" t="s">
        <v>2084</v>
      </c>
      <c r="B50" s="377" t="s">
        <v>2085</v>
      </c>
      <c r="C50" s="170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50" s="239" t="s">
        <v>2575</v>
      </c>
      <c r="E50" s="239" t="s">
        <v>2575</v>
      </c>
      <c r="F50" s="274" t="s">
        <v>2576</v>
      </c>
      <c r="G50" s="261" t="s">
        <v>2576</v>
      </c>
      <c r="H50" s="262" t="s">
        <v>2576</v>
      </c>
      <c r="I50" s="262" t="s">
        <v>2576</v>
      </c>
      <c r="J50" s="262" t="s">
        <v>2577</v>
      </c>
      <c r="K50" s="262" t="s">
        <v>2577</v>
      </c>
      <c r="L50" s="262" t="s">
        <v>2577</v>
      </c>
      <c r="M50" s="262" t="s">
        <v>2577</v>
      </c>
      <c r="N50" s="262" t="s">
        <v>2577</v>
      </c>
      <c r="O50" s="262" t="s">
        <v>2577</v>
      </c>
      <c r="P50" s="356"/>
    </row>
    <row r="51">
      <c r="A51" s="363" t="s">
        <v>194</v>
      </c>
      <c r="B51" s="377" t="s">
        <v>195</v>
      </c>
      <c r="C51" s="170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51" s="239" t="s">
        <v>2578</v>
      </c>
      <c r="E51" s="239" t="s">
        <v>2579</v>
      </c>
      <c r="F51" s="274" t="s">
        <v>2580</v>
      </c>
      <c r="G51" s="261" t="s">
        <v>2580</v>
      </c>
      <c r="H51" s="262" t="s">
        <v>2581</v>
      </c>
      <c r="I51" s="262" t="s">
        <v>2581</v>
      </c>
      <c r="J51" s="262" t="s">
        <v>2582</v>
      </c>
      <c r="K51" s="262" t="s">
        <v>2582</v>
      </c>
      <c r="L51" s="262" t="s">
        <v>2582</v>
      </c>
      <c r="M51" s="262" t="s">
        <v>2582</v>
      </c>
      <c r="N51" s="262" t="s">
        <v>2582</v>
      </c>
      <c r="O51" s="262" t="s">
        <v>2582</v>
      </c>
      <c r="P51" s="356"/>
    </row>
    <row r="52">
      <c r="A52" s="363" t="s">
        <v>2342</v>
      </c>
      <c r="B52" s="377" t="s">
        <v>2343</v>
      </c>
      <c r="C52" s="170" t="str">
        <f>HYPERLINK("https://play.google.com/store/apps/details?id=com.google.android.apps.magazines",HYPERLINK("https://play.google.com/store/apps/details?id=com.google.android.apps.magazines","com.google.android.apps.magazines"))</f>
        <v>com.google.android.apps.magazines</v>
      </c>
      <c r="D52" s="239" t="s">
        <v>2583</v>
      </c>
      <c r="E52" s="239" t="s">
        <v>2583</v>
      </c>
      <c r="F52" s="239" t="s">
        <v>2584</v>
      </c>
      <c r="G52" s="168" t="s">
        <v>2456</v>
      </c>
      <c r="H52" s="365" t="s">
        <v>2456</v>
      </c>
      <c r="I52" s="365" t="s">
        <v>2456</v>
      </c>
      <c r="J52" s="365" t="s">
        <v>2456</v>
      </c>
      <c r="K52" s="365" t="s">
        <v>2456</v>
      </c>
      <c r="L52" s="365" t="s">
        <v>2457</v>
      </c>
      <c r="M52" s="365" t="s">
        <v>2457</v>
      </c>
      <c r="N52" s="365" t="s">
        <v>2344</v>
      </c>
      <c r="O52" s="365" t="s">
        <v>2344</v>
      </c>
      <c r="P52" s="356"/>
    </row>
    <row r="53">
      <c r="A53" s="363" t="s">
        <v>2346</v>
      </c>
      <c r="B53" s="377" t="s">
        <v>2347</v>
      </c>
      <c r="C53" s="170" t="str">
        <f>HYPERLINK("https://play.google.com/store/apps/details?id=com.google.android.apps.genie.geniewidget",HYPERLINK("https://play.google.com/store/apps/details?id=com.google.android.apps.genie.geniewidget","com.google.android.apps.genie.geniewidget"))</f>
        <v>com.google.android.apps.genie.geniewidget</v>
      </c>
      <c r="D53" s="239" t="s">
        <v>2585</v>
      </c>
      <c r="E53" s="239" t="s">
        <v>2585</v>
      </c>
      <c r="F53" s="239" t="s">
        <v>2348</v>
      </c>
      <c r="G53" s="168" t="s">
        <v>2348</v>
      </c>
      <c r="H53" s="365" t="s">
        <v>2348</v>
      </c>
      <c r="I53" s="365" t="s">
        <v>2348</v>
      </c>
      <c r="J53" s="365" t="s">
        <v>2348</v>
      </c>
      <c r="K53" s="365" t="s">
        <v>2348</v>
      </c>
      <c r="L53" s="365" t="s">
        <v>2348</v>
      </c>
      <c r="M53" s="365" t="s">
        <v>2348</v>
      </c>
      <c r="N53" s="365" t="s">
        <v>2348</v>
      </c>
      <c r="O53" s="365" t="s">
        <v>2348</v>
      </c>
      <c r="P53" s="356"/>
    </row>
    <row r="54">
      <c r="A54" s="363" t="s">
        <v>2331</v>
      </c>
      <c r="B54" s="377" t="s">
        <v>2332</v>
      </c>
      <c r="C54" s="170" t="str">
        <f>HYPERLINK("https://play.google.com/store/apps/details?id=com.google.android.play.games",HYPERLINK("https://play.google.com/store/apps/details?id=com.google.android.play.games","com.google.android.play.games"))</f>
        <v>com.google.android.play.games</v>
      </c>
      <c r="D54" s="239" t="s">
        <v>2586</v>
      </c>
      <c r="E54" s="239" t="s">
        <v>2586</v>
      </c>
      <c r="F54" s="239" t="s">
        <v>2587</v>
      </c>
      <c r="G54" s="168" t="s">
        <v>2588</v>
      </c>
      <c r="H54" s="365" t="s">
        <v>2449</v>
      </c>
      <c r="I54" s="365" t="s">
        <v>2449</v>
      </c>
      <c r="J54" s="365" t="s">
        <v>2450</v>
      </c>
      <c r="K54" s="365" t="s">
        <v>2450</v>
      </c>
      <c r="L54" s="365" t="s">
        <v>2450</v>
      </c>
      <c r="M54" s="365" t="s">
        <v>2450</v>
      </c>
      <c r="N54" s="365" t="s">
        <v>2333</v>
      </c>
      <c r="O54" s="365" t="s">
        <v>2333</v>
      </c>
      <c r="P54" s="356"/>
    </row>
    <row r="55">
      <c r="A55" s="363" t="s">
        <v>2334</v>
      </c>
      <c r="B55" s="377" t="s">
        <v>2335</v>
      </c>
      <c r="C55" s="170" t="str">
        <f>HYPERLINK("https://play.google.com/store/apps/details?id=com.google.android.apps.plus",HYPERLINK("https://play.google.com/store/apps/details?id=com.google.android.apps.plus","com.google.android.apps.plus"))</f>
        <v>com.google.android.apps.plus</v>
      </c>
      <c r="D55" s="239" t="s">
        <v>2589</v>
      </c>
      <c r="E55" s="239" t="s">
        <v>2589</v>
      </c>
      <c r="F55" s="239" t="s">
        <v>2590</v>
      </c>
      <c r="G55" s="168" t="s">
        <v>2590</v>
      </c>
      <c r="H55" s="365" t="s">
        <v>2591</v>
      </c>
      <c r="I55" s="365" t="s">
        <v>2591</v>
      </c>
      <c r="J55" s="365" t="s">
        <v>2592</v>
      </c>
      <c r="K55" s="365" t="s">
        <v>2452</v>
      </c>
      <c r="L55" s="365" t="s">
        <v>2453</v>
      </c>
      <c r="M55" s="365" t="s">
        <v>2454</v>
      </c>
      <c r="N55" s="365" t="s">
        <v>2336</v>
      </c>
      <c r="O55" s="365" t="s">
        <v>2336</v>
      </c>
      <c r="P55" s="356"/>
    </row>
    <row r="56">
      <c r="A56" s="363" t="s">
        <v>198</v>
      </c>
      <c r="B56" s="377" t="s">
        <v>199</v>
      </c>
      <c r="C56" s="170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56" s="411" t="s">
        <v>2593</v>
      </c>
      <c r="E56" s="411" t="s">
        <v>2593</v>
      </c>
      <c r="F56" s="411" t="s">
        <v>2594</v>
      </c>
      <c r="G56" s="328" t="s">
        <v>2594</v>
      </c>
      <c r="H56" s="365" t="s">
        <v>2595</v>
      </c>
      <c r="I56" s="365" t="s">
        <v>2595</v>
      </c>
      <c r="J56" s="365" t="s">
        <v>2432</v>
      </c>
      <c r="K56" s="365" t="s">
        <v>2338</v>
      </c>
      <c r="L56" s="365" t="s">
        <v>2338</v>
      </c>
      <c r="M56" s="365" t="s">
        <v>2338</v>
      </c>
      <c r="N56" s="365" t="s">
        <v>2338</v>
      </c>
      <c r="O56" s="365" t="s">
        <v>2338</v>
      </c>
      <c r="P56" s="356"/>
    </row>
    <row r="57">
      <c r="A57" s="380" t="s">
        <v>2285</v>
      </c>
      <c r="B57" s="427" t="s">
        <v>2286</v>
      </c>
      <c r="C57" s="428" t="str">
        <f>HYPERLINK("https://play.google.com/store/apps/details?id=com.google.android.apps.walletnfcrel",HYPERLINK("https://play.google.com/store/apps/details?id=com.google.android.apps.walletnfcrel","com.google.android.apps.walletnfcrel"))</f>
        <v>com.google.android.apps.walletnfcrel</v>
      </c>
      <c r="D57" s="251" t="s">
        <v>2596</v>
      </c>
      <c r="E57" s="251" t="s">
        <v>2597</v>
      </c>
      <c r="F57" s="251" t="s">
        <v>2598</v>
      </c>
      <c r="G57" s="228" t="s">
        <v>2598</v>
      </c>
      <c r="H57" s="382" t="s">
        <v>2418</v>
      </c>
      <c r="I57" s="382" t="s">
        <v>2418</v>
      </c>
      <c r="J57" s="382" t="s">
        <v>2599</v>
      </c>
      <c r="K57" s="382" t="s">
        <v>2419</v>
      </c>
      <c r="L57" s="382" t="s">
        <v>2420</v>
      </c>
      <c r="M57" s="382" t="s">
        <v>2421</v>
      </c>
      <c r="N57" s="382" t="s">
        <v>2287</v>
      </c>
      <c r="O57" s="382" t="s">
        <v>2287</v>
      </c>
      <c r="P57" s="356"/>
    </row>
    <row r="58">
      <c r="A58" s="404"/>
      <c r="B58" s="405"/>
      <c r="C58" s="405"/>
      <c r="D58" s="405"/>
      <c r="E58" s="405"/>
      <c r="F58" s="356"/>
      <c r="G58" s="356"/>
      <c r="H58" s="356"/>
      <c r="I58" s="356"/>
      <c r="J58" s="356"/>
      <c r="K58" s="356"/>
      <c r="L58" s="356"/>
      <c r="M58" s="356"/>
      <c r="N58" s="356"/>
      <c r="O58" s="356"/>
      <c r="P58" s="356"/>
    </row>
  </sheetData>
  <mergeCells count="18">
    <mergeCell ref="H1:H2"/>
    <mergeCell ref="I1:I2"/>
    <mergeCell ref="J1:J2"/>
    <mergeCell ref="K1:K2"/>
    <mergeCell ref="L1:L2"/>
    <mergeCell ref="M1:M2"/>
    <mergeCell ref="N1:N2"/>
    <mergeCell ref="O1:O2"/>
    <mergeCell ref="A3:B3"/>
    <mergeCell ref="A16:B16"/>
    <mergeCell ref="A19:B19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63"/>
    <col customWidth="1" min="2" max="2" width="24.0"/>
    <col customWidth="1" min="3" max="3" width="35.63"/>
    <col customWidth="1" min="4" max="10" width="18.0"/>
    <col customWidth="1" min="11" max="11" width="12.75"/>
  </cols>
  <sheetData>
    <row r="1">
      <c r="A1" s="354" t="s">
        <v>2199</v>
      </c>
      <c r="B1" s="354" t="s">
        <v>2200</v>
      </c>
      <c r="C1" s="354" t="s">
        <v>2201</v>
      </c>
      <c r="D1" s="354" t="s">
        <v>1929</v>
      </c>
      <c r="E1" s="354" t="s">
        <v>1930</v>
      </c>
      <c r="F1" s="409" t="s">
        <v>1931</v>
      </c>
      <c r="G1" s="409" t="s">
        <v>2124</v>
      </c>
      <c r="H1" s="409" t="s">
        <v>2125</v>
      </c>
      <c r="I1" s="409" t="s">
        <v>2126</v>
      </c>
      <c r="J1" s="409" t="s">
        <v>2202</v>
      </c>
      <c r="K1" s="356"/>
    </row>
    <row r="2" ht="31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356"/>
    </row>
    <row r="3">
      <c r="A3" s="357" t="s">
        <v>6</v>
      </c>
      <c r="B3" s="91"/>
      <c r="C3" s="358"/>
      <c r="D3" s="358"/>
      <c r="E3" s="410"/>
      <c r="F3" s="410"/>
      <c r="G3" s="410"/>
      <c r="H3" s="410"/>
      <c r="I3" s="410"/>
      <c r="J3" s="410"/>
      <c r="K3" s="356"/>
    </row>
    <row r="4">
      <c r="A4" s="359" t="s">
        <v>17</v>
      </c>
      <c r="B4" s="360" t="s">
        <v>18</v>
      </c>
      <c r="C4" s="208" t="str">
        <f>HYPERLINK("https://play.google.com/store/apps/details?id=com.google.android.gms",HYPERLINK("https://play.google.com/store/apps/details?id=com.google.android.gms","com.google.android.gms"))</f>
        <v>com.google.android.gms</v>
      </c>
      <c r="D4" s="359" t="s">
        <v>2600</v>
      </c>
      <c r="E4" s="359" t="s">
        <v>2601</v>
      </c>
      <c r="F4" s="274" t="s">
        <v>2464</v>
      </c>
      <c r="G4" s="274" t="s">
        <v>2465</v>
      </c>
      <c r="H4" s="261" t="s">
        <v>2465</v>
      </c>
      <c r="I4" s="263" t="s">
        <v>2465</v>
      </c>
      <c r="J4" s="429" t="s">
        <v>2466</v>
      </c>
      <c r="K4" s="356"/>
    </row>
    <row r="5">
      <c r="A5" s="363" t="s">
        <v>1697</v>
      </c>
      <c r="B5" s="364" t="s">
        <v>1698</v>
      </c>
      <c r="C5" s="363" t="s">
        <v>1699</v>
      </c>
      <c r="D5" s="363" t="s">
        <v>2602</v>
      </c>
      <c r="E5" s="363" t="s">
        <v>2602</v>
      </c>
      <c r="F5" s="225" t="s">
        <v>2602</v>
      </c>
      <c r="G5" s="225" t="s">
        <v>2602</v>
      </c>
      <c r="H5" s="318" t="s">
        <v>2602</v>
      </c>
      <c r="I5" s="262" t="s">
        <v>2602</v>
      </c>
      <c r="J5" s="262" t="s">
        <v>2602</v>
      </c>
      <c r="K5" s="356"/>
    </row>
    <row r="6">
      <c r="A6" s="363" t="s">
        <v>21</v>
      </c>
      <c r="B6" s="364" t="s">
        <v>22</v>
      </c>
      <c r="C6" s="363" t="s">
        <v>23</v>
      </c>
      <c r="D6" s="363" t="s">
        <v>2602</v>
      </c>
      <c r="E6" s="363" t="s">
        <v>2602</v>
      </c>
      <c r="F6" s="225" t="s">
        <v>2602</v>
      </c>
      <c r="G6" s="225" t="s">
        <v>2602</v>
      </c>
      <c r="H6" s="318" t="s">
        <v>2602</v>
      </c>
      <c r="I6" s="262" t="s">
        <v>2602</v>
      </c>
      <c r="J6" s="262" t="s">
        <v>2602</v>
      </c>
      <c r="K6" s="356"/>
    </row>
    <row r="7">
      <c r="A7" s="363" t="s">
        <v>2211</v>
      </c>
      <c r="B7" s="364" t="s">
        <v>2212</v>
      </c>
      <c r="C7" s="363" t="s">
        <v>2213</v>
      </c>
      <c r="D7" s="363" t="s">
        <v>2602</v>
      </c>
      <c r="E7" s="363" t="s">
        <v>2602</v>
      </c>
      <c r="F7" s="225" t="s">
        <v>2602</v>
      </c>
      <c r="G7" s="225" t="s">
        <v>2602</v>
      </c>
      <c r="H7" s="318" t="s">
        <v>2602</v>
      </c>
      <c r="I7" s="262" t="s">
        <v>2602</v>
      </c>
      <c r="J7" s="430" t="s">
        <v>2603</v>
      </c>
      <c r="K7" s="356"/>
    </row>
    <row r="8">
      <c r="A8" s="363" t="s">
        <v>261</v>
      </c>
      <c r="B8" s="364" t="s">
        <v>262</v>
      </c>
      <c r="C8" s="363" t="s">
        <v>263</v>
      </c>
      <c r="D8" s="363" t="s">
        <v>2602</v>
      </c>
      <c r="E8" s="363" t="s">
        <v>2602</v>
      </c>
      <c r="F8" s="225" t="s">
        <v>2602</v>
      </c>
      <c r="G8" s="225" t="s">
        <v>2602</v>
      </c>
      <c r="H8" s="318" t="s">
        <v>2602</v>
      </c>
      <c r="I8" s="262" t="s">
        <v>2602</v>
      </c>
      <c r="J8" s="262" t="s">
        <v>2602</v>
      </c>
      <c r="K8" s="356"/>
    </row>
    <row r="9">
      <c r="A9" s="363" t="s">
        <v>26</v>
      </c>
      <c r="B9" s="364" t="s">
        <v>27</v>
      </c>
      <c r="C9" s="363" t="s">
        <v>28</v>
      </c>
      <c r="D9" s="363" t="s">
        <v>2604</v>
      </c>
      <c r="E9" s="363" t="s">
        <v>2605</v>
      </c>
      <c r="F9" s="225" t="s">
        <v>2606</v>
      </c>
      <c r="G9" s="225" t="s">
        <v>2606</v>
      </c>
      <c r="H9" s="318" t="s">
        <v>2606</v>
      </c>
      <c r="I9" s="262" t="s">
        <v>2606</v>
      </c>
      <c r="J9" s="262" t="s">
        <v>2606</v>
      </c>
      <c r="K9" s="356"/>
    </row>
    <row r="10">
      <c r="A10" s="363" t="s">
        <v>36</v>
      </c>
      <c r="B10" s="364" t="s">
        <v>37</v>
      </c>
      <c r="C10" s="363" t="s">
        <v>38</v>
      </c>
      <c r="D10" s="363" t="s">
        <v>2602</v>
      </c>
      <c r="E10" s="363" t="s">
        <v>2602</v>
      </c>
      <c r="F10" s="225" t="s">
        <v>2602</v>
      </c>
      <c r="G10" s="225" t="s">
        <v>2602</v>
      </c>
      <c r="H10" s="318" t="s">
        <v>2602</v>
      </c>
      <c r="I10" s="262" t="s">
        <v>2602</v>
      </c>
      <c r="J10" s="262" t="s">
        <v>2602</v>
      </c>
      <c r="K10" s="356"/>
    </row>
    <row r="11">
      <c r="A11" s="363" t="s">
        <v>48</v>
      </c>
      <c r="B11" s="364" t="s">
        <v>49</v>
      </c>
      <c r="C11" s="363" t="s">
        <v>50</v>
      </c>
      <c r="D11" s="431" t="s">
        <v>2607</v>
      </c>
      <c r="E11" s="432" t="s">
        <v>2608</v>
      </c>
      <c r="F11" s="280" t="s">
        <v>2470</v>
      </c>
      <c r="G11" s="280" t="s">
        <v>2471</v>
      </c>
      <c r="H11" s="375" t="s">
        <v>2472</v>
      </c>
      <c r="I11" s="262" t="s">
        <v>2472</v>
      </c>
      <c r="J11" s="262" t="s">
        <v>2472</v>
      </c>
      <c r="K11" s="356"/>
    </row>
    <row r="12">
      <c r="A12" s="363" t="s">
        <v>53</v>
      </c>
      <c r="B12" s="364" t="s">
        <v>54</v>
      </c>
      <c r="C12" s="363" t="s">
        <v>55</v>
      </c>
      <c r="D12" s="433" t="s">
        <v>2475</v>
      </c>
      <c r="E12" s="432" t="s">
        <v>2609</v>
      </c>
      <c r="F12" s="375" t="s">
        <v>2610</v>
      </c>
      <c r="G12" s="369" t="s">
        <v>2611</v>
      </c>
      <c r="H12" s="375" t="s">
        <v>2611</v>
      </c>
      <c r="I12" s="262" t="s">
        <v>2611</v>
      </c>
      <c r="J12" s="262" t="s">
        <v>2611</v>
      </c>
      <c r="K12" s="356"/>
    </row>
    <row r="13">
      <c r="A13" s="363" t="s">
        <v>62</v>
      </c>
      <c r="B13" s="364" t="s">
        <v>63</v>
      </c>
      <c r="C13" s="170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3" s="431" t="s">
        <v>2612</v>
      </c>
      <c r="E13" s="432" t="s">
        <v>2613</v>
      </c>
      <c r="F13" s="225" t="s">
        <v>2479</v>
      </c>
      <c r="G13" s="225" t="s">
        <v>2480</v>
      </c>
      <c r="H13" s="318" t="s">
        <v>2481</v>
      </c>
      <c r="I13" s="262" t="s">
        <v>2482</v>
      </c>
      <c r="J13" s="262" t="s">
        <v>2482</v>
      </c>
      <c r="K13" s="356"/>
    </row>
    <row r="14">
      <c r="A14" s="363" t="s">
        <v>2614</v>
      </c>
      <c r="B14" s="377" t="s">
        <v>2615</v>
      </c>
      <c r="C14" s="363" t="s">
        <v>2616</v>
      </c>
      <c r="D14" s="363" t="s">
        <v>2602</v>
      </c>
      <c r="E14" s="363" t="s">
        <v>2602</v>
      </c>
      <c r="F14" s="280" t="s">
        <v>2602</v>
      </c>
      <c r="G14" s="280" t="s">
        <v>2602</v>
      </c>
      <c r="H14" s="375" t="s">
        <v>2602</v>
      </c>
      <c r="I14" s="262" t="s">
        <v>2602</v>
      </c>
      <c r="J14" s="262" t="s">
        <v>2602</v>
      </c>
      <c r="K14" s="356"/>
    </row>
    <row r="15">
      <c r="A15" s="384" t="s">
        <v>327</v>
      </c>
      <c r="B15" s="415" t="s">
        <v>328</v>
      </c>
      <c r="C15" s="384" t="s">
        <v>329</v>
      </c>
      <c r="D15" s="434" t="s">
        <v>330</v>
      </c>
      <c r="E15" s="435" t="s">
        <v>330</v>
      </c>
      <c r="F15" s="436" t="s">
        <v>330</v>
      </c>
      <c r="G15" s="436" t="s">
        <v>330</v>
      </c>
      <c r="H15" s="437" t="s">
        <v>330</v>
      </c>
      <c r="I15" s="438" t="s">
        <v>330</v>
      </c>
      <c r="J15" s="438" t="s">
        <v>330</v>
      </c>
      <c r="K15" s="356"/>
    </row>
    <row r="16">
      <c r="A16" s="357" t="s">
        <v>2235</v>
      </c>
      <c r="B16" s="91"/>
      <c r="C16" s="358"/>
      <c r="D16" s="358"/>
      <c r="E16" s="358"/>
      <c r="F16" s="418"/>
      <c r="G16" s="358"/>
      <c r="H16" s="358"/>
      <c r="I16" s="358"/>
      <c r="J16" s="358"/>
      <c r="K16" s="356"/>
    </row>
    <row r="17">
      <c r="A17" s="359" t="s">
        <v>2236</v>
      </c>
      <c r="B17" s="360" t="s">
        <v>2237</v>
      </c>
      <c r="C17" s="359" t="s">
        <v>2238</v>
      </c>
      <c r="D17" s="383"/>
      <c r="E17" s="383"/>
      <c r="F17" s="419"/>
      <c r="G17" s="383"/>
      <c r="H17" s="383"/>
      <c r="I17" s="383"/>
      <c r="J17" s="383"/>
      <c r="K17" s="356"/>
    </row>
    <row r="18">
      <c r="A18" s="384" t="s">
        <v>2239</v>
      </c>
      <c r="B18" s="385" t="s">
        <v>2240</v>
      </c>
      <c r="C18" s="384" t="s">
        <v>2241</v>
      </c>
      <c r="D18" s="386"/>
      <c r="E18" s="420"/>
      <c r="F18" s="420"/>
      <c r="G18" s="420"/>
      <c r="H18" s="420"/>
      <c r="I18" s="420"/>
      <c r="J18" s="420"/>
      <c r="K18" s="356"/>
    </row>
    <row r="19">
      <c r="A19" s="357" t="s">
        <v>113</v>
      </c>
      <c r="B19" s="91"/>
      <c r="C19" s="358"/>
      <c r="D19" s="358"/>
      <c r="E19" s="358"/>
      <c r="F19" s="418"/>
      <c r="G19" s="358"/>
      <c r="H19" s="358"/>
      <c r="I19" s="358"/>
      <c r="J19" s="358"/>
      <c r="K19" s="356"/>
    </row>
    <row r="20">
      <c r="A20" s="359" t="s">
        <v>2290</v>
      </c>
      <c r="B20" s="439" t="s">
        <v>2291</v>
      </c>
      <c r="C20" s="440" t="str">
        <f>HYPERLINK("https://play.google.com/store/apps/details?id=com.google.android.apps.books","com.google.android.apps.books")</f>
        <v>com.google.android.apps.books</v>
      </c>
      <c r="D20" s="359" t="s">
        <v>2617</v>
      </c>
      <c r="E20" s="359" t="s">
        <v>2618</v>
      </c>
      <c r="F20" s="225" t="s">
        <v>2619</v>
      </c>
      <c r="G20" s="225" t="s">
        <v>2533</v>
      </c>
      <c r="H20" s="318" t="s">
        <v>2534</v>
      </c>
      <c r="I20" s="262" t="s">
        <v>2534</v>
      </c>
      <c r="J20" s="262" t="s">
        <v>2534</v>
      </c>
      <c r="K20" s="356"/>
    </row>
    <row r="21">
      <c r="A21" s="363" t="s">
        <v>2620</v>
      </c>
      <c r="B21" s="364" t="s">
        <v>2621</v>
      </c>
      <c r="C21" s="363" t="s">
        <v>2622</v>
      </c>
      <c r="D21" s="363" t="s">
        <v>2602</v>
      </c>
      <c r="E21" s="363" t="s">
        <v>2602</v>
      </c>
      <c r="F21" s="280" t="s">
        <v>2602</v>
      </c>
      <c r="G21" s="280" t="s">
        <v>2602</v>
      </c>
      <c r="H21" s="375" t="s">
        <v>2602</v>
      </c>
      <c r="I21" s="262" t="s">
        <v>2602</v>
      </c>
      <c r="J21" s="262" t="s">
        <v>2602</v>
      </c>
      <c r="K21" s="356"/>
    </row>
    <row r="22">
      <c r="A22" s="363" t="s">
        <v>114</v>
      </c>
      <c r="B22" s="364" t="s">
        <v>114</v>
      </c>
      <c r="C22" s="170" t="str">
        <f>HYPERLINK("https://play.google.com/store/apps/details?id=com.android.chrome",HYPERLINK("https://play.google.com/store/apps/details?id=com.android.chrome","com.android.chrome"))</f>
        <v>com.android.chrome</v>
      </c>
      <c r="D22" s="363" t="s">
        <v>2623</v>
      </c>
      <c r="E22" s="363" t="s">
        <v>2624</v>
      </c>
      <c r="F22" s="225" t="s">
        <v>2486</v>
      </c>
      <c r="G22" s="225" t="s">
        <v>2487</v>
      </c>
      <c r="H22" s="318" t="s">
        <v>2488</v>
      </c>
      <c r="I22" s="262" t="s">
        <v>2488</v>
      </c>
      <c r="J22" s="262" t="s">
        <v>2488</v>
      </c>
      <c r="K22" s="356"/>
    </row>
    <row r="23">
      <c r="A23" s="363" t="s">
        <v>7</v>
      </c>
      <c r="B23" s="364" t="s">
        <v>7</v>
      </c>
      <c r="C23" s="363" t="s">
        <v>8</v>
      </c>
      <c r="D23" s="363" t="s">
        <v>2602</v>
      </c>
      <c r="E23" s="363" t="s">
        <v>2602</v>
      </c>
      <c r="F23" s="280" t="s">
        <v>2602</v>
      </c>
      <c r="G23" s="280" t="s">
        <v>2602</v>
      </c>
      <c r="H23" s="375" t="s">
        <v>2602</v>
      </c>
      <c r="I23" s="262" t="s">
        <v>2602</v>
      </c>
      <c r="J23" s="262" t="s">
        <v>2602</v>
      </c>
      <c r="K23" s="356"/>
    </row>
    <row r="24">
      <c r="A24" s="363" t="s">
        <v>117</v>
      </c>
      <c r="B24" s="364" t="s">
        <v>117</v>
      </c>
      <c r="C24" s="170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4" s="363" t="s">
        <v>2625</v>
      </c>
      <c r="E24" s="363" t="s">
        <v>2626</v>
      </c>
      <c r="F24" s="225" t="s">
        <v>2627</v>
      </c>
      <c r="G24" s="225" t="s">
        <v>2491</v>
      </c>
      <c r="H24" s="318" t="s">
        <v>2491</v>
      </c>
      <c r="I24" s="262" t="s">
        <v>2492</v>
      </c>
      <c r="J24" s="262" t="s">
        <v>2492</v>
      </c>
      <c r="K24" s="356"/>
    </row>
    <row r="25">
      <c r="A25" s="363" t="s">
        <v>123</v>
      </c>
      <c r="B25" s="364" t="s">
        <v>124</v>
      </c>
      <c r="C25" s="170" t="str">
        <f>HYPERLINK("https://play.google.com/store/apps/details?id=com.google.android.gm",HYPERLINK("https://play.google.com/store/apps/details?id=com.google.android.gm","com.google.android.gm"))</f>
        <v>com.google.android.gm</v>
      </c>
      <c r="D25" s="363" t="s">
        <v>2628</v>
      </c>
      <c r="E25" s="363" t="s">
        <v>2629</v>
      </c>
      <c r="F25" s="225" t="s">
        <v>2630</v>
      </c>
      <c r="G25" s="225" t="s">
        <v>2495</v>
      </c>
      <c r="H25" s="318" t="s">
        <v>2495</v>
      </c>
      <c r="I25" s="441" t="s">
        <v>2496</v>
      </c>
      <c r="J25" s="441" t="s">
        <v>2496</v>
      </c>
      <c r="K25" s="356"/>
    </row>
    <row r="26">
      <c r="A26" s="363" t="s">
        <v>127</v>
      </c>
      <c r="B26" s="364" t="s">
        <v>128</v>
      </c>
      <c r="C26" s="363" t="s">
        <v>129</v>
      </c>
      <c r="D26" s="363" t="s">
        <v>2602</v>
      </c>
      <c r="E26" s="363" t="s">
        <v>2602</v>
      </c>
      <c r="F26" s="225" t="s">
        <v>2602</v>
      </c>
      <c r="G26" s="225" t="s">
        <v>2602</v>
      </c>
      <c r="H26" s="318" t="s">
        <v>2602</v>
      </c>
      <c r="I26" s="262" t="s">
        <v>2602</v>
      </c>
      <c r="J26" s="262" t="s">
        <v>2602</v>
      </c>
      <c r="K26" s="356"/>
    </row>
    <row r="27">
      <c r="A27" s="363" t="s">
        <v>1098</v>
      </c>
      <c r="B27" s="364" t="s">
        <v>1099</v>
      </c>
      <c r="C27" s="363" t="s">
        <v>1100</v>
      </c>
      <c r="D27" s="363" t="s">
        <v>2602</v>
      </c>
      <c r="E27" s="363" t="s">
        <v>2602</v>
      </c>
      <c r="F27" s="225" t="s">
        <v>2602</v>
      </c>
      <c r="G27" s="225" t="s">
        <v>2602</v>
      </c>
      <c r="H27" s="318" t="s">
        <v>2602</v>
      </c>
      <c r="I27" s="262" t="s">
        <v>2602</v>
      </c>
      <c r="J27" s="262" t="s">
        <v>2602</v>
      </c>
      <c r="K27" s="356"/>
    </row>
    <row r="28">
      <c r="A28" s="363" t="s">
        <v>1798</v>
      </c>
      <c r="B28" s="364" t="s">
        <v>1798</v>
      </c>
      <c r="C28" s="170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28" s="363" t="s">
        <v>2631</v>
      </c>
      <c r="E28" s="363" t="s">
        <v>2632</v>
      </c>
      <c r="F28" s="225" t="s">
        <v>2498</v>
      </c>
      <c r="G28" s="225" t="s">
        <v>2499</v>
      </c>
      <c r="H28" s="318" t="s">
        <v>2499</v>
      </c>
      <c r="I28" s="262" t="s">
        <v>2500</v>
      </c>
      <c r="J28" s="262" t="s">
        <v>2500</v>
      </c>
      <c r="K28" s="356"/>
    </row>
    <row r="29">
      <c r="A29" s="363" t="s">
        <v>131</v>
      </c>
      <c r="B29" s="364" t="s">
        <v>131</v>
      </c>
      <c r="C29" s="170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29" s="363" t="s">
        <v>2633</v>
      </c>
      <c r="E29" s="363" t="s">
        <v>2634</v>
      </c>
      <c r="F29" s="225" t="s">
        <v>2502</v>
      </c>
      <c r="G29" s="225" t="s">
        <v>2503</v>
      </c>
      <c r="H29" s="318" t="s">
        <v>2503</v>
      </c>
      <c r="I29" s="441" t="s">
        <v>2504</v>
      </c>
      <c r="J29" s="441" t="s">
        <v>2504</v>
      </c>
      <c r="K29" s="356"/>
    </row>
    <row r="30">
      <c r="A30" s="363" t="s">
        <v>1594</v>
      </c>
      <c r="B30" s="364" t="s">
        <v>1595</v>
      </c>
      <c r="C30" s="170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0" s="363" t="s">
        <v>2635</v>
      </c>
      <c r="E30" s="363" t="s">
        <v>2636</v>
      </c>
      <c r="F30" s="225" t="s">
        <v>2637</v>
      </c>
      <c r="G30" s="225" t="s">
        <v>2507</v>
      </c>
      <c r="H30" s="318" t="s">
        <v>2508</v>
      </c>
      <c r="I30" s="262" t="s">
        <v>2509</v>
      </c>
      <c r="J30" s="262" t="s">
        <v>2509</v>
      </c>
      <c r="K30" s="356"/>
    </row>
    <row r="31">
      <c r="A31" s="363" t="s">
        <v>2342</v>
      </c>
      <c r="B31" s="377" t="s">
        <v>2343</v>
      </c>
      <c r="C31" s="170" t="str">
        <f>HYPERLINK("https://play.google.com/store/apps/details?id=com.google.android.apps.magazines",HYPERLINK("https://play.google.com/store/apps/details?id=com.google.android.apps.magazines","com.google.android.apps.magazines"))</f>
        <v>com.google.android.apps.magazines</v>
      </c>
      <c r="D31" s="363" t="s">
        <v>2638</v>
      </c>
      <c r="E31" s="363" t="s">
        <v>2639</v>
      </c>
      <c r="F31" s="225" t="s">
        <v>2640</v>
      </c>
      <c r="G31" s="225" t="s">
        <v>2584</v>
      </c>
      <c r="H31" s="318" t="s">
        <v>2456</v>
      </c>
      <c r="I31" s="262" t="s">
        <v>2456</v>
      </c>
      <c r="J31" s="262" t="s">
        <v>2456</v>
      </c>
      <c r="K31" s="356"/>
    </row>
    <row r="32">
      <c r="A32" s="363" t="s">
        <v>134</v>
      </c>
      <c r="B32" s="364" t="s">
        <v>135</v>
      </c>
      <c r="C32" s="210" t="str">
        <f>HYPERLINK("https://play.google.com/store/apps/details?id=com.google.android.apps.photos","com.google.android.apps.photos")</f>
        <v>com.google.android.apps.photos</v>
      </c>
      <c r="D32" s="442"/>
      <c r="E32" s="443" t="s">
        <v>2641</v>
      </c>
      <c r="F32" s="225" t="s">
        <v>2642</v>
      </c>
      <c r="G32" s="225" t="s">
        <v>2512</v>
      </c>
      <c r="H32" s="318" t="s">
        <v>2513</v>
      </c>
      <c r="I32" s="441" t="s">
        <v>2514</v>
      </c>
      <c r="J32" s="441" t="s">
        <v>2514</v>
      </c>
      <c r="K32" s="392"/>
    </row>
    <row r="33">
      <c r="A33" s="363" t="s">
        <v>2331</v>
      </c>
      <c r="B33" s="377" t="s">
        <v>2332</v>
      </c>
      <c r="C33" s="170" t="str">
        <f>HYPERLINK("https://play.google.com/store/apps/details?id=com.google.android.play.games",HYPERLINK("https://play.google.com/store/apps/details?id=com.google.android.play.games","com.google.android.play.games"))</f>
        <v>com.google.android.play.games</v>
      </c>
      <c r="D33" s="363" t="s">
        <v>2643</v>
      </c>
      <c r="E33" s="363" t="s">
        <v>2644</v>
      </c>
      <c r="F33" s="225" t="s">
        <v>2586</v>
      </c>
      <c r="G33" s="225" t="s">
        <v>2587</v>
      </c>
      <c r="H33" s="318" t="s">
        <v>2588</v>
      </c>
      <c r="I33" s="262" t="s">
        <v>2449</v>
      </c>
      <c r="J33" s="262" t="s">
        <v>2449</v>
      </c>
      <c r="K33" s="356"/>
    </row>
    <row r="34">
      <c r="A34" s="363" t="s">
        <v>2334</v>
      </c>
      <c r="B34" s="377" t="s">
        <v>2335</v>
      </c>
      <c r="C34" s="170" t="str">
        <f>HYPERLINK("https://play.google.com/store/apps/details?id=com.google.android.apps.plus",HYPERLINK("https://play.google.com/store/apps/details?id=com.google.android.apps.plus","com.google.android.apps.plus"))</f>
        <v>com.google.android.apps.plus</v>
      </c>
      <c r="D34" s="363" t="s">
        <v>2645</v>
      </c>
      <c r="E34" s="363" t="s">
        <v>2646</v>
      </c>
      <c r="F34" s="225" t="s">
        <v>2647</v>
      </c>
      <c r="G34" s="225" t="s">
        <v>2590</v>
      </c>
      <c r="H34" s="318" t="s">
        <v>2590</v>
      </c>
      <c r="I34" s="262" t="s">
        <v>2591</v>
      </c>
      <c r="J34" s="262" t="s">
        <v>2591</v>
      </c>
      <c r="K34" s="356"/>
    </row>
    <row r="35">
      <c r="A35" s="363" t="s">
        <v>2648</v>
      </c>
      <c r="B35" s="377" t="s">
        <v>2649</v>
      </c>
      <c r="C35" s="170" t="str">
        <f>HYPERLINK("https://play.google.com/store/apps/details?id=com.google.android.street",HYPERLINK("https://play.google.com/store/apps/details?id=com.google.android.street","com.google.android.street"))</f>
        <v>com.google.android.street</v>
      </c>
      <c r="D35" s="363" t="s">
        <v>2650</v>
      </c>
      <c r="E35" s="444" t="s">
        <v>1597</v>
      </c>
      <c r="F35" s="445" t="s">
        <v>1597</v>
      </c>
      <c r="G35" s="445" t="s">
        <v>1597</v>
      </c>
      <c r="H35" s="446" t="s">
        <v>1597</v>
      </c>
      <c r="I35" s="447" t="s">
        <v>1597</v>
      </c>
      <c r="J35" s="447" t="s">
        <v>1597</v>
      </c>
      <c r="K35" s="356"/>
    </row>
    <row r="36">
      <c r="A36" s="363" t="s">
        <v>138</v>
      </c>
      <c r="B36" s="364" t="s">
        <v>139</v>
      </c>
      <c r="C36" s="170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6" s="363" t="s">
        <v>2651</v>
      </c>
      <c r="E36" s="448" t="s">
        <v>2652</v>
      </c>
      <c r="F36" s="225" t="s">
        <v>2653</v>
      </c>
      <c r="G36" s="225" t="s">
        <v>2517</v>
      </c>
      <c r="H36" s="318" t="s">
        <v>2518</v>
      </c>
      <c r="I36" s="262" t="s">
        <v>2519</v>
      </c>
      <c r="J36" s="262" t="s">
        <v>2519</v>
      </c>
      <c r="K36" s="356"/>
    </row>
    <row r="37">
      <c r="A37" s="363" t="s">
        <v>142</v>
      </c>
      <c r="B37" s="364" t="s">
        <v>143</v>
      </c>
      <c r="C37" s="170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7" s="363" t="s">
        <v>2654</v>
      </c>
      <c r="E37" s="448" t="s">
        <v>2655</v>
      </c>
      <c r="F37" s="225" t="s">
        <v>2486</v>
      </c>
      <c r="G37" s="225" t="s">
        <v>2522</v>
      </c>
      <c r="H37" s="318" t="s">
        <v>2523</v>
      </c>
      <c r="I37" s="262" t="s">
        <v>2524</v>
      </c>
      <c r="J37" s="262" t="s">
        <v>2524</v>
      </c>
      <c r="K37" s="356"/>
    </row>
    <row r="38">
      <c r="A38" s="363" t="s">
        <v>145</v>
      </c>
      <c r="B38" s="364" t="s">
        <v>145</v>
      </c>
      <c r="C38" s="170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8" s="363" t="s">
        <v>2656</v>
      </c>
      <c r="E38" s="448" t="s">
        <v>2657</v>
      </c>
      <c r="F38" s="225" t="s">
        <v>2658</v>
      </c>
      <c r="G38" s="225" t="s">
        <v>2526</v>
      </c>
      <c r="H38" s="318" t="s">
        <v>2526</v>
      </c>
      <c r="I38" s="262" t="s">
        <v>2527</v>
      </c>
      <c r="J38" s="262" t="s">
        <v>2527</v>
      </c>
      <c r="K38" s="356"/>
    </row>
    <row r="39">
      <c r="A39" s="363" t="s">
        <v>2349</v>
      </c>
      <c r="B39" s="393" t="s">
        <v>2349</v>
      </c>
      <c r="C39" s="210" t="str">
        <f>HYPERLINK("https://play.google.com/store/apps/details?id=com.google.android.apps.messaging","com.google.android.apps.messaging")</f>
        <v>com.google.android.apps.messaging</v>
      </c>
      <c r="D39" s="442"/>
      <c r="E39" s="443" t="s">
        <v>2659</v>
      </c>
      <c r="F39" s="225" t="s">
        <v>2536</v>
      </c>
      <c r="G39" s="225" t="s">
        <v>2537</v>
      </c>
      <c r="H39" s="318" t="s">
        <v>2537</v>
      </c>
      <c r="I39" s="262" t="s">
        <v>2538</v>
      </c>
      <c r="J39" s="262" t="s">
        <v>2538</v>
      </c>
      <c r="K39" s="398"/>
    </row>
    <row r="40">
      <c r="A40" s="363" t="s">
        <v>162</v>
      </c>
      <c r="B40" s="377" t="s">
        <v>163</v>
      </c>
      <c r="C40" s="170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0" s="363" t="s">
        <v>2660</v>
      </c>
      <c r="E40" s="363" t="s">
        <v>2661</v>
      </c>
      <c r="F40" s="225" t="s">
        <v>2662</v>
      </c>
      <c r="G40" s="225" t="s">
        <v>2543</v>
      </c>
      <c r="H40" s="318" t="s">
        <v>2543</v>
      </c>
      <c r="I40" s="262" t="s">
        <v>2543</v>
      </c>
      <c r="J40" s="262" t="s">
        <v>2543</v>
      </c>
      <c r="K40" s="356"/>
    </row>
    <row r="41">
      <c r="A41" s="363" t="s">
        <v>2301</v>
      </c>
      <c r="B41" s="377" t="s">
        <v>2302</v>
      </c>
      <c r="C41" s="170" t="str">
        <f>HYPERLINK("https://play.google.com/store/apps/details?id=com.google.android.apps.cloudprint",HYPERLINK("https://play.google.com/store/apps/details?id=com.google.android.apps.cloudprint","com.google.android.apps.cloudprint"))</f>
        <v>com.google.android.apps.cloudprint</v>
      </c>
      <c r="D41" s="363" t="s">
        <v>2663</v>
      </c>
      <c r="E41" s="448" t="s">
        <v>2664</v>
      </c>
      <c r="F41" s="225" t="s">
        <v>2664</v>
      </c>
      <c r="G41" s="225" t="s">
        <v>2431</v>
      </c>
      <c r="H41" s="318" t="s">
        <v>2431</v>
      </c>
      <c r="I41" s="262" t="s">
        <v>2431</v>
      </c>
      <c r="J41" s="262" t="s">
        <v>2431</v>
      </c>
      <c r="K41" s="356"/>
    </row>
    <row r="42">
      <c r="A42" s="363" t="s">
        <v>179</v>
      </c>
      <c r="B42" s="377" t="s">
        <v>180</v>
      </c>
      <c r="C42" s="222" t="str">
        <f>HYPERLINK("https://play.google.com/store/apps/details?id=com.google.android.deskclock","com.google.android.deskclock")</f>
        <v>com.google.android.deskclock</v>
      </c>
      <c r="D42" s="363" t="s">
        <v>2665</v>
      </c>
      <c r="E42" s="363" t="s">
        <v>2665</v>
      </c>
      <c r="F42" s="225" t="s">
        <v>2665</v>
      </c>
      <c r="G42" s="225" t="s">
        <v>2666</v>
      </c>
      <c r="H42" s="318" t="s">
        <v>2666</v>
      </c>
      <c r="I42" s="262" t="s">
        <v>2666</v>
      </c>
      <c r="J42" s="262" t="s">
        <v>2666</v>
      </c>
      <c r="K42" s="356"/>
    </row>
    <row r="43">
      <c r="A43" s="363" t="s">
        <v>2306</v>
      </c>
      <c r="B43" s="377" t="s">
        <v>2307</v>
      </c>
      <c r="C43" s="170" t="str">
        <f>HYPERLINK("https://play.google.com/store/apps/details?id=com.google.android.apps.enterprise.dmagent",HYPERLINK("https://play.google.com/store/apps/details?id=com.google.android.apps.enterprise.dmagent","com.google.android.apps.enterprise.dmagent"))</f>
        <v>com.google.android.apps.enterprise.dmagent</v>
      </c>
      <c r="D43" s="449" t="s">
        <v>2667</v>
      </c>
      <c r="E43" s="450" t="s">
        <v>1407</v>
      </c>
      <c r="F43" s="259" t="s">
        <v>2668</v>
      </c>
      <c r="G43" s="259" t="s">
        <v>2548</v>
      </c>
      <c r="H43" s="317" t="s">
        <v>2548</v>
      </c>
      <c r="I43" s="275" t="s">
        <v>2548</v>
      </c>
      <c r="J43" s="275" t="s">
        <v>2548</v>
      </c>
      <c r="K43" s="356"/>
    </row>
    <row r="44">
      <c r="A44" s="363" t="s">
        <v>2309</v>
      </c>
      <c r="B44" s="395" t="s">
        <v>2310</v>
      </c>
      <c r="C44" s="396" t="str">
        <f>HYPERLINK("https://play.google.com/store/apps/details?id=com.google.android.apps.docs.editors.docs",HYPERLINK("https://play.google.com/store/apps/details?id=com.google.android.apps.docs.editors.docs","com.google.android.apps.docs.editors.docs"))</f>
        <v>com.google.android.apps.docs.editors.docs</v>
      </c>
      <c r="D44" s="363" t="s">
        <v>2669</v>
      </c>
      <c r="E44" s="448" t="s">
        <v>2670</v>
      </c>
      <c r="F44" s="225" t="s">
        <v>2549</v>
      </c>
      <c r="G44" s="225" t="s">
        <v>2550</v>
      </c>
      <c r="H44" s="318" t="s">
        <v>2550</v>
      </c>
      <c r="I44" s="262" t="s">
        <v>2550</v>
      </c>
      <c r="J44" s="262" t="s">
        <v>2550</v>
      </c>
      <c r="K44" s="356"/>
    </row>
    <row r="45">
      <c r="A45" s="363" t="s">
        <v>2313</v>
      </c>
      <c r="B45" s="395" t="s">
        <v>2314</v>
      </c>
      <c r="C45" s="396" t="str">
        <f>HYPERLINK("https://play.google.com/store/apps/details?id=com.google.android.apps.docs.editors.sheets",HYPERLINK("https://play.google.com/store/apps/details?id=com.google.android.apps.docs.editors.sheets","com.google.android.apps.docs.editors.sheets"))</f>
        <v>com.google.android.apps.docs.editors.sheets</v>
      </c>
      <c r="D45" s="363" t="s">
        <v>2669</v>
      </c>
      <c r="E45" s="448" t="s">
        <v>2671</v>
      </c>
      <c r="F45" s="225" t="s">
        <v>2549</v>
      </c>
      <c r="G45" s="225" t="s">
        <v>2550</v>
      </c>
      <c r="H45" s="318" t="s">
        <v>2550</v>
      </c>
      <c r="I45" s="262" t="s">
        <v>2550</v>
      </c>
      <c r="J45" s="262" t="s">
        <v>2550</v>
      </c>
      <c r="K45" s="356"/>
    </row>
    <row r="46">
      <c r="A46" s="363" t="s">
        <v>2316</v>
      </c>
      <c r="B46" s="395" t="s">
        <v>2317</v>
      </c>
      <c r="C46" s="396" t="str">
        <f>HYPERLINK("https://play.google.com/store/apps/details?id=com.google.android.apps.docs.editors.slides",HYPERLINK("https://play.google.com/store/apps/details?id=com.google.android.apps.docs.editors.slides","com.google.android.apps.docs.editors.slides"))</f>
        <v>com.google.android.apps.docs.editors.slides</v>
      </c>
      <c r="D46" s="363" t="s">
        <v>2672</v>
      </c>
      <c r="E46" s="448" t="s">
        <v>2673</v>
      </c>
      <c r="F46" s="225" t="s">
        <v>2553</v>
      </c>
      <c r="G46" s="225" t="s">
        <v>2554</v>
      </c>
      <c r="H46" s="318" t="s">
        <v>2554</v>
      </c>
      <c r="I46" s="262" t="s">
        <v>2554</v>
      </c>
      <c r="J46" s="262" t="s">
        <v>2554</v>
      </c>
      <c r="K46" s="356"/>
    </row>
    <row r="47">
      <c r="A47" s="363" t="s">
        <v>1629</v>
      </c>
      <c r="B47" s="377" t="s">
        <v>1630</v>
      </c>
      <c r="C47" s="363" t="s">
        <v>1631</v>
      </c>
      <c r="D47" s="363" t="s">
        <v>2602</v>
      </c>
      <c r="E47" s="363" t="s">
        <v>2602</v>
      </c>
      <c r="F47" s="225" t="s">
        <v>2602</v>
      </c>
      <c r="G47" s="225" t="s">
        <v>2602</v>
      </c>
      <c r="H47" s="318" t="s">
        <v>2602</v>
      </c>
      <c r="I47" s="262" t="s">
        <v>2602</v>
      </c>
      <c r="J47" s="262" t="s">
        <v>2602</v>
      </c>
      <c r="K47" s="356"/>
    </row>
    <row r="48">
      <c r="A48" s="363" t="s">
        <v>2674</v>
      </c>
      <c r="B48" s="377" t="s">
        <v>2675</v>
      </c>
      <c r="C48" s="170" t="str">
        <f>HYPERLINK("https://play.google.com/store/apps/details?id=com.google.android.GoogleCamera",HYPERLINK("https://play.google.com/store/apps/details?id=com.google.android.GoogleCamera","com.google.android.GoogleCamera"))</f>
        <v>com.google.android.GoogleCamera</v>
      </c>
      <c r="D48" s="363" t="s">
        <v>2676</v>
      </c>
      <c r="E48" s="363" t="s">
        <v>2676</v>
      </c>
      <c r="F48" s="445" t="s">
        <v>1597</v>
      </c>
      <c r="G48" s="445" t="s">
        <v>1597</v>
      </c>
      <c r="H48" s="446" t="s">
        <v>1597</v>
      </c>
      <c r="I48" s="447" t="s">
        <v>1597</v>
      </c>
      <c r="J48" s="447" t="s">
        <v>1597</v>
      </c>
      <c r="K48" s="356"/>
    </row>
    <row r="49">
      <c r="A49" s="363" t="s">
        <v>2677</v>
      </c>
      <c r="B49" s="377" t="s">
        <v>2678</v>
      </c>
      <c r="C49" s="170" t="str">
        <f>HYPERLINK("https://play.google.com/store/apps/details?id=com.google.android.ears",HYPERLINK("https://play.google.com/store/apps/details?id=com.google.android.ears","com.google.android.ears"))</f>
        <v>com.google.android.ears</v>
      </c>
      <c r="D49" s="363" t="s">
        <v>2679</v>
      </c>
      <c r="E49" s="444" t="s">
        <v>1597</v>
      </c>
      <c r="F49" s="445" t="s">
        <v>1597</v>
      </c>
      <c r="G49" s="445" t="s">
        <v>1597</v>
      </c>
      <c r="H49" s="446" t="s">
        <v>1597</v>
      </c>
      <c r="I49" s="447" t="s">
        <v>1597</v>
      </c>
      <c r="J49" s="447" t="s">
        <v>1597</v>
      </c>
      <c r="K49" s="356"/>
    </row>
    <row r="50">
      <c r="A50" s="363" t="s">
        <v>2680</v>
      </c>
      <c r="B50" s="377" t="s">
        <v>2681</v>
      </c>
      <c r="C50" s="170" t="str">
        <f>HYPERLINK("https://play.google.com/store/apps/details?id=com.google.earth",HYPERLINK("https://play.google.com/store/apps/details?id=com.google.earth","com.google.earth"))</f>
        <v>com.google.earth</v>
      </c>
      <c r="D50" s="363" t="s">
        <v>2682</v>
      </c>
      <c r="E50" s="444" t="s">
        <v>1597</v>
      </c>
      <c r="F50" s="445" t="s">
        <v>1597</v>
      </c>
      <c r="G50" s="445" t="s">
        <v>1597</v>
      </c>
      <c r="H50" s="446" t="s">
        <v>1597</v>
      </c>
      <c r="I50" s="447" t="s">
        <v>1597</v>
      </c>
      <c r="J50" s="447" t="s">
        <v>1597</v>
      </c>
      <c r="K50" s="356"/>
    </row>
    <row r="51">
      <c r="A51" s="363" t="s">
        <v>2320</v>
      </c>
      <c r="B51" s="377" t="s">
        <v>2321</v>
      </c>
      <c r="C51" s="170" t="str">
        <f>HYPERLINK("https://play.google.com/store/apps/details?id=com.google.android.apps.inputmethod.hindi",HYPERLINK("https://play.google.com/store/apps/details?id=com.google.android.apps.inputmethod.hindi","com.google.android.apps.inputmethod.hindi"))</f>
        <v>com.google.android.apps.inputmethod.hindi</v>
      </c>
      <c r="D51" s="363" t="s">
        <v>2683</v>
      </c>
      <c r="E51" s="448" t="s">
        <v>2684</v>
      </c>
      <c r="F51" s="225" t="s">
        <v>2684</v>
      </c>
      <c r="G51" s="225" t="s">
        <v>2558</v>
      </c>
      <c r="H51" s="318" t="s">
        <v>2558</v>
      </c>
      <c r="I51" s="262" t="s">
        <v>2558</v>
      </c>
      <c r="J51" s="262" t="s">
        <v>2558</v>
      </c>
      <c r="K51" s="356"/>
    </row>
    <row r="52">
      <c r="A52" s="363" t="s">
        <v>2560</v>
      </c>
      <c r="B52" s="377" t="s">
        <v>2561</v>
      </c>
      <c r="C52" s="170" t="str">
        <f>HYPERLINK("https://play.google.com/store/apps/details?id=com.google.android.launcher",HYPERLINK("https://play.google.com/store/apps/details?id=com.google.android.launcher","com.google.android.launcher"))</f>
        <v>com.google.android.launcher</v>
      </c>
      <c r="D52" s="363" t="s">
        <v>2685</v>
      </c>
      <c r="E52" s="363" t="s">
        <v>2685</v>
      </c>
      <c r="F52" s="225" t="s">
        <v>2685</v>
      </c>
      <c r="G52" s="225" t="s">
        <v>2563</v>
      </c>
      <c r="H52" s="446" t="s">
        <v>1597</v>
      </c>
      <c r="I52" s="447" t="s">
        <v>1597</v>
      </c>
      <c r="J52" s="447" t="s">
        <v>1597</v>
      </c>
      <c r="K52" s="356"/>
    </row>
    <row r="53">
      <c r="A53" s="363" t="s">
        <v>2070</v>
      </c>
      <c r="B53" s="377" t="s">
        <v>2071</v>
      </c>
      <c r="C53" s="170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53" s="363" t="s">
        <v>2686</v>
      </c>
      <c r="E53" s="448" t="s">
        <v>2687</v>
      </c>
      <c r="F53" s="225" t="s">
        <v>2687</v>
      </c>
      <c r="G53" s="225" t="s">
        <v>2565</v>
      </c>
      <c r="H53" s="318" t="s">
        <v>2565</v>
      </c>
      <c r="I53" s="262" t="s">
        <v>2565</v>
      </c>
      <c r="J53" s="262" t="s">
        <v>2565</v>
      </c>
      <c r="K53" s="356"/>
    </row>
    <row r="54">
      <c r="A54" s="363" t="s">
        <v>1388</v>
      </c>
      <c r="B54" s="364" t="s">
        <v>1389</v>
      </c>
      <c r="C54" s="170" t="str">
        <f>HYPERLINK("https://play.google.com/store/apps/details?id=com.google.android.tts",HYPERLINK("https://play.google.com/store/apps/details?id=com.google.android.tts","com.google.android.tts"))</f>
        <v>com.google.android.tts</v>
      </c>
      <c r="D54" s="363" t="s">
        <v>2688</v>
      </c>
      <c r="E54" s="451" t="s">
        <v>2689</v>
      </c>
      <c r="F54" s="225" t="s">
        <v>2690</v>
      </c>
      <c r="G54" s="318" t="s">
        <v>2530</v>
      </c>
      <c r="H54" s="318" t="s">
        <v>2530</v>
      </c>
      <c r="I54" s="262" t="s">
        <v>2530</v>
      </c>
      <c r="J54" s="262" t="s">
        <v>2530</v>
      </c>
      <c r="K54" s="356"/>
    </row>
    <row r="55">
      <c r="A55" s="363" t="s">
        <v>2073</v>
      </c>
      <c r="B55" s="377" t="s">
        <v>2074</v>
      </c>
      <c r="C55" s="210" t="str">
        <f>HYPERLINK("https://play.google.com/store/apps/details?id=com.google.android.inputmethod.japanese","com.google.android.inputmethod.japanese")</f>
        <v>com.google.android.inputmethod.japanese</v>
      </c>
      <c r="D55" s="442"/>
      <c r="E55" s="443" t="s">
        <v>2691</v>
      </c>
      <c r="F55" s="225" t="s">
        <v>2691</v>
      </c>
      <c r="G55" s="225" t="s">
        <v>2568</v>
      </c>
      <c r="H55" s="318" t="s">
        <v>2568</v>
      </c>
      <c r="I55" s="262" t="s">
        <v>2568</v>
      </c>
      <c r="J55" s="262" t="s">
        <v>2568</v>
      </c>
      <c r="K55" s="356"/>
    </row>
    <row r="56">
      <c r="A56" s="363" t="s">
        <v>191</v>
      </c>
      <c r="B56" s="377" t="s">
        <v>191</v>
      </c>
      <c r="C56" s="170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56" s="363" t="s">
        <v>2692</v>
      </c>
      <c r="E56" s="363" t="s">
        <v>2693</v>
      </c>
      <c r="F56" s="225" t="s">
        <v>2694</v>
      </c>
      <c r="G56" s="225" t="s">
        <v>2572</v>
      </c>
      <c r="H56" s="318" t="s">
        <v>2572</v>
      </c>
      <c r="I56" s="262" t="s">
        <v>2573</v>
      </c>
      <c r="J56" s="262" t="s">
        <v>2573</v>
      </c>
      <c r="K56" s="356"/>
    </row>
    <row r="57">
      <c r="A57" s="363" t="s">
        <v>2084</v>
      </c>
      <c r="B57" s="377" t="s">
        <v>2085</v>
      </c>
      <c r="C57" s="170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57" s="363" t="s">
        <v>2695</v>
      </c>
      <c r="E57" s="448" t="s">
        <v>2696</v>
      </c>
      <c r="F57" s="225" t="s">
        <v>2696</v>
      </c>
      <c r="G57" s="225" t="s">
        <v>2576</v>
      </c>
      <c r="H57" s="318" t="s">
        <v>2576</v>
      </c>
      <c r="I57" s="262" t="s">
        <v>2576</v>
      </c>
      <c r="J57" s="262" t="s">
        <v>2576</v>
      </c>
      <c r="K57" s="356"/>
    </row>
    <row r="58">
      <c r="A58" s="363" t="s">
        <v>194</v>
      </c>
      <c r="B58" s="377" t="s">
        <v>195</v>
      </c>
      <c r="C58" s="170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58" s="363" t="s">
        <v>2697</v>
      </c>
      <c r="E58" s="363" t="s">
        <v>2698</v>
      </c>
      <c r="F58" s="225" t="s">
        <v>2698</v>
      </c>
      <c r="G58" s="225" t="s">
        <v>2580</v>
      </c>
      <c r="H58" s="318" t="s">
        <v>2580</v>
      </c>
      <c r="I58" s="262" t="s">
        <v>2581</v>
      </c>
      <c r="J58" s="262" t="s">
        <v>2581</v>
      </c>
      <c r="K58" s="356"/>
    </row>
    <row r="59">
      <c r="A59" s="363" t="s">
        <v>2346</v>
      </c>
      <c r="B59" s="377" t="s">
        <v>2347</v>
      </c>
      <c r="C59" s="170" t="str">
        <f>HYPERLINK("https://play.google.com/store/apps/details?id=com.google.android.apps.genie.geniewidget",HYPERLINK("https://play.google.com/store/apps/details?id=com.google.android.apps.genie.geniewidget","com.google.android.apps.genie.geniewidget"))</f>
        <v>com.google.android.apps.genie.geniewidget</v>
      </c>
      <c r="D59" s="452" t="s">
        <v>2699</v>
      </c>
      <c r="E59" s="453" t="s">
        <v>2700</v>
      </c>
      <c r="F59" s="225" t="s">
        <v>2348</v>
      </c>
      <c r="G59" s="225" t="s">
        <v>2348</v>
      </c>
      <c r="H59" s="318" t="s">
        <v>2348</v>
      </c>
      <c r="I59" s="262" t="s">
        <v>2348</v>
      </c>
      <c r="J59" s="262" t="s">
        <v>2348</v>
      </c>
      <c r="K59" s="356"/>
    </row>
    <row r="60">
      <c r="A60" s="363" t="s">
        <v>198</v>
      </c>
      <c r="B60" s="377" t="s">
        <v>199</v>
      </c>
      <c r="C60" s="170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60" s="431" t="s">
        <v>2701</v>
      </c>
      <c r="E60" s="454" t="s">
        <v>2345</v>
      </c>
      <c r="F60" s="280" t="s">
        <v>2702</v>
      </c>
      <c r="G60" s="280" t="s">
        <v>2594</v>
      </c>
      <c r="H60" s="375" t="s">
        <v>2594</v>
      </c>
      <c r="I60" s="262" t="s">
        <v>2595</v>
      </c>
      <c r="J60" s="262" t="s">
        <v>2595</v>
      </c>
      <c r="K60" s="356"/>
    </row>
    <row r="61">
      <c r="A61" s="384" t="s">
        <v>2703</v>
      </c>
      <c r="B61" s="415" t="s">
        <v>2704</v>
      </c>
      <c r="C61" s="428" t="str">
        <f>HYPERLINK("https://play.google.com/store/apps/details?id=com.google.android.apps.walletnfcrel",HYPERLINK("https://play.google.com/store/apps/details?id=com.google.android.apps.walletnfcrel","com.google.android.apps.walletnfcrel"))</f>
        <v>com.google.android.apps.walletnfcrel</v>
      </c>
      <c r="D61" s="455" t="s">
        <v>2705</v>
      </c>
      <c r="E61" s="456" t="s">
        <v>2706</v>
      </c>
      <c r="F61" s="457" t="s">
        <v>2597</v>
      </c>
      <c r="G61" s="457" t="s">
        <v>2598</v>
      </c>
      <c r="H61" s="458" t="s">
        <v>2598</v>
      </c>
      <c r="I61" s="313" t="s">
        <v>2418</v>
      </c>
      <c r="J61" s="313" t="s">
        <v>2418</v>
      </c>
      <c r="K61" s="356"/>
    </row>
    <row r="62">
      <c r="A62" s="404"/>
      <c r="B62" s="405"/>
      <c r="C62" s="405"/>
      <c r="D62" s="405"/>
      <c r="E62" s="405"/>
      <c r="F62" s="356"/>
      <c r="G62" s="356"/>
      <c r="H62" s="356"/>
      <c r="I62" s="356"/>
      <c r="J62" s="356"/>
      <c r="K62" s="356"/>
    </row>
  </sheetData>
  <mergeCells count="13">
    <mergeCell ref="H1:H2"/>
    <mergeCell ref="I1:I2"/>
    <mergeCell ref="J1:J2"/>
    <mergeCell ref="A3:B3"/>
    <mergeCell ref="A16:B16"/>
    <mergeCell ref="A19:B19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63"/>
    <col customWidth="1" min="2" max="2" width="24.0"/>
    <col customWidth="1" min="3" max="3" width="35.63"/>
    <col customWidth="1" min="4" max="4" width="18.0"/>
    <col customWidth="1" min="5" max="5" width="19.38"/>
    <col customWidth="1" min="6" max="8" width="19.25"/>
    <col customWidth="1" min="9" max="9" width="12.75"/>
  </cols>
  <sheetData>
    <row r="1">
      <c r="A1" s="354" t="s">
        <v>2199</v>
      </c>
      <c r="B1" s="354" t="s">
        <v>2200</v>
      </c>
      <c r="C1" s="354" t="s">
        <v>2201</v>
      </c>
      <c r="D1" s="354" t="s">
        <v>2707</v>
      </c>
      <c r="E1" s="354" t="s">
        <v>1930</v>
      </c>
      <c r="F1" s="354" t="s">
        <v>1931</v>
      </c>
      <c r="G1" s="355" t="s">
        <v>2124</v>
      </c>
      <c r="H1" s="355" t="s">
        <v>2125</v>
      </c>
      <c r="I1" s="356"/>
    </row>
    <row r="2" ht="31.5" customHeight="1">
      <c r="A2" s="4"/>
      <c r="B2" s="4"/>
      <c r="C2" s="4"/>
      <c r="D2" s="4"/>
      <c r="E2" s="4"/>
      <c r="F2" s="4"/>
      <c r="G2" s="4"/>
      <c r="H2" s="4"/>
      <c r="I2" s="356"/>
    </row>
    <row r="3">
      <c r="A3" s="357" t="s">
        <v>6</v>
      </c>
      <c r="B3" s="91"/>
      <c r="C3" s="358"/>
      <c r="D3" s="358"/>
      <c r="E3" s="410"/>
      <c r="F3" s="358"/>
      <c r="G3" s="358"/>
      <c r="H3" s="358"/>
      <c r="I3" s="356"/>
    </row>
    <row r="4">
      <c r="A4" s="359" t="s">
        <v>17</v>
      </c>
      <c r="B4" s="360" t="s">
        <v>18</v>
      </c>
      <c r="C4" s="208" t="str">
        <f>HYPERLINK("https://play.google.com/store/apps/details?id=com.google.android.gms",HYPERLINK("https://play.google.com/store/apps/details?id=com.google.android.gms","com.google.android.gms"))</f>
        <v>com.google.android.gms</v>
      </c>
      <c r="D4" s="359" t="s">
        <v>2708</v>
      </c>
      <c r="E4" s="359" t="s">
        <v>2709</v>
      </c>
      <c r="F4" s="359" t="s">
        <v>2601</v>
      </c>
      <c r="G4" s="305" t="s">
        <v>2710</v>
      </c>
      <c r="H4" s="459" t="s">
        <v>2711</v>
      </c>
      <c r="I4" s="356"/>
    </row>
    <row r="5">
      <c r="A5" s="363" t="s">
        <v>1697</v>
      </c>
      <c r="B5" s="364" t="s">
        <v>1698</v>
      </c>
      <c r="C5" s="363" t="s">
        <v>1699</v>
      </c>
      <c r="D5" s="363" t="s">
        <v>2712</v>
      </c>
      <c r="E5" s="363" t="s">
        <v>2713</v>
      </c>
      <c r="F5" s="363" t="s">
        <v>2713</v>
      </c>
      <c r="G5" s="460" t="s">
        <v>2713</v>
      </c>
      <c r="H5" s="460" t="s">
        <v>2713</v>
      </c>
      <c r="I5" s="356"/>
    </row>
    <row r="6">
      <c r="A6" s="363" t="s">
        <v>21</v>
      </c>
      <c r="B6" s="364" t="s">
        <v>22</v>
      </c>
      <c r="C6" s="363" t="s">
        <v>23</v>
      </c>
      <c r="D6" s="363" t="s">
        <v>2712</v>
      </c>
      <c r="E6" s="363" t="s">
        <v>2713</v>
      </c>
      <c r="F6" s="363" t="s">
        <v>2713</v>
      </c>
      <c r="G6" s="460" t="s">
        <v>2713</v>
      </c>
      <c r="H6" s="460" t="s">
        <v>2713</v>
      </c>
      <c r="I6" s="356"/>
    </row>
    <row r="7">
      <c r="A7" s="363" t="s">
        <v>2211</v>
      </c>
      <c r="B7" s="364" t="s">
        <v>2212</v>
      </c>
      <c r="C7" s="363" t="s">
        <v>2213</v>
      </c>
      <c r="D7" s="363" t="s">
        <v>2712</v>
      </c>
      <c r="E7" s="363" t="s">
        <v>2713</v>
      </c>
      <c r="F7" s="363" t="s">
        <v>2713</v>
      </c>
      <c r="G7" s="460" t="s">
        <v>2713</v>
      </c>
      <c r="H7" s="460" t="s">
        <v>2713</v>
      </c>
      <c r="I7" s="356"/>
    </row>
    <row r="8">
      <c r="A8" s="363" t="s">
        <v>261</v>
      </c>
      <c r="B8" s="364" t="s">
        <v>262</v>
      </c>
      <c r="C8" s="363" t="s">
        <v>263</v>
      </c>
      <c r="D8" s="363" t="s">
        <v>2712</v>
      </c>
      <c r="E8" s="363" t="s">
        <v>2713</v>
      </c>
      <c r="F8" s="363" t="s">
        <v>2713</v>
      </c>
      <c r="G8" s="460" t="s">
        <v>2713</v>
      </c>
      <c r="H8" s="460" t="s">
        <v>2713</v>
      </c>
      <c r="I8" s="356"/>
    </row>
    <row r="9">
      <c r="A9" s="363" t="s">
        <v>26</v>
      </c>
      <c r="B9" s="364" t="s">
        <v>27</v>
      </c>
      <c r="C9" s="363" t="s">
        <v>28</v>
      </c>
      <c r="D9" s="363" t="s">
        <v>2712</v>
      </c>
      <c r="E9" s="363" t="s">
        <v>2713</v>
      </c>
      <c r="F9" s="363" t="s">
        <v>2714</v>
      </c>
      <c r="G9" s="460" t="s">
        <v>2714</v>
      </c>
      <c r="H9" s="460" t="s">
        <v>2714</v>
      </c>
      <c r="I9" s="356"/>
    </row>
    <row r="10">
      <c r="A10" s="363" t="s">
        <v>36</v>
      </c>
      <c r="B10" s="364" t="s">
        <v>37</v>
      </c>
      <c r="C10" s="363" t="s">
        <v>38</v>
      </c>
      <c r="D10" s="363" t="s">
        <v>2712</v>
      </c>
      <c r="E10" s="363" t="s">
        <v>2713</v>
      </c>
      <c r="F10" s="363" t="s">
        <v>2713</v>
      </c>
      <c r="G10" s="460" t="s">
        <v>2713</v>
      </c>
      <c r="H10" s="460" t="s">
        <v>2713</v>
      </c>
      <c r="I10" s="356"/>
    </row>
    <row r="11">
      <c r="A11" s="363" t="s">
        <v>48</v>
      </c>
      <c r="B11" s="364" t="s">
        <v>49</v>
      </c>
      <c r="C11" s="363" t="s">
        <v>50</v>
      </c>
      <c r="D11" s="431" t="s">
        <v>2715</v>
      </c>
      <c r="E11" s="432" t="s">
        <v>2716</v>
      </c>
      <c r="F11" s="432" t="s">
        <v>2608</v>
      </c>
      <c r="G11" s="461" t="s">
        <v>2469</v>
      </c>
      <c r="H11" s="461" t="s">
        <v>2469</v>
      </c>
      <c r="I11" s="356"/>
    </row>
    <row r="12">
      <c r="A12" s="363" t="s">
        <v>53</v>
      </c>
      <c r="B12" s="364" t="s">
        <v>54</v>
      </c>
      <c r="C12" s="363" t="s">
        <v>55</v>
      </c>
      <c r="D12" s="431" t="s">
        <v>2475</v>
      </c>
      <c r="E12" s="432" t="s">
        <v>2717</v>
      </c>
      <c r="F12" s="432" t="s">
        <v>2717</v>
      </c>
      <c r="G12" s="462" t="s">
        <v>2717</v>
      </c>
      <c r="H12" s="462" t="s">
        <v>2717</v>
      </c>
      <c r="I12" s="356"/>
    </row>
    <row r="13">
      <c r="A13" s="363" t="s">
        <v>62</v>
      </c>
      <c r="B13" s="364" t="s">
        <v>63</v>
      </c>
      <c r="C13" s="170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3" s="431" t="s">
        <v>2718</v>
      </c>
      <c r="E13" s="432" t="s">
        <v>2719</v>
      </c>
      <c r="F13" s="432" t="s">
        <v>2613</v>
      </c>
      <c r="G13" s="463" t="s">
        <v>2720</v>
      </c>
      <c r="H13" s="463" t="s">
        <v>2720</v>
      </c>
      <c r="I13" s="356"/>
    </row>
    <row r="14">
      <c r="A14" s="363" t="s">
        <v>2614</v>
      </c>
      <c r="B14" s="377" t="s">
        <v>2615</v>
      </c>
      <c r="C14" s="363" t="s">
        <v>2616</v>
      </c>
      <c r="D14" s="363" t="s">
        <v>2712</v>
      </c>
      <c r="E14" s="363" t="s">
        <v>2713</v>
      </c>
      <c r="F14" s="363" t="s">
        <v>2713</v>
      </c>
      <c r="G14" s="460" t="s">
        <v>2713</v>
      </c>
      <c r="H14" s="460" t="s">
        <v>2713</v>
      </c>
      <c r="I14" s="356"/>
    </row>
    <row r="15">
      <c r="A15" s="384" t="s">
        <v>327</v>
      </c>
      <c r="B15" s="415" t="s">
        <v>328</v>
      </c>
      <c r="C15" s="384" t="s">
        <v>329</v>
      </c>
      <c r="D15" s="455" t="s">
        <v>330</v>
      </c>
      <c r="E15" s="435" t="s">
        <v>330</v>
      </c>
      <c r="F15" s="435" t="s">
        <v>330</v>
      </c>
      <c r="G15" s="464" t="s">
        <v>330</v>
      </c>
      <c r="H15" s="464" t="s">
        <v>330</v>
      </c>
      <c r="I15" s="356"/>
    </row>
    <row r="16">
      <c r="A16" s="357" t="s">
        <v>2235</v>
      </c>
      <c r="B16" s="91"/>
      <c r="C16" s="358"/>
      <c r="D16" s="358"/>
      <c r="E16" s="358"/>
      <c r="F16" s="358"/>
      <c r="G16" s="418"/>
      <c r="H16" s="418"/>
      <c r="I16" s="356"/>
    </row>
    <row r="17">
      <c r="A17" s="359" t="s">
        <v>2236</v>
      </c>
      <c r="B17" s="360" t="s">
        <v>2237</v>
      </c>
      <c r="C17" s="359" t="s">
        <v>2238</v>
      </c>
      <c r="D17" s="383"/>
      <c r="E17" s="383"/>
      <c r="F17" s="383"/>
      <c r="G17" s="419"/>
      <c r="H17" s="419"/>
      <c r="I17" s="356"/>
    </row>
    <row r="18">
      <c r="A18" s="384" t="s">
        <v>2239</v>
      </c>
      <c r="B18" s="385" t="s">
        <v>2240</v>
      </c>
      <c r="C18" s="384" t="s">
        <v>2241</v>
      </c>
      <c r="D18" s="386"/>
      <c r="E18" s="420"/>
      <c r="F18" s="420"/>
      <c r="G18" s="420"/>
      <c r="H18" s="420"/>
      <c r="I18" s="356"/>
    </row>
    <row r="19">
      <c r="A19" s="357" t="s">
        <v>113</v>
      </c>
      <c r="B19" s="91"/>
      <c r="C19" s="358"/>
      <c r="D19" s="358"/>
      <c r="E19" s="358"/>
      <c r="F19" s="358"/>
      <c r="G19" s="418"/>
      <c r="H19" s="418"/>
      <c r="I19" s="356"/>
    </row>
    <row r="20">
      <c r="A20" s="359" t="s">
        <v>2290</v>
      </c>
      <c r="B20" s="439" t="s">
        <v>2291</v>
      </c>
      <c r="C20" s="208" t="str">
        <f>HYPERLINK("https://android-cret.corp.google.com/#fusion:id=com.google.android.apps.books",HYPERLINK("https://android-cret.corp.google.com/#fusion:id=com.google.android.apps.books","com.google.android.apps.books"))</f>
        <v>com.google.android.apps.books</v>
      </c>
      <c r="D20" s="359" t="s">
        <v>2721</v>
      </c>
      <c r="E20" s="359" t="s">
        <v>2722</v>
      </c>
      <c r="F20" s="359" t="s">
        <v>2618</v>
      </c>
      <c r="G20" s="225" t="s">
        <v>2619</v>
      </c>
      <c r="H20" s="225" t="s">
        <v>2619</v>
      </c>
      <c r="I20" s="356"/>
    </row>
    <row r="21">
      <c r="A21" s="363" t="s">
        <v>2620</v>
      </c>
      <c r="B21" s="364" t="s">
        <v>2621</v>
      </c>
      <c r="C21" s="363" t="s">
        <v>2622</v>
      </c>
      <c r="D21" s="363" t="s">
        <v>2712</v>
      </c>
      <c r="E21" s="363" t="s">
        <v>2713</v>
      </c>
      <c r="F21" s="363" t="s">
        <v>2713</v>
      </c>
      <c r="G21" s="225" t="s">
        <v>2713</v>
      </c>
      <c r="H21" s="225" t="s">
        <v>2713</v>
      </c>
      <c r="I21" s="356"/>
    </row>
    <row r="22">
      <c r="A22" s="363" t="s">
        <v>114</v>
      </c>
      <c r="B22" s="364" t="s">
        <v>114</v>
      </c>
      <c r="C22" s="170" t="str">
        <f>HYPERLINK("https://play.google.com/store/apps/details?id=com.android.chrome",HYPERLINK("https://play.google.com/store/apps/details?id=com.android.chrome","com.android.chrome"))</f>
        <v>com.android.chrome</v>
      </c>
      <c r="D22" s="363" t="s">
        <v>2723</v>
      </c>
      <c r="E22" s="363" t="s">
        <v>2724</v>
      </c>
      <c r="F22" s="363" t="s">
        <v>2624</v>
      </c>
      <c r="G22" s="225" t="s">
        <v>2486</v>
      </c>
      <c r="H22" s="225" t="s">
        <v>2486</v>
      </c>
      <c r="I22" s="356"/>
    </row>
    <row r="23">
      <c r="A23" s="363" t="s">
        <v>7</v>
      </c>
      <c r="B23" s="364" t="s">
        <v>7</v>
      </c>
      <c r="C23" s="363" t="s">
        <v>8</v>
      </c>
      <c r="D23" s="363" t="s">
        <v>2712</v>
      </c>
      <c r="E23" s="363" t="s">
        <v>2713</v>
      </c>
      <c r="F23" s="363" t="s">
        <v>2713</v>
      </c>
      <c r="G23" s="225" t="s">
        <v>2713</v>
      </c>
      <c r="H23" s="225" t="s">
        <v>2713</v>
      </c>
      <c r="I23" s="356"/>
    </row>
    <row r="24">
      <c r="A24" s="363" t="s">
        <v>117</v>
      </c>
      <c r="B24" s="364" t="s">
        <v>117</v>
      </c>
      <c r="C24" s="170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4" s="363" t="s">
        <v>2725</v>
      </c>
      <c r="E24" s="363" t="s">
        <v>2726</v>
      </c>
      <c r="F24" s="363" t="s">
        <v>2626</v>
      </c>
      <c r="G24" s="225" t="s">
        <v>2627</v>
      </c>
      <c r="H24" s="225" t="s">
        <v>2627</v>
      </c>
      <c r="I24" s="356"/>
    </row>
    <row r="25">
      <c r="A25" s="363" t="s">
        <v>123</v>
      </c>
      <c r="B25" s="364" t="s">
        <v>124</v>
      </c>
      <c r="C25" s="170" t="str">
        <f>HYPERLINK("https://play.google.com/store/apps/details?id=com.google.android.gm",HYPERLINK("https://play.google.com/store/apps/details?id=com.google.android.gm","com.google.android.gm"))</f>
        <v>com.google.android.gm</v>
      </c>
      <c r="D25" s="363" t="s">
        <v>2727</v>
      </c>
      <c r="E25" s="363" t="s">
        <v>2728</v>
      </c>
      <c r="F25" s="363" t="s">
        <v>2629</v>
      </c>
      <c r="G25" s="225" t="s">
        <v>2630</v>
      </c>
      <c r="H25" s="225" t="s">
        <v>2630</v>
      </c>
      <c r="I25" s="356"/>
    </row>
    <row r="26">
      <c r="A26" s="363" t="s">
        <v>127</v>
      </c>
      <c r="B26" s="364" t="s">
        <v>128</v>
      </c>
      <c r="C26" s="363" t="s">
        <v>129</v>
      </c>
      <c r="D26" s="363" t="s">
        <v>2712</v>
      </c>
      <c r="E26" s="363" t="s">
        <v>2713</v>
      </c>
      <c r="F26" s="363" t="s">
        <v>2713</v>
      </c>
      <c r="G26" s="225" t="s">
        <v>2713</v>
      </c>
      <c r="H26" s="225" t="s">
        <v>2713</v>
      </c>
      <c r="I26" s="356"/>
    </row>
    <row r="27">
      <c r="A27" s="363" t="s">
        <v>1098</v>
      </c>
      <c r="B27" s="364" t="s">
        <v>1099</v>
      </c>
      <c r="C27" s="363" t="s">
        <v>1100</v>
      </c>
      <c r="D27" s="363" t="s">
        <v>2712</v>
      </c>
      <c r="E27" s="363" t="s">
        <v>2713</v>
      </c>
      <c r="F27" s="363" t="s">
        <v>2713</v>
      </c>
      <c r="G27" s="225" t="s">
        <v>2713</v>
      </c>
      <c r="H27" s="225" t="s">
        <v>2713</v>
      </c>
      <c r="I27" s="356"/>
    </row>
    <row r="28">
      <c r="A28" s="363" t="s">
        <v>1798</v>
      </c>
      <c r="B28" s="364" t="s">
        <v>1798</v>
      </c>
      <c r="C28" s="170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28" s="363" t="s">
        <v>2729</v>
      </c>
      <c r="E28" s="363" t="s">
        <v>2631</v>
      </c>
      <c r="F28" s="363" t="s">
        <v>2632</v>
      </c>
      <c r="G28" s="225" t="s">
        <v>2498</v>
      </c>
      <c r="H28" s="225" t="s">
        <v>2498</v>
      </c>
      <c r="I28" s="356"/>
    </row>
    <row r="29">
      <c r="A29" s="363" t="s">
        <v>131</v>
      </c>
      <c r="B29" s="364" t="s">
        <v>131</v>
      </c>
      <c r="C29" s="170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29" s="363" t="s">
        <v>940</v>
      </c>
      <c r="E29" s="363" t="s">
        <v>2730</v>
      </c>
      <c r="F29" s="363" t="s">
        <v>2634</v>
      </c>
      <c r="G29" s="225" t="s">
        <v>2502</v>
      </c>
      <c r="H29" s="225" t="s">
        <v>2502</v>
      </c>
      <c r="I29" s="356"/>
    </row>
    <row r="30">
      <c r="A30" s="363" t="s">
        <v>1594</v>
      </c>
      <c r="B30" s="364" t="s">
        <v>1595</v>
      </c>
      <c r="C30" s="170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0" s="363" t="s">
        <v>2731</v>
      </c>
      <c r="E30" s="363" t="s">
        <v>2732</v>
      </c>
      <c r="F30" s="363" t="s">
        <v>2636</v>
      </c>
      <c r="G30" s="225" t="s">
        <v>2637</v>
      </c>
      <c r="H30" s="225" t="s">
        <v>2637</v>
      </c>
      <c r="I30" s="356"/>
    </row>
    <row r="31">
      <c r="A31" s="363" t="s">
        <v>2342</v>
      </c>
      <c r="B31" s="377" t="s">
        <v>2343</v>
      </c>
      <c r="C31" s="170" t="str">
        <f>HYPERLINK("https://play.google.com/store/apps/details?id=com.google.android.apps.magazines",HYPERLINK("https://play.google.com/store/apps/details?id=com.google.android.apps.magazines","com.google.android.apps.magazines"))</f>
        <v>com.google.android.apps.magazines</v>
      </c>
      <c r="D31" s="363" t="s">
        <v>2733</v>
      </c>
      <c r="E31" s="363" t="s">
        <v>2638</v>
      </c>
      <c r="F31" s="363" t="s">
        <v>2639</v>
      </c>
      <c r="G31" s="225" t="s">
        <v>2640</v>
      </c>
      <c r="H31" s="225" t="s">
        <v>2640</v>
      </c>
      <c r="I31" s="356"/>
    </row>
    <row r="32">
      <c r="A32" s="363" t="s">
        <v>134</v>
      </c>
      <c r="B32" s="364" t="s">
        <v>135</v>
      </c>
      <c r="C32" s="465" t="s">
        <v>2734</v>
      </c>
      <c r="D32" s="442"/>
      <c r="E32" s="442"/>
      <c r="F32" s="460" t="s">
        <v>2641</v>
      </c>
      <c r="G32" s="225" t="s">
        <v>2642</v>
      </c>
      <c r="H32" s="225" t="s">
        <v>2642</v>
      </c>
      <c r="I32" s="356"/>
    </row>
    <row r="33">
      <c r="A33" s="363" t="s">
        <v>2331</v>
      </c>
      <c r="B33" s="377" t="s">
        <v>2332</v>
      </c>
      <c r="C33" s="170" t="str">
        <f>HYPERLINK("https://play.google.com/store/apps/details?id=com.google.android.play.games",HYPERLINK("https://play.google.com/store/apps/details?id=com.google.android.play.games","com.google.android.play.games"))</f>
        <v>com.google.android.play.games</v>
      </c>
      <c r="D33" s="363" t="s">
        <v>2735</v>
      </c>
      <c r="E33" s="363" t="s">
        <v>2736</v>
      </c>
      <c r="F33" s="363" t="s">
        <v>2644</v>
      </c>
      <c r="G33" s="225" t="s">
        <v>2586</v>
      </c>
      <c r="H33" s="225" t="s">
        <v>2586</v>
      </c>
      <c r="I33" s="356"/>
    </row>
    <row r="34">
      <c r="A34" s="363" t="s">
        <v>2334</v>
      </c>
      <c r="B34" s="377" t="s">
        <v>2335</v>
      </c>
      <c r="C34" s="170" t="str">
        <f>HYPERLINK("https://play.google.com/store/apps/details?id=com.google.android.apps.plus",HYPERLINK("https://play.google.com/store/apps/details?id=com.google.android.apps.plus","com.google.android.apps.plus"))</f>
        <v>com.google.android.apps.plus</v>
      </c>
      <c r="D34" s="363" t="s">
        <v>2737</v>
      </c>
      <c r="E34" s="363" t="s">
        <v>2738</v>
      </c>
      <c r="F34" s="363" t="s">
        <v>2646</v>
      </c>
      <c r="G34" s="225" t="s">
        <v>2647</v>
      </c>
      <c r="H34" s="225" t="s">
        <v>2647</v>
      </c>
      <c r="I34" s="356"/>
    </row>
    <row r="35">
      <c r="A35" s="363" t="s">
        <v>2648</v>
      </c>
      <c r="B35" s="377" t="s">
        <v>2649</v>
      </c>
      <c r="C35" s="170" t="str">
        <f>HYPERLINK("https://play.google.com/store/apps/details?id=com.google.android.street",HYPERLINK("https://play.google.com/store/apps/details?id=com.google.android.street","com.google.android.street"))</f>
        <v>com.google.android.street</v>
      </c>
      <c r="D35" s="363" t="s">
        <v>2650</v>
      </c>
      <c r="E35" s="363" t="s">
        <v>2650</v>
      </c>
      <c r="F35" s="444" t="s">
        <v>1597</v>
      </c>
      <c r="G35" s="445" t="s">
        <v>1597</v>
      </c>
      <c r="H35" s="445" t="s">
        <v>1597</v>
      </c>
      <c r="I35" s="356"/>
    </row>
    <row r="36">
      <c r="A36" s="363" t="s">
        <v>138</v>
      </c>
      <c r="B36" s="364" t="s">
        <v>139</v>
      </c>
      <c r="C36" s="170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6" s="363" t="s">
        <v>2739</v>
      </c>
      <c r="E36" s="448" t="s">
        <v>2740</v>
      </c>
      <c r="F36" s="448" t="s">
        <v>2652</v>
      </c>
      <c r="G36" s="225" t="s">
        <v>2653</v>
      </c>
      <c r="H36" s="225" t="s">
        <v>2653</v>
      </c>
      <c r="I36" s="356"/>
    </row>
    <row r="37">
      <c r="A37" s="363" t="s">
        <v>142</v>
      </c>
      <c r="B37" s="364" t="s">
        <v>143</v>
      </c>
      <c r="C37" s="170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7" s="363" t="s">
        <v>2741</v>
      </c>
      <c r="E37" s="448" t="s">
        <v>2742</v>
      </c>
      <c r="F37" s="448" t="s">
        <v>2655</v>
      </c>
      <c r="G37" s="225" t="s">
        <v>2521</v>
      </c>
      <c r="H37" s="225" t="s">
        <v>2521</v>
      </c>
      <c r="I37" s="356"/>
    </row>
    <row r="38">
      <c r="A38" s="363" t="s">
        <v>145</v>
      </c>
      <c r="B38" s="364" t="s">
        <v>145</v>
      </c>
      <c r="C38" s="170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8" s="363" t="s">
        <v>2743</v>
      </c>
      <c r="E38" s="448" t="s">
        <v>2744</v>
      </c>
      <c r="F38" s="448" t="s">
        <v>2657</v>
      </c>
      <c r="G38" s="225" t="s">
        <v>2658</v>
      </c>
      <c r="H38" s="225" t="s">
        <v>2658</v>
      </c>
      <c r="I38" s="356"/>
    </row>
    <row r="39">
      <c r="A39" s="363" t="s">
        <v>2349</v>
      </c>
      <c r="B39" s="377" t="s">
        <v>2745</v>
      </c>
      <c r="C39" s="448" t="s">
        <v>2746</v>
      </c>
      <c r="D39" s="442"/>
      <c r="E39" s="466"/>
      <c r="F39" s="460" t="s">
        <v>2659</v>
      </c>
      <c r="G39" s="225" t="s">
        <v>2536</v>
      </c>
      <c r="H39" s="225" t="s">
        <v>2536</v>
      </c>
      <c r="I39" s="356"/>
    </row>
    <row r="40">
      <c r="A40" s="363" t="s">
        <v>162</v>
      </c>
      <c r="B40" s="377" t="s">
        <v>163</v>
      </c>
      <c r="C40" s="170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0" s="363" t="s">
        <v>2747</v>
      </c>
      <c r="E40" s="363" t="s">
        <v>2748</v>
      </c>
      <c r="F40" s="363" t="s">
        <v>2661</v>
      </c>
      <c r="G40" s="225" t="s">
        <v>2662</v>
      </c>
      <c r="H40" s="225" t="s">
        <v>2662</v>
      </c>
      <c r="I40" s="356"/>
    </row>
    <row r="41">
      <c r="A41" s="363" t="s">
        <v>2301</v>
      </c>
      <c r="B41" s="377" t="s">
        <v>2302</v>
      </c>
      <c r="C41" s="170" t="str">
        <f>HYPERLINK("https://play.google.com/store/apps/details?id=com.google.android.apps.cloudprint",HYPERLINK("https://play.google.com/store/apps/details?id=com.google.android.apps.cloudprint","com.google.android.apps.cloudprint"))</f>
        <v>com.google.android.apps.cloudprint</v>
      </c>
      <c r="D41" s="363" t="s">
        <v>2749</v>
      </c>
      <c r="E41" s="448" t="s">
        <v>2663</v>
      </c>
      <c r="F41" s="448" t="s">
        <v>2664</v>
      </c>
      <c r="G41" s="225" t="s">
        <v>2664</v>
      </c>
      <c r="H41" s="225" t="s">
        <v>2664</v>
      </c>
      <c r="I41" s="356"/>
    </row>
    <row r="42">
      <c r="A42" s="363" t="s">
        <v>179</v>
      </c>
      <c r="B42" s="377" t="s">
        <v>180</v>
      </c>
      <c r="C42" s="363" t="s">
        <v>2750</v>
      </c>
      <c r="D42" s="363" t="s">
        <v>2751</v>
      </c>
      <c r="E42" s="363" t="s">
        <v>2751</v>
      </c>
      <c r="F42" s="363" t="s">
        <v>2751</v>
      </c>
      <c r="G42" s="225" t="s">
        <v>2751</v>
      </c>
      <c r="H42" s="225" t="s">
        <v>2751</v>
      </c>
      <c r="I42" s="356"/>
    </row>
    <row r="43">
      <c r="A43" s="363" t="s">
        <v>2306</v>
      </c>
      <c r="B43" s="377" t="s">
        <v>2307</v>
      </c>
      <c r="C43" s="170" t="str">
        <f>HYPERLINK("https://play.google.com/store/apps/details?id=com.google.android.apps.enterprise.dmagent",HYPERLINK("https://play.google.com/store/apps/details?id=com.google.android.apps.enterprise.dmagent","com.google.android.apps.enterprise.dmagent"))</f>
        <v>com.google.android.apps.enterprise.dmagent</v>
      </c>
      <c r="D43" s="363" t="s">
        <v>2752</v>
      </c>
      <c r="E43" s="450" t="s">
        <v>2753</v>
      </c>
      <c r="F43" s="450" t="s">
        <v>1407</v>
      </c>
      <c r="G43" s="259" t="s">
        <v>2668</v>
      </c>
      <c r="H43" s="259" t="s">
        <v>2668</v>
      </c>
      <c r="I43" s="356"/>
    </row>
    <row r="44">
      <c r="A44" s="363" t="s">
        <v>2309</v>
      </c>
      <c r="B44" s="395" t="s">
        <v>2310</v>
      </c>
      <c r="C44" s="396" t="str">
        <f>HYPERLINK("https://play.google.com/store/apps/details?id=com.google.android.apps.docs.editors.docs",HYPERLINK("https://play.google.com/store/apps/details?id=com.google.android.apps.docs.editors.docs","com.google.android.apps.docs.editors.docs"))</f>
        <v>com.google.android.apps.docs.editors.docs</v>
      </c>
      <c r="D44" s="363" t="s">
        <v>2754</v>
      </c>
      <c r="E44" s="448" t="s">
        <v>2755</v>
      </c>
      <c r="F44" s="448" t="s">
        <v>2670</v>
      </c>
      <c r="G44" s="225" t="s">
        <v>2549</v>
      </c>
      <c r="H44" s="225" t="s">
        <v>2549</v>
      </c>
      <c r="I44" s="356"/>
    </row>
    <row r="45">
      <c r="A45" s="363" t="s">
        <v>2313</v>
      </c>
      <c r="B45" s="395" t="s">
        <v>2314</v>
      </c>
      <c r="C45" s="396" t="str">
        <f>HYPERLINK("https://play.google.com/store/apps/details?id=com.google.android.apps.docs.editors.sheets",HYPERLINK("https://play.google.com/store/apps/details?id=com.google.android.apps.docs.editors.sheets","com.google.android.apps.docs.editors.sheets"))</f>
        <v>com.google.android.apps.docs.editors.sheets</v>
      </c>
      <c r="D45" s="363" t="s">
        <v>2756</v>
      </c>
      <c r="E45" s="448" t="s">
        <v>2755</v>
      </c>
      <c r="F45" s="448" t="s">
        <v>2671</v>
      </c>
      <c r="G45" s="225" t="s">
        <v>2549</v>
      </c>
      <c r="H45" s="225" t="s">
        <v>2549</v>
      </c>
      <c r="I45" s="356"/>
    </row>
    <row r="46">
      <c r="A46" s="363" t="s">
        <v>2316</v>
      </c>
      <c r="B46" s="395" t="s">
        <v>2317</v>
      </c>
      <c r="C46" s="396" t="str">
        <f>HYPERLINK("https://play.google.com/store/apps/details?id=com.google.android.apps.docs.editors.slides",HYPERLINK("https://play.google.com/store/apps/details?id=com.google.android.apps.docs.editors.slides","com.google.android.apps.docs.editors.slides"))</f>
        <v>com.google.android.apps.docs.editors.slides</v>
      </c>
      <c r="D46" s="363" t="s">
        <v>2757</v>
      </c>
      <c r="E46" s="448" t="s">
        <v>2758</v>
      </c>
      <c r="F46" s="448" t="s">
        <v>2673</v>
      </c>
      <c r="G46" s="225" t="s">
        <v>2553</v>
      </c>
      <c r="H46" s="225" t="s">
        <v>2553</v>
      </c>
      <c r="I46" s="356"/>
    </row>
    <row r="47">
      <c r="A47" s="363" t="s">
        <v>1629</v>
      </c>
      <c r="B47" s="377" t="s">
        <v>1630</v>
      </c>
      <c r="C47" s="363" t="s">
        <v>1631</v>
      </c>
      <c r="D47" s="363" t="s">
        <v>2759</v>
      </c>
      <c r="E47" s="363" t="s">
        <v>2713</v>
      </c>
      <c r="F47" s="363" t="s">
        <v>2713</v>
      </c>
      <c r="G47" s="225" t="s">
        <v>2713</v>
      </c>
      <c r="H47" s="225" t="s">
        <v>2713</v>
      </c>
      <c r="I47" s="356"/>
    </row>
    <row r="48">
      <c r="A48" s="363" t="s">
        <v>2674</v>
      </c>
      <c r="B48" s="377" t="s">
        <v>2675</v>
      </c>
      <c r="C48" s="170" t="str">
        <f>HYPERLINK("https://play.google.com/store/apps/details?id=com.google.android.GoogleCamera",HYPERLINK("https://play.google.com/store/apps/details?id=com.google.android.GoogleCamera","com.google.android.GoogleCamera"))</f>
        <v>com.google.android.GoogleCamera</v>
      </c>
      <c r="D48" s="363" t="s">
        <v>2760</v>
      </c>
      <c r="E48" s="363" t="s">
        <v>2761</v>
      </c>
      <c r="F48" s="363" t="s">
        <v>2761</v>
      </c>
      <c r="G48" s="445" t="s">
        <v>1597</v>
      </c>
      <c r="H48" s="445" t="s">
        <v>1597</v>
      </c>
      <c r="I48" s="356"/>
    </row>
    <row r="49">
      <c r="A49" s="363" t="s">
        <v>2677</v>
      </c>
      <c r="B49" s="377" t="s">
        <v>2678</v>
      </c>
      <c r="C49" s="170" t="str">
        <f>HYPERLINK("https://play.google.com/store/apps/details?id=com.google.android.ears",HYPERLINK("https://play.google.com/store/apps/details?id=com.google.android.ears","com.google.android.ears"))</f>
        <v>com.google.android.ears</v>
      </c>
      <c r="D49" s="363" t="s">
        <v>2679</v>
      </c>
      <c r="E49" s="363" t="s">
        <v>2679</v>
      </c>
      <c r="F49" s="444" t="s">
        <v>1597</v>
      </c>
      <c r="G49" s="445" t="s">
        <v>1597</v>
      </c>
      <c r="H49" s="445" t="s">
        <v>1597</v>
      </c>
      <c r="I49" s="356"/>
    </row>
    <row r="50">
      <c r="A50" s="363" t="s">
        <v>2680</v>
      </c>
      <c r="B50" s="377" t="s">
        <v>2681</v>
      </c>
      <c r="C50" s="170" t="str">
        <f>HYPERLINK("https://play.google.com/store/apps/details?id=com.google.earth",HYPERLINK("https://play.google.com/store/apps/details?id=com.google.earth","com.google.earth"))</f>
        <v>com.google.earth</v>
      </c>
      <c r="D50" s="363" t="s">
        <v>2762</v>
      </c>
      <c r="E50" s="448" t="s">
        <v>2682</v>
      </c>
      <c r="F50" s="444" t="s">
        <v>1597</v>
      </c>
      <c r="G50" s="445" t="s">
        <v>1597</v>
      </c>
      <c r="H50" s="445" t="s">
        <v>1597</v>
      </c>
      <c r="I50" s="356"/>
    </row>
    <row r="51">
      <c r="A51" s="363" t="s">
        <v>2320</v>
      </c>
      <c r="B51" s="377" t="s">
        <v>2321</v>
      </c>
      <c r="C51" s="170" t="str">
        <f>HYPERLINK("https://play.google.com/store/apps/details?id=com.google.android.apps.inputmethod.hindi",HYPERLINK("https://play.google.com/store/apps/details?id=com.google.android.apps.inputmethod.hindi","com.google.android.apps.inputmethod.hindi"))</f>
        <v>com.google.android.apps.inputmethod.hindi</v>
      </c>
      <c r="D51" s="363" t="s">
        <v>2763</v>
      </c>
      <c r="E51" s="448" t="s">
        <v>2763</v>
      </c>
      <c r="F51" s="448" t="s">
        <v>2684</v>
      </c>
      <c r="G51" s="225" t="s">
        <v>2684</v>
      </c>
      <c r="H51" s="225" t="s">
        <v>2684</v>
      </c>
      <c r="I51" s="356"/>
    </row>
    <row r="52">
      <c r="A52" s="363" t="s">
        <v>2560</v>
      </c>
      <c r="B52" s="377" t="s">
        <v>2561</v>
      </c>
      <c r="C52" s="170" t="str">
        <f>HYPERLINK("https://play.google.com/store/apps/details?id=com.google.android.launcher",HYPERLINK("https://play.google.com/store/apps/details?id=com.google.android.launcher","com.google.android.launcher"))</f>
        <v>com.google.android.launcher</v>
      </c>
      <c r="D52" s="363" t="s">
        <v>2764</v>
      </c>
      <c r="E52" s="363" t="s">
        <v>2764</v>
      </c>
      <c r="F52" s="363" t="s">
        <v>2764</v>
      </c>
      <c r="G52" s="225" t="s">
        <v>2764</v>
      </c>
      <c r="H52" s="225" t="s">
        <v>2764</v>
      </c>
      <c r="I52" s="356"/>
    </row>
    <row r="53">
      <c r="A53" s="363" t="s">
        <v>2070</v>
      </c>
      <c r="B53" s="377" t="s">
        <v>2071</v>
      </c>
      <c r="C53" s="170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53" s="363" t="s">
        <v>2765</v>
      </c>
      <c r="E53" s="448" t="s">
        <v>2765</v>
      </c>
      <c r="F53" s="448" t="s">
        <v>2687</v>
      </c>
      <c r="G53" s="225" t="s">
        <v>2687</v>
      </c>
      <c r="H53" s="225" t="s">
        <v>2687</v>
      </c>
      <c r="I53" s="356"/>
    </row>
    <row r="54">
      <c r="A54" s="363" t="s">
        <v>1388</v>
      </c>
      <c r="B54" s="364" t="s">
        <v>1389</v>
      </c>
      <c r="C54" s="170" t="str">
        <f>HYPERLINK("https://play.google.com/store/apps/details?id=com.google.android.tts",HYPERLINK("https://play.google.com/store/apps/details?id=com.google.android.tts","com.google.android.tts"))</f>
        <v>com.google.android.tts</v>
      </c>
      <c r="D54" s="363" t="s">
        <v>2766</v>
      </c>
      <c r="E54" s="363" t="s">
        <v>2688</v>
      </c>
      <c r="F54" s="451" t="s">
        <v>2689</v>
      </c>
      <c r="G54" s="225" t="s">
        <v>2690</v>
      </c>
      <c r="H54" s="225" t="s">
        <v>2690</v>
      </c>
      <c r="I54" s="356"/>
    </row>
    <row r="55">
      <c r="A55" s="363" t="s">
        <v>2073</v>
      </c>
      <c r="B55" s="377" t="s">
        <v>2074</v>
      </c>
      <c r="C55" s="448" t="s">
        <v>2767</v>
      </c>
      <c r="D55" s="442"/>
      <c r="E55" s="442"/>
      <c r="F55" s="460" t="s">
        <v>2691</v>
      </c>
      <c r="G55" s="225" t="s">
        <v>2691</v>
      </c>
      <c r="H55" s="225" t="s">
        <v>2691</v>
      </c>
      <c r="I55" s="356"/>
    </row>
    <row r="56">
      <c r="A56" s="363" t="s">
        <v>191</v>
      </c>
      <c r="B56" s="377" t="s">
        <v>191</v>
      </c>
      <c r="C56" s="170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56" s="363" t="s">
        <v>2768</v>
      </c>
      <c r="E56" s="363" t="s">
        <v>2692</v>
      </c>
      <c r="F56" s="363" t="s">
        <v>2693</v>
      </c>
      <c r="G56" s="225" t="s">
        <v>2694</v>
      </c>
      <c r="H56" s="225" t="s">
        <v>2694</v>
      </c>
      <c r="I56" s="356"/>
    </row>
    <row r="57">
      <c r="A57" s="363" t="s">
        <v>2084</v>
      </c>
      <c r="B57" s="377" t="s">
        <v>2085</v>
      </c>
      <c r="C57" s="170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57" s="363" t="s">
        <v>2769</v>
      </c>
      <c r="E57" s="448" t="s">
        <v>2769</v>
      </c>
      <c r="F57" s="448" t="s">
        <v>2696</v>
      </c>
      <c r="G57" s="225" t="s">
        <v>2696</v>
      </c>
      <c r="H57" s="225" t="s">
        <v>2696</v>
      </c>
      <c r="I57" s="356"/>
    </row>
    <row r="58">
      <c r="A58" s="363" t="s">
        <v>194</v>
      </c>
      <c r="B58" s="377" t="s">
        <v>195</v>
      </c>
      <c r="C58" s="170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58" s="363" t="s">
        <v>2770</v>
      </c>
      <c r="E58" s="363" t="s">
        <v>2771</v>
      </c>
      <c r="F58" s="363" t="s">
        <v>2698</v>
      </c>
      <c r="G58" s="225" t="s">
        <v>2698</v>
      </c>
      <c r="H58" s="225" t="s">
        <v>2698</v>
      </c>
      <c r="I58" s="356"/>
    </row>
    <row r="59">
      <c r="A59" s="363" t="s">
        <v>2346</v>
      </c>
      <c r="B59" s="377" t="s">
        <v>2347</v>
      </c>
      <c r="C59" s="170" t="str">
        <f>HYPERLINK("https://play.google.com/store/apps/details?id=com.google.android.apps.genie.geniewidget",HYPERLINK("https://play.google.com/store/apps/details?id=com.google.android.apps.genie.geniewidget","com.google.android.apps.genie.geniewidget"))</f>
        <v>com.google.android.apps.genie.geniewidget</v>
      </c>
      <c r="D59" s="452" t="s">
        <v>2772</v>
      </c>
      <c r="E59" s="453" t="s">
        <v>2699</v>
      </c>
      <c r="F59" s="453" t="s">
        <v>2700</v>
      </c>
      <c r="G59" s="225" t="s">
        <v>2348</v>
      </c>
      <c r="H59" s="225" t="s">
        <v>2348</v>
      </c>
      <c r="I59" s="356"/>
    </row>
    <row r="60">
      <c r="A60" s="363" t="s">
        <v>198</v>
      </c>
      <c r="B60" s="377" t="s">
        <v>199</v>
      </c>
      <c r="C60" s="170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60" s="431" t="s">
        <v>2701</v>
      </c>
      <c r="E60" s="454" t="s">
        <v>2701</v>
      </c>
      <c r="F60" s="454" t="s">
        <v>2345</v>
      </c>
      <c r="G60" s="280" t="s">
        <v>2702</v>
      </c>
      <c r="H60" s="280" t="s">
        <v>2702</v>
      </c>
      <c r="I60" s="356"/>
    </row>
    <row r="61">
      <c r="A61" s="380" t="s">
        <v>2773</v>
      </c>
      <c r="B61" s="427" t="s">
        <v>2774</v>
      </c>
      <c r="C61" s="428" t="str">
        <f>HYPERLINK("https://play.google.com/store/apps/details?id=com.google.android.apps.walletnfcrel",HYPERLINK("https://play.google.com/store/apps/details?id=com.google.android.apps.walletnfcrel","com.google.android.apps.walletnfcrel"))</f>
        <v>com.google.android.apps.walletnfcrel</v>
      </c>
      <c r="D61" s="455" t="s">
        <v>2775</v>
      </c>
      <c r="E61" s="456" t="s">
        <v>2705</v>
      </c>
      <c r="F61" s="456" t="s">
        <v>2706</v>
      </c>
      <c r="G61" s="467" t="s">
        <v>2597</v>
      </c>
      <c r="H61" s="467" t="s">
        <v>2597</v>
      </c>
      <c r="I61" s="356"/>
    </row>
    <row r="62">
      <c r="A62" s="404"/>
      <c r="B62" s="405"/>
      <c r="C62" s="405"/>
      <c r="D62" s="405"/>
      <c r="E62" s="405"/>
      <c r="F62" s="405"/>
      <c r="G62" s="356"/>
      <c r="H62" s="356"/>
      <c r="I62" s="356"/>
    </row>
    <row r="63">
      <c r="A63" s="468"/>
      <c r="B63" s="356"/>
      <c r="C63" s="356"/>
      <c r="D63" s="356"/>
      <c r="E63" s="356"/>
      <c r="F63" s="356"/>
      <c r="G63" s="356"/>
      <c r="H63" s="356"/>
      <c r="I63" s="356"/>
    </row>
  </sheetData>
  <mergeCells count="11">
    <mergeCell ref="B1:B2"/>
    <mergeCell ref="A3:B3"/>
    <mergeCell ref="A16:B16"/>
    <mergeCell ref="A19:B19"/>
    <mergeCell ref="A1:A2"/>
    <mergeCell ref="C1:C2"/>
    <mergeCell ref="D1:D2"/>
    <mergeCell ref="E1:E2"/>
    <mergeCell ref="F1:F2"/>
    <mergeCell ref="G1:G2"/>
    <mergeCell ref="H1:H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6.88"/>
    <col customWidth="1" min="2" max="2" width="35.38"/>
    <col customWidth="1" min="3" max="3" width="18.0"/>
    <col customWidth="1" min="4" max="4" width="15.13"/>
    <col customWidth="1" min="5" max="5" width="17.38"/>
    <col customWidth="1" min="6" max="6" width="17.5"/>
    <col customWidth="1" min="7" max="7" width="17.13"/>
    <col customWidth="1" min="8" max="9" width="16.63"/>
    <col customWidth="1" min="10" max="10" width="18.13"/>
    <col customWidth="1" min="11" max="11" width="69.75"/>
    <col customWidth="1" hidden="1" min="12" max="12" width="54.0"/>
  </cols>
  <sheetData>
    <row r="1">
      <c r="A1" s="469" t="s">
        <v>2776</v>
      </c>
      <c r="B1" s="470"/>
      <c r="C1" s="471" t="s">
        <v>2777</v>
      </c>
      <c r="D1" s="471" t="s">
        <v>2778</v>
      </c>
      <c r="E1" s="471" t="s">
        <v>1930</v>
      </c>
      <c r="F1" s="471" t="s">
        <v>1931</v>
      </c>
      <c r="G1" s="471" t="s">
        <v>2124</v>
      </c>
      <c r="H1" s="471" t="s">
        <v>2125</v>
      </c>
      <c r="I1" s="471" t="s">
        <v>2126</v>
      </c>
      <c r="J1" s="471" t="s">
        <v>2202</v>
      </c>
      <c r="K1" s="472" t="s">
        <v>2779</v>
      </c>
      <c r="L1" s="473" t="s">
        <v>2780</v>
      </c>
    </row>
    <row r="2">
      <c r="A2" s="474" t="s">
        <v>2781</v>
      </c>
      <c r="B2" s="475" t="s">
        <v>2782</v>
      </c>
      <c r="C2" s="475" t="s">
        <v>2291</v>
      </c>
      <c r="D2" s="475" t="s">
        <v>2783</v>
      </c>
      <c r="E2" s="476" t="s">
        <v>2784</v>
      </c>
      <c r="F2" s="475" t="s">
        <v>2784</v>
      </c>
      <c r="G2" s="475" t="s">
        <v>2785</v>
      </c>
      <c r="H2" s="475" t="s">
        <v>2785</v>
      </c>
      <c r="I2" s="471" t="s">
        <v>2617</v>
      </c>
      <c r="J2" s="475" t="s">
        <v>2617</v>
      </c>
      <c r="K2" s="477" t="s">
        <v>2786</v>
      </c>
      <c r="L2" s="478" t="s">
        <v>2787</v>
      </c>
    </row>
    <row r="3">
      <c r="A3" s="474" t="s">
        <v>2788</v>
      </c>
      <c r="B3" s="475" t="s">
        <v>2622</v>
      </c>
      <c r="C3" s="479"/>
      <c r="D3" s="476">
        <v>4.4</v>
      </c>
      <c r="E3" s="476">
        <v>4.4</v>
      </c>
      <c r="F3" s="475">
        <v>4.4</v>
      </c>
      <c r="G3" s="475">
        <v>4.4</v>
      </c>
      <c r="H3" s="475">
        <v>4.4</v>
      </c>
      <c r="I3" s="475">
        <v>4.4</v>
      </c>
      <c r="J3" s="475">
        <v>4.4</v>
      </c>
      <c r="K3" s="480" t="s">
        <v>2789</v>
      </c>
      <c r="L3" s="481"/>
    </row>
    <row r="4">
      <c r="A4" s="474" t="s">
        <v>2790</v>
      </c>
      <c r="B4" s="475" t="s">
        <v>2791</v>
      </c>
      <c r="C4" s="475" t="s">
        <v>162</v>
      </c>
      <c r="D4" s="475">
        <v>2.01308023E8</v>
      </c>
      <c r="E4" s="476">
        <v>2.01308023E8</v>
      </c>
      <c r="F4" s="475">
        <v>2.01308023E8</v>
      </c>
      <c r="G4" s="475">
        <v>2.01404014E8</v>
      </c>
      <c r="H4" s="475">
        <v>2.01404014E8</v>
      </c>
      <c r="I4" s="471" t="s">
        <v>2748</v>
      </c>
      <c r="J4" s="475" t="s">
        <v>2748</v>
      </c>
      <c r="K4" s="477" t="s">
        <v>2792</v>
      </c>
      <c r="L4" s="481"/>
    </row>
    <row r="5">
      <c r="A5" s="474" t="s">
        <v>2793</v>
      </c>
      <c r="B5" s="475" t="s">
        <v>2794</v>
      </c>
      <c r="C5" s="475" t="s">
        <v>114</v>
      </c>
      <c r="D5" s="475" t="s">
        <v>2795</v>
      </c>
      <c r="E5" s="476" t="s">
        <v>2796</v>
      </c>
      <c r="F5" s="475" t="s">
        <v>2797</v>
      </c>
      <c r="G5" s="475" t="s">
        <v>2798</v>
      </c>
      <c r="H5" s="471" t="s">
        <v>2799</v>
      </c>
      <c r="I5" s="471" t="s">
        <v>2800</v>
      </c>
      <c r="J5" s="475" t="s">
        <v>2800</v>
      </c>
      <c r="K5" s="477" t="s">
        <v>2801</v>
      </c>
      <c r="L5" s="481"/>
    </row>
    <row r="6">
      <c r="A6" s="474" t="s">
        <v>2802</v>
      </c>
      <c r="B6" s="475" t="s">
        <v>8</v>
      </c>
      <c r="C6" s="475" t="s">
        <v>2803</v>
      </c>
      <c r="D6" s="475">
        <v>4.4</v>
      </c>
      <c r="E6" s="476">
        <v>4.4</v>
      </c>
      <c r="F6" s="475">
        <v>4.4</v>
      </c>
      <c r="G6" s="475">
        <v>4.4</v>
      </c>
      <c r="H6" s="475">
        <v>4.4</v>
      </c>
      <c r="I6" s="475">
        <v>4.4</v>
      </c>
      <c r="J6" s="475">
        <v>4.4</v>
      </c>
      <c r="K6" s="478" t="s">
        <v>2804</v>
      </c>
      <c r="L6" s="482"/>
    </row>
    <row r="7">
      <c r="A7" s="474" t="s">
        <v>2805</v>
      </c>
      <c r="B7" s="475" t="s">
        <v>2806</v>
      </c>
      <c r="C7" s="475" t="s">
        <v>2807</v>
      </c>
      <c r="D7" s="475" t="s">
        <v>2808</v>
      </c>
      <c r="E7" s="476">
        <v>4.4</v>
      </c>
      <c r="F7" s="475">
        <v>4.4</v>
      </c>
      <c r="G7" s="475">
        <v>4.4</v>
      </c>
      <c r="H7" s="475">
        <v>4.4</v>
      </c>
      <c r="I7" s="475">
        <v>4.4</v>
      </c>
      <c r="J7" s="475">
        <v>4.4</v>
      </c>
      <c r="K7" s="477" t="s">
        <v>2809</v>
      </c>
      <c r="L7" s="481"/>
    </row>
    <row r="8">
      <c r="A8" s="474" t="s">
        <v>2810</v>
      </c>
      <c r="B8" s="475" t="s">
        <v>2811</v>
      </c>
      <c r="C8" s="475" t="s">
        <v>2301</v>
      </c>
      <c r="D8" s="475" t="s">
        <v>2812</v>
      </c>
      <c r="E8" s="476" t="s">
        <v>2813</v>
      </c>
      <c r="F8" s="475" t="s">
        <v>2813</v>
      </c>
      <c r="G8" s="475" t="s">
        <v>2814</v>
      </c>
      <c r="H8" s="475" t="s">
        <v>2814</v>
      </c>
      <c r="I8" s="471" t="s">
        <v>2663</v>
      </c>
      <c r="J8" s="475" t="s">
        <v>2663</v>
      </c>
      <c r="K8" s="477" t="s">
        <v>2815</v>
      </c>
      <c r="L8" s="481"/>
    </row>
    <row r="9">
      <c r="A9" s="474" t="s">
        <v>2816</v>
      </c>
      <c r="B9" s="475" t="s">
        <v>2750</v>
      </c>
      <c r="C9" s="475" t="s">
        <v>179</v>
      </c>
      <c r="D9" s="475" t="s">
        <v>2817</v>
      </c>
      <c r="E9" s="476" t="s">
        <v>2817</v>
      </c>
      <c r="F9" s="475" t="s">
        <v>2817</v>
      </c>
      <c r="G9" s="475" t="s">
        <v>2817</v>
      </c>
      <c r="H9" s="475" t="s">
        <v>2817</v>
      </c>
      <c r="I9" s="475" t="s">
        <v>2817</v>
      </c>
      <c r="J9" s="475" t="s">
        <v>2817</v>
      </c>
      <c r="K9" s="477" t="s">
        <v>2818</v>
      </c>
      <c r="L9" s="481"/>
    </row>
    <row r="10">
      <c r="A10" s="474" t="s">
        <v>2819</v>
      </c>
      <c r="B10" s="475" t="s">
        <v>2820</v>
      </c>
      <c r="C10" s="475" t="s">
        <v>117</v>
      </c>
      <c r="D10" s="479"/>
      <c r="E10" s="476" t="s">
        <v>2821</v>
      </c>
      <c r="F10" s="475" t="s">
        <v>2821</v>
      </c>
      <c r="G10" s="475" t="s">
        <v>2822</v>
      </c>
      <c r="H10" s="471" t="s">
        <v>2823</v>
      </c>
      <c r="I10" s="475" t="s">
        <v>2823</v>
      </c>
      <c r="J10" s="475" t="s">
        <v>2823</v>
      </c>
      <c r="L10" s="481"/>
    </row>
    <row r="11">
      <c r="A11" s="474" t="s">
        <v>2824</v>
      </c>
      <c r="B11" s="475" t="s">
        <v>1631</v>
      </c>
      <c r="C11" s="475" t="s">
        <v>1630</v>
      </c>
      <c r="D11" s="476">
        <v>4.4</v>
      </c>
      <c r="E11" s="476">
        <v>4.4</v>
      </c>
      <c r="F11" s="475">
        <v>4.4</v>
      </c>
      <c r="G11" s="475">
        <v>4.4</v>
      </c>
      <c r="H11" s="475">
        <v>4.4</v>
      </c>
      <c r="I11" s="475">
        <v>4.4</v>
      </c>
      <c r="J11" s="475">
        <v>4.4</v>
      </c>
      <c r="K11" s="477" t="s">
        <v>2825</v>
      </c>
      <c r="L11" s="481"/>
    </row>
    <row r="12">
      <c r="A12" s="474" t="s">
        <v>2826</v>
      </c>
      <c r="B12" s="475" t="s">
        <v>2827</v>
      </c>
      <c r="C12" s="475" t="s">
        <v>2828</v>
      </c>
      <c r="D12" s="476" t="s">
        <v>2829</v>
      </c>
      <c r="E12" s="476" t="s">
        <v>2829</v>
      </c>
      <c r="F12" s="475" t="s">
        <v>2829</v>
      </c>
      <c r="G12" s="475" t="s">
        <v>2829</v>
      </c>
      <c r="H12" s="475" t="s">
        <v>2829</v>
      </c>
      <c r="I12" s="475" t="s">
        <v>2829</v>
      </c>
      <c r="J12" s="475" t="s">
        <v>2829</v>
      </c>
      <c r="K12" s="477" t="s">
        <v>2830</v>
      </c>
      <c r="L12" s="481"/>
    </row>
    <row r="13">
      <c r="A13" s="474" t="s">
        <v>2831</v>
      </c>
      <c r="B13" s="475" t="s">
        <v>2832</v>
      </c>
      <c r="C13" s="475" t="s">
        <v>2346</v>
      </c>
      <c r="D13" s="479"/>
      <c r="E13" s="483"/>
      <c r="F13" s="479"/>
      <c r="G13" s="479"/>
      <c r="H13" s="471" t="s">
        <v>2833</v>
      </c>
      <c r="I13" s="471" t="s">
        <v>2699</v>
      </c>
      <c r="J13" s="475" t="s">
        <v>2699</v>
      </c>
      <c r="K13" s="482"/>
      <c r="L13" s="481"/>
    </row>
    <row r="14">
      <c r="A14" s="474" t="s">
        <v>2834</v>
      </c>
      <c r="B14" s="484" t="s">
        <v>2835</v>
      </c>
      <c r="C14" s="475" t="s">
        <v>123</v>
      </c>
      <c r="D14" s="475" t="s">
        <v>2304</v>
      </c>
      <c r="E14" s="476" t="s">
        <v>2836</v>
      </c>
      <c r="F14" s="475" t="s">
        <v>2836</v>
      </c>
      <c r="G14" s="475" t="s">
        <v>2837</v>
      </c>
      <c r="H14" s="471" t="s">
        <v>2838</v>
      </c>
      <c r="I14" s="471" t="s">
        <v>2728</v>
      </c>
      <c r="J14" s="475" t="s">
        <v>2728</v>
      </c>
      <c r="K14" s="477" t="s">
        <v>2839</v>
      </c>
      <c r="L14" s="478" t="s">
        <v>2787</v>
      </c>
    </row>
    <row r="15">
      <c r="A15" s="474" t="s">
        <v>2840</v>
      </c>
      <c r="B15" s="484" t="s">
        <v>2841</v>
      </c>
      <c r="C15" s="475" t="s">
        <v>2842</v>
      </c>
      <c r="D15" s="475" t="s">
        <v>2843</v>
      </c>
      <c r="E15" s="476" t="s">
        <v>2844</v>
      </c>
      <c r="F15" s="475" t="s">
        <v>2845</v>
      </c>
      <c r="G15" s="475" t="s">
        <v>2846</v>
      </c>
      <c r="H15" s="471" t="s">
        <v>2847</v>
      </c>
      <c r="I15" s="471" t="s">
        <v>2709</v>
      </c>
      <c r="J15" s="475" t="s">
        <v>2709</v>
      </c>
      <c r="K15" s="478" t="s">
        <v>2842</v>
      </c>
      <c r="L15" s="481"/>
    </row>
    <row r="16">
      <c r="A16" s="474" t="s">
        <v>2848</v>
      </c>
      <c r="B16" s="475" t="s">
        <v>2849</v>
      </c>
      <c r="C16" s="475" t="s">
        <v>2850</v>
      </c>
      <c r="D16" s="476">
        <v>4.4</v>
      </c>
      <c r="E16" s="476">
        <v>4.4</v>
      </c>
      <c r="F16" s="475">
        <v>4.4</v>
      </c>
      <c r="G16" s="475">
        <v>4.4</v>
      </c>
      <c r="H16" s="475">
        <v>4.4</v>
      </c>
      <c r="I16" s="475">
        <v>4.4</v>
      </c>
      <c r="J16" s="475">
        <v>4.4</v>
      </c>
      <c r="K16" s="477" t="s">
        <v>2851</v>
      </c>
      <c r="L16" s="481"/>
    </row>
    <row r="17">
      <c r="A17" s="474" t="s">
        <v>2852</v>
      </c>
      <c r="B17" s="475" t="s">
        <v>129</v>
      </c>
      <c r="C17" s="475" t="s">
        <v>2853</v>
      </c>
      <c r="D17" s="476">
        <v>4.4</v>
      </c>
      <c r="E17" s="476" t="s">
        <v>2854</v>
      </c>
      <c r="F17" s="475" t="s">
        <v>2854</v>
      </c>
      <c r="G17" s="475" t="s">
        <v>2855</v>
      </c>
      <c r="H17" s="475" t="s">
        <v>2855</v>
      </c>
      <c r="I17" s="475" t="s">
        <v>2855</v>
      </c>
      <c r="J17" s="475" t="s">
        <v>2855</v>
      </c>
      <c r="K17" s="477" t="s">
        <v>2856</v>
      </c>
      <c r="L17" s="481"/>
    </row>
    <row r="18">
      <c r="A18" s="475" t="s">
        <v>2857</v>
      </c>
      <c r="B18" s="475" t="s">
        <v>2858</v>
      </c>
      <c r="C18" s="475" t="s">
        <v>2674</v>
      </c>
      <c r="D18" s="476" t="s">
        <v>2859</v>
      </c>
      <c r="E18" s="476" t="s">
        <v>2859</v>
      </c>
      <c r="F18" s="475" t="s">
        <v>2859</v>
      </c>
      <c r="G18" s="475" t="s">
        <v>2860</v>
      </c>
      <c r="H18" s="471" t="s">
        <v>2861</v>
      </c>
      <c r="I18" s="475" t="s">
        <v>2861</v>
      </c>
      <c r="J18" s="475" t="s">
        <v>2861</v>
      </c>
      <c r="K18" s="480" t="s">
        <v>2862</v>
      </c>
      <c r="L18" s="481"/>
    </row>
    <row r="19">
      <c r="A19" s="474" t="s">
        <v>2863</v>
      </c>
      <c r="B19" s="475" t="s">
        <v>1100</v>
      </c>
      <c r="C19" s="475" t="s">
        <v>2864</v>
      </c>
      <c r="D19" s="476">
        <v>4.4</v>
      </c>
      <c r="E19" s="476">
        <v>4.4</v>
      </c>
      <c r="F19" s="475">
        <v>4.4</v>
      </c>
      <c r="G19" s="475">
        <v>4.4</v>
      </c>
      <c r="H19" s="475">
        <v>4.4</v>
      </c>
      <c r="I19" s="475">
        <v>4.4</v>
      </c>
      <c r="J19" s="475">
        <v>4.4</v>
      </c>
      <c r="K19" s="477" t="s">
        <v>2865</v>
      </c>
      <c r="L19" s="481"/>
    </row>
    <row r="20">
      <c r="A20" s="474" t="s">
        <v>2866</v>
      </c>
      <c r="B20" s="475" t="s">
        <v>23</v>
      </c>
      <c r="C20" s="475" t="s">
        <v>2867</v>
      </c>
      <c r="D20" s="476">
        <v>4.4</v>
      </c>
      <c r="E20" s="476">
        <v>4.4</v>
      </c>
      <c r="F20" s="475">
        <v>4.4</v>
      </c>
      <c r="G20" s="475">
        <v>4.4</v>
      </c>
      <c r="H20" s="475">
        <v>4.4</v>
      </c>
      <c r="I20" s="475">
        <v>4.4</v>
      </c>
      <c r="J20" s="475">
        <v>4.4</v>
      </c>
      <c r="K20" s="477" t="s">
        <v>2868</v>
      </c>
      <c r="L20" s="481"/>
    </row>
    <row r="21">
      <c r="A21" s="474" t="s">
        <v>2869</v>
      </c>
      <c r="B21" s="475" t="s">
        <v>2213</v>
      </c>
      <c r="C21" s="475" t="s">
        <v>2870</v>
      </c>
      <c r="D21" s="476">
        <v>4.4</v>
      </c>
      <c r="E21" s="476">
        <v>4.4</v>
      </c>
      <c r="F21" s="475">
        <v>4.4</v>
      </c>
      <c r="G21" s="475">
        <v>4.4</v>
      </c>
      <c r="H21" s="475">
        <v>4.4</v>
      </c>
      <c r="I21" s="475">
        <v>4.4</v>
      </c>
      <c r="J21" s="475">
        <v>4.4</v>
      </c>
      <c r="K21" s="477" t="s">
        <v>2871</v>
      </c>
      <c r="L21" s="481"/>
    </row>
    <row r="22">
      <c r="A22" s="474" t="s">
        <v>2872</v>
      </c>
      <c r="B22" s="475" t="s">
        <v>263</v>
      </c>
      <c r="C22" s="475" t="s">
        <v>2873</v>
      </c>
      <c r="D22" s="476">
        <v>4.4</v>
      </c>
      <c r="E22" s="476">
        <v>4.4</v>
      </c>
      <c r="F22" s="475">
        <v>4.4</v>
      </c>
      <c r="G22" s="475">
        <v>4.4</v>
      </c>
      <c r="H22" s="475">
        <v>4.4</v>
      </c>
      <c r="I22" s="475">
        <v>4.4</v>
      </c>
      <c r="J22" s="475">
        <v>4.4</v>
      </c>
      <c r="K22" s="477" t="s">
        <v>2874</v>
      </c>
      <c r="L22" s="481"/>
    </row>
    <row r="23">
      <c r="A23" s="474" t="s">
        <v>2875</v>
      </c>
      <c r="B23" s="475" t="s">
        <v>28</v>
      </c>
      <c r="C23" s="475" t="s">
        <v>26</v>
      </c>
      <c r="D23" s="476">
        <v>4.4</v>
      </c>
      <c r="E23" s="476">
        <v>4.4</v>
      </c>
      <c r="F23" s="475">
        <v>4.4</v>
      </c>
      <c r="G23" s="475">
        <v>4.4</v>
      </c>
      <c r="H23" s="475">
        <v>4.4</v>
      </c>
      <c r="I23" s="475">
        <v>4.4</v>
      </c>
      <c r="J23" s="471" t="s">
        <v>2876</v>
      </c>
      <c r="K23" s="477" t="s">
        <v>2877</v>
      </c>
      <c r="L23" s="481"/>
    </row>
    <row r="24">
      <c r="A24" s="474" t="s">
        <v>2878</v>
      </c>
      <c r="B24" s="475" t="s">
        <v>38</v>
      </c>
      <c r="C24" s="475" t="s">
        <v>2879</v>
      </c>
      <c r="D24" s="476">
        <v>4.4</v>
      </c>
      <c r="E24" s="476">
        <v>4.4</v>
      </c>
      <c r="F24" s="475">
        <v>4.4</v>
      </c>
      <c r="G24" s="475">
        <v>4.4</v>
      </c>
      <c r="H24" s="475">
        <v>4.4</v>
      </c>
      <c r="I24" s="475">
        <v>4.4</v>
      </c>
      <c r="J24" s="475">
        <v>4.4</v>
      </c>
      <c r="K24" s="477" t="s">
        <v>2880</v>
      </c>
      <c r="L24" s="481"/>
    </row>
    <row r="25">
      <c r="A25" s="474" t="s">
        <v>2881</v>
      </c>
      <c r="B25" s="484" t="s">
        <v>2882</v>
      </c>
      <c r="C25" s="475" t="s">
        <v>2883</v>
      </c>
      <c r="D25" s="476" t="s">
        <v>2884</v>
      </c>
      <c r="E25" s="476" t="s">
        <v>2885</v>
      </c>
      <c r="F25" s="475" t="s">
        <v>2886</v>
      </c>
      <c r="G25" s="475" t="s">
        <v>2887</v>
      </c>
      <c r="H25" s="475" t="s">
        <v>2887</v>
      </c>
      <c r="I25" s="475" t="s">
        <v>2887</v>
      </c>
      <c r="J25" s="475" t="s">
        <v>2887</v>
      </c>
      <c r="K25" s="477" t="s">
        <v>2888</v>
      </c>
      <c r="L25" s="481"/>
    </row>
    <row r="26">
      <c r="A26" s="475" t="s">
        <v>2889</v>
      </c>
      <c r="B26" s="475" t="s">
        <v>2890</v>
      </c>
      <c r="C26" s="475" t="s">
        <v>1798</v>
      </c>
      <c r="D26" s="475" t="s">
        <v>2891</v>
      </c>
      <c r="E26" s="476" t="s">
        <v>2892</v>
      </c>
      <c r="F26" s="475" t="s">
        <v>2892</v>
      </c>
      <c r="G26" s="475" t="s">
        <v>2893</v>
      </c>
      <c r="H26" s="471" t="s">
        <v>2894</v>
      </c>
      <c r="I26" s="475" t="s">
        <v>2894</v>
      </c>
      <c r="J26" s="475" t="s">
        <v>2894</v>
      </c>
      <c r="K26" s="477" t="s">
        <v>2895</v>
      </c>
      <c r="L26" s="481"/>
    </row>
    <row r="27">
      <c r="A27" s="474" t="s">
        <v>2896</v>
      </c>
      <c r="B27" s="475" t="s">
        <v>2897</v>
      </c>
      <c r="C27" s="475" t="s">
        <v>2898</v>
      </c>
      <c r="D27" s="476" t="s">
        <v>2899</v>
      </c>
      <c r="E27" s="476" t="s">
        <v>2900</v>
      </c>
      <c r="F27" s="475" t="s">
        <v>2901</v>
      </c>
      <c r="G27" s="475" t="s">
        <v>2901</v>
      </c>
      <c r="H27" s="471" t="s">
        <v>2902</v>
      </c>
      <c r="I27" s="475" t="s">
        <v>2902</v>
      </c>
      <c r="J27" s="475" t="s">
        <v>2902</v>
      </c>
      <c r="K27" s="477" t="s">
        <v>2898</v>
      </c>
      <c r="L27" s="481"/>
    </row>
    <row r="28">
      <c r="A28" s="474" t="s">
        <v>2903</v>
      </c>
      <c r="B28" s="475" t="s">
        <v>2904</v>
      </c>
      <c r="C28" s="475" t="s">
        <v>2905</v>
      </c>
      <c r="D28" s="475" t="s">
        <v>2817</v>
      </c>
      <c r="E28" s="476" t="s">
        <v>2906</v>
      </c>
      <c r="F28" s="475" t="s">
        <v>2907</v>
      </c>
      <c r="G28" s="475" t="s">
        <v>2908</v>
      </c>
      <c r="H28" s="475" t="s">
        <v>2908</v>
      </c>
      <c r="I28" s="471" t="s">
        <v>2638</v>
      </c>
      <c r="J28" s="475" t="s">
        <v>2638</v>
      </c>
      <c r="K28" s="478" t="s">
        <v>2905</v>
      </c>
      <c r="L28" s="479"/>
    </row>
    <row r="29">
      <c r="A29" s="474" t="s">
        <v>2909</v>
      </c>
      <c r="B29" s="475" t="s">
        <v>2910</v>
      </c>
      <c r="C29" s="475" t="s">
        <v>131</v>
      </c>
      <c r="D29" s="475" t="s">
        <v>2911</v>
      </c>
      <c r="E29" s="476" t="s">
        <v>2912</v>
      </c>
      <c r="F29" s="475" t="s">
        <v>2912</v>
      </c>
      <c r="G29" s="475" t="s">
        <v>2913</v>
      </c>
      <c r="H29" s="471" t="s">
        <v>2914</v>
      </c>
      <c r="I29" s="475" t="s">
        <v>2914</v>
      </c>
      <c r="J29" s="475" t="s">
        <v>2914</v>
      </c>
      <c r="K29" s="477" t="s">
        <v>2915</v>
      </c>
      <c r="L29" s="478" t="s">
        <v>2916</v>
      </c>
    </row>
    <row r="30">
      <c r="A30" s="474" t="s">
        <v>2917</v>
      </c>
      <c r="B30" s="474" t="s">
        <v>2918</v>
      </c>
      <c r="C30" s="475" t="s">
        <v>2919</v>
      </c>
      <c r="D30" s="479"/>
      <c r="E30" s="483"/>
      <c r="F30" s="479"/>
      <c r="G30" s="479"/>
      <c r="H30" s="479"/>
      <c r="I30" s="479"/>
      <c r="J30" s="479"/>
      <c r="K30" s="480" t="s">
        <v>2920</v>
      </c>
    </row>
    <row r="31">
      <c r="A31" s="474" t="s">
        <v>2921</v>
      </c>
      <c r="B31" s="475" t="s">
        <v>2922</v>
      </c>
      <c r="C31" s="474" t="s">
        <v>2923</v>
      </c>
      <c r="D31" s="483"/>
      <c r="E31" s="483"/>
      <c r="F31" s="479"/>
      <c r="G31" s="479"/>
      <c r="H31" s="479"/>
      <c r="I31" s="479"/>
      <c r="J31" s="479"/>
      <c r="K31" s="477" t="s">
        <v>2924</v>
      </c>
      <c r="L31" s="481"/>
    </row>
    <row r="32">
      <c r="A32" s="474" t="s">
        <v>2925</v>
      </c>
      <c r="B32" s="475" t="s">
        <v>2926</v>
      </c>
      <c r="C32" s="475" t="s">
        <v>2927</v>
      </c>
      <c r="D32" s="476" t="s">
        <v>2928</v>
      </c>
      <c r="E32" s="476" t="s">
        <v>2928</v>
      </c>
      <c r="F32" s="475" t="s">
        <v>2928</v>
      </c>
      <c r="G32" s="475" t="s">
        <v>2928</v>
      </c>
      <c r="H32" s="475" t="s">
        <v>2928</v>
      </c>
      <c r="I32" s="475" t="s">
        <v>2928</v>
      </c>
      <c r="J32" s="475" t="s">
        <v>2928</v>
      </c>
      <c r="K32" s="477" t="s">
        <v>2929</v>
      </c>
      <c r="L32" s="481"/>
    </row>
    <row r="33">
      <c r="A33" s="474" t="s">
        <v>2930</v>
      </c>
      <c r="B33" s="475" t="s">
        <v>2931</v>
      </c>
      <c r="C33" s="475" t="s">
        <v>2932</v>
      </c>
      <c r="D33" s="475" t="s">
        <v>2933</v>
      </c>
      <c r="E33" s="476" t="s">
        <v>2934</v>
      </c>
      <c r="F33" s="475" t="s">
        <v>2934</v>
      </c>
      <c r="G33" s="475" t="s">
        <v>2935</v>
      </c>
      <c r="H33" s="471" t="s">
        <v>2936</v>
      </c>
      <c r="I33" s="471" t="s">
        <v>2635</v>
      </c>
      <c r="J33" s="475" t="s">
        <v>2635</v>
      </c>
      <c r="K33" s="478" t="s">
        <v>2932</v>
      </c>
      <c r="L33" s="478" t="s">
        <v>2787</v>
      </c>
    </row>
    <row r="34">
      <c r="A34" s="474" t="s">
        <v>2937</v>
      </c>
      <c r="B34" s="479"/>
      <c r="C34" s="479"/>
      <c r="D34" s="479"/>
      <c r="E34" s="483"/>
      <c r="F34" s="479"/>
      <c r="G34" s="479"/>
      <c r="H34" s="479"/>
      <c r="I34" s="479"/>
      <c r="J34" s="479"/>
      <c r="K34" s="480" t="s">
        <v>2938</v>
      </c>
      <c r="L34" s="481"/>
    </row>
    <row r="35">
      <c r="A35" s="474" t="s">
        <v>2939</v>
      </c>
      <c r="B35" s="475" t="s">
        <v>50</v>
      </c>
      <c r="C35" s="475" t="s">
        <v>2940</v>
      </c>
      <c r="D35" s="475" t="s">
        <v>2941</v>
      </c>
      <c r="E35" s="476" t="s">
        <v>2941</v>
      </c>
      <c r="F35" s="475" t="s">
        <v>2942</v>
      </c>
      <c r="G35" s="475" t="s">
        <v>2943</v>
      </c>
      <c r="H35" s="471" t="s">
        <v>2944</v>
      </c>
      <c r="I35" s="471" t="s">
        <v>2716</v>
      </c>
      <c r="J35" s="475" t="s">
        <v>2716</v>
      </c>
      <c r="K35" s="477" t="s">
        <v>2945</v>
      </c>
      <c r="L35" s="478" t="s">
        <v>2787</v>
      </c>
    </row>
    <row r="36">
      <c r="A36" s="474" t="s">
        <v>2946</v>
      </c>
      <c r="B36" s="475" t="s">
        <v>2947</v>
      </c>
      <c r="C36" s="475" t="s">
        <v>2948</v>
      </c>
      <c r="D36" s="475" t="s">
        <v>2949</v>
      </c>
      <c r="E36" s="476" t="s">
        <v>2950</v>
      </c>
      <c r="F36" s="475" t="s">
        <v>2950</v>
      </c>
      <c r="G36" s="475" t="s">
        <v>2951</v>
      </c>
      <c r="H36" s="471" t="s">
        <v>2952</v>
      </c>
      <c r="I36" s="475" t="s">
        <v>2952</v>
      </c>
      <c r="J36" s="475" t="s">
        <v>2952</v>
      </c>
      <c r="K36" s="477" t="s">
        <v>2953</v>
      </c>
      <c r="L36" s="481"/>
    </row>
    <row r="37">
      <c r="A37" s="474" t="s">
        <v>2954</v>
      </c>
      <c r="B37" s="475" t="s">
        <v>2955</v>
      </c>
      <c r="C37" s="475" t="s">
        <v>2334</v>
      </c>
      <c r="D37" s="475" t="s">
        <v>2956</v>
      </c>
      <c r="E37" s="476" t="s">
        <v>2957</v>
      </c>
      <c r="F37" s="475" t="s">
        <v>2958</v>
      </c>
      <c r="G37" s="475" t="s">
        <v>2959</v>
      </c>
      <c r="H37" s="475" t="s">
        <v>2959</v>
      </c>
      <c r="I37" s="475" t="s">
        <v>2959</v>
      </c>
      <c r="J37" s="475" t="s">
        <v>2959</v>
      </c>
      <c r="K37" s="477" t="s">
        <v>2960</v>
      </c>
      <c r="L37" s="478" t="s">
        <v>2787</v>
      </c>
    </row>
    <row r="38">
      <c r="A38" s="474" t="s">
        <v>2961</v>
      </c>
      <c r="B38" s="475" t="s">
        <v>55</v>
      </c>
      <c r="C38" s="475" t="s">
        <v>53</v>
      </c>
      <c r="D38" s="476">
        <v>1.3</v>
      </c>
      <c r="E38" s="476">
        <v>1.3</v>
      </c>
      <c r="F38" s="475">
        <v>1.3</v>
      </c>
      <c r="G38" s="475">
        <v>1.3</v>
      </c>
      <c r="H38" s="475">
        <v>1.3</v>
      </c>
      <c r="I38" s="475">
        <v>1.3</v>
      </c>
      <c r="J38" s="475">
        <v>1.3</v>
      </c>
      <c r="K38" s="477" t="s">
        <v>2962</v>
      </c>
      <c r="L38" s="481"/>
    </row>
    <row r="39">
      <c r="A39" s="474" t="s">
        <v>2963</v>
      </c>
      <c r="B39" s="475" t="s">
        <v>2964</v>
      </c>
      <c r="C39" s="475" t="s">
        <v>2965</v>
      </c>
      <c r="D39" s="476" t="s">
        <v>2650</v>
      </c>
      <c r="E39" s="476" t="s">
        <v>2650</v>
      </c>
      <c r="F39" s="475" t="s">
        <v>2650</v>
      </c>
      <c r="G39" s="475" t="s">
        <v>2650</v>
      </c>
      <c r="H39" s="475" t="s">
        <v>2650</v>
      </c>
      <c r="I39" s="475" t="s">
        <v>2650</v>
      </c>
      <c r="J39" s="475" t="s">
        <v>2650</v>
      </c>
      <c r="K39" s="477" t="s">
        <v>2966</v>
      </c>
      <c r="L39" s="478" t="s">
        <v>2967</v>
      </c>
    </row>
    <row r="40">
      <c r="A40" s="474" t="s">
        <v>2968</v>
      </c>
      <c r="B40" s="475" t="s">
        <v>329</v>
      </c>
      <c r="C40" s="475" t="s">
        <v>2969</v>
      </c>
      <c r="D40" s="476">
        <v>1.1</v>
      </c>
      <c r="E40" s="476">
        <v>1.1</v>
      </c>
      <c r="F40" s="475">
        <v>1.1</v>
      </c>
      <c r="G40" s="475">
        <v>1.1</v>
      </c>
      <c r="H40" s="475">
        <v>1.1</v>
      </c>
      <c r="I40" s="475">
        <v>1.1</v>
      </c>
      <c r="J40" s="475">
        <v>1.1</v>
      </c>
      <c r="K40" s="477" t="s">
        <v>2970</v>
      </c>
      <c r="L40" s="481"/>
    </row>
    <row r="41">
      <c r="A41" s="474" t="s">
        <v>2971</v>
      </c>
      <c r="B41" s="475" t="s">
        <v>2972</v>
      </c>
      <c r="C41" s="475" t="s">
        <v>198</v>
      </c>
      <c r="D41" s="475" t="s">
        <v>2639</v>
      </c>
      <c r="E41" s="476" t="s">
        <v>2584</v>
      </c>
      <c r="F41" s="475" t="s">
        <v>2584</v>
      </c>
      <c r="G41" s="475" t="s">
        <v>2584</v>
      </c>
      <c r="H41" s="475" t="s">
        <v>2584</v>
      </c>
      <c r="I41" s="475" t="s">
        <v>2584</v>
      </c>
      <c r="J41" s="475" t="s">
        <v>2584</v>
      </c>
      <c r="K41" s="477" t="s">
        <v>2973</v>
      </c>
      <c r="L41" s="478" t="s">
        <v>2967</v>
      </c>
    </row>
    <row r="42">
      <c r="A42" s="474" t="s">
        <v>2974</v>
      </c>
      <c r="B42" s="475" t="s">
        <v>2975</v>
      </c>
      <c r="C42" s="475" t="s">
        <v>2976</v>
      </c>
      <c r="D42" s="485" t="s">
        <v>2977</v>
      </c>
      <c r="E42" s="476" t="s">
        <v>2722</v>
      </c>
      <c r="F42" s="475" t="s">
        <v>2978</v>
      </c>
      <c r="G42" s="475" t="s">
        <v>2979</v>
      </c>
      <c r="H42" s="471" t="s">
        <v>2980</v>
      </c>
      <c r="I42" s="475" t="s">
        <v>2980</v>
      </c>
      <c r="J42" s="475" t="s">
        <v>2980</v>
      </c>
      <c r="K42" s="477" t="s">
        <v>2981</v>
      </c>
      <c r="L42" s="478" t="s">
        <v>2787</v>
      </c>
    </row>
    <row r="43">
      <c r="A43" s="474" t="s">
        <v>2982</v>
      </c>
      <c r="B43" s="475" t="s">
        <v>2983</v>
      </c>
      <c r="C43" s="475" t="s">
        <v>2984</v>
      </c>
      <c r="D43" s="476">
        <v>1.1</v>
      </c>
      <c r="E43" s="476">
        <v>1.1</v>
      </c>
      <c r="F43" s="475">
        <v>1.1</v>
      </c>
      <c r="G43" s="475" t="s">
        <v>2808</v>
      </c>
      <c r="H43" s="475" t="s">
        <v>2808</v>
      </c>
      <c r="I43" s="475" t="s">
        <v>2808</v>
      </c>
      <c r="J43" s="475" t="s">
        <v>2808</v>
      </c>
      <c r="K43" s="477" t="s">
        <v>2985</v>
      </c>
      <c r="L43" s="481"/>
    </row>
    <row r="44">
      <c r="A44" s="474" t="s">
        <v>2986</v>
      </c>
      <c r="B44" s="475" t="s">
        <v>2987</v>
      </c>
      <c r="C44" s="475" t="s">
        <v>2988</v>
      </c>
      <c r="D44" s="475" t="s">
        <v>2989</v>
      </c>
      <c r="E44" s="476" t="s">
        <v>2989</v>
      </c>
      <c r="F44" s="475" t="s">
        <v>2977</v>
      </c>
      <c r="G44" s="475" t="s">
        <v>2990</v>
      </c>
      <c r="H44" s="475" t="s">
        <v>2990</v>
      </c>
      <c r="I44" s="475" t="s">
        <v>2990</v>
      </c>
      <c r="J44" s="475" t="s">
        <v>2990</v>
      </c>
      <c r="K44" s="478" t="s">
        <v>2988</v>
      </c>
      <c r="L44" s="478" t="s">
        <v>2787</v>
      </c>
    </row>
    <row r="45">
      <c r="A45" s="474" t="s">
        <v>2991</v>
      </c>
      <c r="B45" s="475" t="s">
        <v>2992</v>
      </c>
      <c r="C45" s="475" t="s">
        <v>145</v>
      </c>
      <c r="D45" s="475" t="s">
        <v>2993</v>
      </c>
      <c r="E45" s="476" t="s">
        <v>2994</v>
      </c>
      <c r="F45" s="475" t="s">
        <v>2994</v>
      </c>
      <c r="G45" s="475" t="s">
        <v>2995</v>
      </c>
      <c r="H45" s="471" t="s">
        <v>2996</v>
      </c>
      <c r="I45" s="475" t="s">
        <v>2996</v>
      </c>
      <c r="J45" s="475" t="s">
        <v>2996</v>
      </c>
      <c r="K45" s="477" t="s">
        <v>2997</v>
      </c>
      <c r="L45" s="478" t="s">
        <v>2787</v>
      </c>
    </row>
    <row r="46">
      <c r="A46" s="486"/>
      <c r="B46" s="479"/>
      <c r="C46" s="479"/>
      <c r="D46" s="479"/>
      <c r="E46" s="483"/>
      <c r="K46" s="482"/>
      <c r="L46" s="481"/>
    </row>
    <row r="47">
      <c r="A47" s="486"/>
      <c r="B47" s="479"/>
      <c r="C47" s="479"/>
      <c r="D47" s="479"/>
      <c r="E47" s="483"/>
      <c r="K47" s="482"/>
      <c r="L47" s="481"/>
    </row>
  </sheetData>
  <hyperlinks>
    <hyperlink r:id="rId1" ref="B1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6.88"/>
    <col customWidth="1" min="2" max="2" width="41.13"/>
    <col customWidth="1" min="3" max="3" width="18.0"/>
    <col customWidth="1" min="4" max="5" width="15.13"/>
    <col customWidth="1" min="6" max="6" width="17.13"/>
    <col customWidth="1" min="7" max="7" width="17.75"/>
    <col customWidth="1" min="8" max="8" width="17.0"/>
    <col customWidth="1" min="9" max="9" width="64.38"/>
  </cols>
  <sheetData>
    <row r="1">
      <c r="A1" s="469" t="s">
        <v>2776</v>
      </c>
      <c r="B1" s="470"/>
      <c r="C1" s="471" t="s">
        <v>2777</v>
      </c>
      <c r="D1" s="471" t="s">
        <v>1929</v>
      </c>
      <c r="E1" s="471" t="s">
        <v>1930</v>
      </c>
      <c r="F1" s="471" t="s">
        <v>1931</v>
      </c>
      <c r="G1" s="471" t="s">
        <v>2124</v>
      </c>
      <c r="H1" s="471" t="s">
        <v>2125</v>
      </c>
      <c r="I1" s="472" t="s">
        <v>2779</v>
      </c>
    </row>
    <row r="2">
      <c r="A2" s="474" t="s">
        <v>2781</v>
      </c>
      <c r="B2" s="475" t="s">
        <v>2782</v>
      </c>
      <c r="C2" s="475" t="s">
        <v>2291</v>
      </c>
      <c r="D2" s="475" t="s">
        <v>2998</v>
      </c>
      <c r="E2" s="476" t="s">
        <v>2999</v>
      </c>
      <c r="F2" s="476" t="s">
        <v>2784</v>
      </c>
      <c r="G2" s="476" t="s">
        <v>2784</v>
      </c>
      <c r="H2" s="475" t="s">
        <v>2785</v>
      </c>
      <c r="I2" s="477" t="s">
        <v>2786</v>
      </c>
    </row>
    <row r="3">
      <c r="A3" s="474" t="s">
        <v>2788</v>
      </c>
      <c r="B3" s="475" t="s">
        <v>2622</v>
      </c>
      <c r="C3" s="479"/>
      <c r="D3" s="476">
        <v>4.3</v>
      </c>
      <c r="E3" s="476">
        <v>4.3</v>
      </c>
      <c r="F3" s="476">
        <v>4.3</v>
      </c>
      <c r="G3" s="476">
        <v>4.3</v>
      </c>
      <c r="H3" s="475">
        <v>4.3</v>
      </c>
      <c r="I3" s="480" t="s">
        <v>2789</v>
      </c>
    </row>
    <row r="4">
      <c r="A4" s="474" t="s">
        <v>2790</v>
      </c>
      <c r="B4" s="475" t="s">
        <v>2791</v>
      </c>
      <c r="C4" s="475" t="s">
        <v>162</v>
      </c>
      <c r="D4" s="475">
        <v>2.01306302E8</v>
      </c>
      <c r="E4" s="476">
        <v>2.01308023E8</v>
      </c>
      <c r="F4" s="476">
        <v>2.01308023E8</v>
      </c>
      <c r="G4" s="476">
        <v>2.01308023E8</v>
      </c>
      <c r="H4" s="471">
        <v>2.01404014E8</v>
      </c>
      <c r="I4" s="477" t="s">
        <v>2792</v>
      </c>
    </row>
    <row r="5">
      <c r="A5" s="474" t="s">
        <v>2793</v>
      </c>
      <c r="B5" s="475" t="s">
        <v>2794</v>
      </c>
      <c r="C5" s="475" t="s">
        <v>114</v>
      </c>
      <c r="D5" s="475" t="s">
        <v>3000</v>
      </c>
      <c r="E5" s="476" t="s">
        <v>3001</v>
      </c>
      <c r="F5" s="476" t="s">
        <v>2796</v>
      </c>
      <c r="G5" s="471" t="s">
        <v>2797</v>
      </c>
      <c r="H5" s="471" t="s">
        <v>2798</v>
      </c>
      <c r="I5" s="477" t="s">
        <v>2801</v>
      </c>
    </row>
    <row r="6">
      <c r="A6" s="475" t="s">
        <v>3002</v>
      </c>
      <c r="B6" s="475" t="s">
        <v>2794</v>
      </c>
      <c r="C6" s="475" t="s">
        <v>114</v>
      </c>
      <c r="D6" s="475" t="s">
        <v>3000</v>
      </c>
      <c r="E6" s="476" t="s">
        <v>3001</v>
      </c>
      <c r="F6" s="476" t="s">
        <v>2796</v>
      </c>
      <c r="G6" s="471" t="s">
        <v>2797</v>
      </c>
      <c r="H6" s="471" t="s">
        <v>2798</v>
      </c>
      <c r="I6" s="477" t="s">
        <v>3003</v>
      </c>
    </row>
    <row r="7">
      <c r="A7" s="474" t="s">
        <v>2805</v>
      </c>
      <c r="B7" s="475" t="s">
        <v>2806</v>
      </c>
      <c r="C7" s="475" t="s">
        <v>2807</v>
      </c>
      <c r="D7" s="475">
        <v>4.3</v>
      </c>
      <c r="E7" s="476">
        <v>4.3</v>
      </c>
      <c r="F7" s="476">
        <v>4.3</v>
      </c>
      <c r="G7" s="476">
        <v>4.3</v>
      </c>
      <c r="H7" s="475">
        <v>4.3</v>
      </c>
      <c r="I7" s="477" t="s">
        <v>3004</v>
      </c>
    </row>
    <row r="8">
      <c r="A8" s="474" t="s">
        <v>2802</v>
      </c>
      <c r="B8" s="475" t="s">
        <v>8</v>
      </c>
      <c r="C8" s="475" t="s">
        <v>2804</v>
      </c>
      <c r="D8" s="476">
        <v>4.3</v>
      </c>
      <c r="E8" s="476">
        <v>4.3</v>
      </c>
      <c r="F8" s="476">
        <v>4.3</v>
      </c>
      <c r="G8" s="476">
        <v>4.3</v>
      </c>
      <c r="H8" s="475">
        <v>4.3</v>
      </c>
      <c r="I8" s="477" t="s">
        <v>3005</v>
      </c>
    </row>
    <row r="9">
      <c r="A9" s="474" t="s">
        <v>2816</v>
      </c>
      <c r="B9" s="475" t="s">
        <v>2750</v>
      </c>
      <c r="C9" s="475" t="s">
        <v>179</v>
      </c>
      <c r="D9" s="475" t="s">
        <v>3006</v>
      </c>
      <c r="E9" s="476" t="s">
        <v>3006</v>
      </c>
      <c r="F9" s="476" t="s">
        <v>3006</v>
      </c>
      <c r="G9" s="476" t="s">
        <v>3006</v>
      </c>
      <c r="H9" s="475" t="s">
        <v>3006</v>
      </c>
      <c r="I9" s="477" t="s">
        <v>2818</v>
      </c>
    </row>
    <row r="10">
      <c r="A10" s="474" t="s">
        <v>2819</v>
      </c>
      <c r="B10" s="475" t="s">
        <v>2820</v>
      </c>
      <c r="C10" s="475" t="s">
        <v>3007</v>
      </c>
      <c r="D10" s="475" t="s">
        <v>331</v>
      </c>
      <c r="E10" s="476" t="s">
        <v>3008</v>
      </c>
      <c r="F10" s="476" t="s">
        <v>2821</v>
      </c>
      <c r="G10" s="476" t="s">
        <v>2821</v>
      </c>
      <c r="H10" s="471" t="s">
        <v>2822</v>
      </c>
      <c r="I10" s="477" t="s">
        <v>3009</v>
      </c>
    </row>
    <row r="11">
      <c r="A11" s="474" t="s">
        <v>2824</v>
      </c>
      <c r="B11" s="475" t="s">
        <v>1631</v>
      </c>
      <c r="C11" s="475" t="s">
        <v>1630</v>
      </c>
      <c r="D11" s="476">
        <v>4.3</v>
      </c>
      <c r="E11" s="476">
        <v>4.3</v>
      </c>
      <c r="F11" s="476">
        <v>4.3</v>
      </c>
      <c r="G11" s="476">
        <v>4.3</v>
      </c>
      <c r="H11" s="475">
        <v>4.3</v>
      </c>
      <c r="I11" s="477" t="s">
        <v>2825</v>
      </c>
    </row>
    <row r="12">
      <c r="A12" s="474" t="s">
        <v>2826</v>
      </c>
      <c r="B12" s="475" t="s">
        <v>2827</v>
      </c>
      <c r="C12" s="475" t="s">
        <v>3010</v>
      </c>
      <c r="D12" s="476" t="s">
        <v>3011</v>
      </c>
      <c r="E12" s="476" t="s">
        <v>3011</v>
      </c>
      <c r="F12" s="476" t="s">
        <v>3011</v>
      </c>
      <c r="G12" s="476" t="s">
        <v>3011</v>
      </c>
      <c r="H12" s="475" t="s">
        <v>3011</v>
      </c>
      <c r="I12" s="477" t="s">
        <v>2830</v>
      </c>
    </row>
    <row r="13">
      <c r="A13" s="474" t="s">
        <v>2831</v>
      </c>
      <c r="B13" s="475" t="s">
        <v>2832</v>
      </c>
      <c r="C13" s="475" t="s">
        <v>2346</v>
      </c>
      <c r="D13" s="476" t="s">
        <v>3012</v>
      </c>
      <c r="E13" s="476" t="s">
        <v>3012</v>
      </c>
      <c r="F13" s="476" t="s">
        <v>3012</v>
      </c>
      <c r="G13" s="476" t="s">
        <v>3012</v>
      </c>
      <c r="H13" s="475" t="s">
        <v>3012</v>
      </c>
      <c r="I13" s="477" t="s">
        <v>3013</v>
      </c>
    </row>
    <row r="14">
      <c r="A14" s="474" t="s">
        <v>2834</v>
      </c>
      <c r="B14" s="484" t="s">
        <v>2835</v>
      </c>
      <c r="C14" s="475" t="s">
        <v>123</v>
      </c>
      <c r="D14" s="475" t="s">
        <v>3014</v>
      </c>
      <c r="E14" s="476" t="s">
        <v>3015</v>
      </c>
      <c r="F14" s="476" t="s">
        <v>2836</v>
      </c>
      <c r="G14" s="476" t="s">
        <v>2836</v>
      </c>
      <c r="H14" s="471" t="s">
        <v>2837</v>
      </c>
      <c r="I14" s="477" t="s">
        <v>2839</v>
      </c>
    </row>
    <row r="15">
      <c r="A15" s="474" t="s">
        <v>2840</v>
      </c>
      <c r="B15" s="484" t="s">
        <v>2841</v>
      </c>
      <c r="C15" s="475" t="s">
        <v>2842</v>
      </c>
      <c r="D15" s="475" t="s">
        <v>3016</v>
      </c>
      <c r="E15" s="476" t="s">
        <v>3017</v>
      </c>
      <c r="F15" s="476" t="s">
        <v>2844</v>
      </c>
      <c r="G15" s="471" t="s">
        <v>2845</v>
      </c>
      <c r="H15" s="471" t="s">
        <v>2846</v>
      </c>
      <c r="I15" s="477" t="s">
        <v>3018</v>
      </c>
    </row>
    <row r="16">
      <c r="A16" s="474" t="s">
        <v>2848</v>
      </c>
      <c r="B16" s="475" t="s">
        <v>2849</v>
      </c>
      <c r="C16" s="475" t="s">
        <v>2850</v>
      </c>
      <c r="D16" s="476">
        <v>4.3</v>
      </c>
      <c r="E16" s="476">
        <v>4.3</v>
      </c>
      <c r="F16" s="476">
        <v>4.3</v>
      </c>
      <c r="G16" s="476">
        <v>4.3</v>
      </c>
      <c r="H16" s="475">
        <v>4.3</v>
      </c>
      <c r="I16" s="477" t="s">
        <v>2851</v>
      </c>
    </row>
    <row r="17">
      <c r="A17" s="474" t="s">
        <v>2852</v>
      </c>
      <c r="B17" s="475" t="s">
        <v>129</v>
      </c>
      <c r="C17" s="475" t="s">
        <v>2853</v>
      </c>
      <c r="D17" s="476">
        <v>4.3</v>
      </c>
      <c r="E17" s="476">
        <v>4.3</v>
      </c>
      <c r="F17" s="476">
        <v>4.3</v>
      </c>
      <c r="G17" s="476">
        <v>4.3</v>
      </c>
      <c r="H17" s="471" t="s">
        <v>2855</v>
      </c>
      <c r="I17" s="477" t="s">
        <v>2856</v>
      </c>
    </row>
    <row r="18">
      <c r="A18" s="474" t="s">
        <v>2863</v>
      </c>
      <c r="B18" s="475" t="s">
        <v>1100</v>
      </c>
      <c r="C18" s="475" t="s">
        <v>2864</v>
      </c>
      <c r="D18" s="476">
        <v>4.3</v>
      </c>
      <c r="E18" s="476">
        <v>4.3</v>
      </c>
      <c r="F18" s="476">
        <v>4.3</v>
      </c>
      <c r="G18" s="476">
        <v>4.3</v>
      </c>
      <c r="H18" s="475">
        <v>4.3</v>
      </c>
      <c r="I18" s="477" t="s">
        <v>2865</v>
      </c>
    </row>
    <row r="19">
      <c r="A19" s="474" t="s">
        <v>2866</v>
      </c>
      <c r="B19" s="475" t="s">
        <v>23</v>
      </c>
      <c r="C19" s="475" t="s">
        <v>2867</v>
      </c>
      <c r="D19" s="476">
        <v>4.3</v>
      </c>
      <c r="E19" s="476">
        <v>4.3</v>
      </c>
      <c r="F19" s="476">
        <v>4.3</v>
      </c>
      <c r="G19" s="476">
        <v>4.3</v>
      </c>
      <c r="H19" s="475">
        <v>4.3</v>
      </c>
      <c r="I19" s="477" t="s">
        <v>2868</v>
      </c>
    </row>
    <row r="20">
      <c r="A20" s="474" t="s">
        <v>2869</v>
      </c>
      <c r="B20" s="475" t="s">
        <v>2213</v>
      </c>
      <c r="C20" s="475" t="s">
        <v>2870</v>
      </c>
      <c r="D20" s="476">
        <v>4.3</v>
      </c>
      <c r="E20" s="476">
        <v>4.3</v>
      </c>
      <c r="F20" s="476">
        <v>4.3</v>
      </c>
      <c r="G20" s="476">
        <v>4.3</v>
      </c>
      <c r="H20" s="475">
        <v>4.3</v>
      </c>
      <c r="I20" s="477" t="s">
        <v>2871</v>
      </c>
    </row>
    <row r="21">
      <c r="A21" s="474" t="s">
        <v>2875</v>
      </c>
      <c r="B21" s="475" t="s">
        <v>28</v>
      </c>
      <c r="C21" s="475" t="s">
        <v>26</v>
      </c>
      <c r="D21" s="476">
        <v>4.3</v>
      </c>
      <c r="E21" s="476">
        <v>4.3</v>
      </c>
      <c r="F21" s="476">
        <v>4.3</v>
      </c>
      <c r="G21" s="476">
        <v>4.3</v>
      </c>
      <c r="H21" s="475">
        <v>4.3</v>
      </c>
      <c r="I21" s="477" t="s">
        <v>2877</v>
      </c>
    </row>
    <row r="22">
      <c r="A22" s="474" t="s">
        <v>2878</v>
      </c>
      <c r="B22" s="475" t="s">
        <v>38</v>
      </c>
      <c r="C22" s="475" t="s">
        <v>2879</v>
      </c>
      <c r="D22" s="476">
        <v>4.3</v>
      </c>
      <c r="E22" s="476">
        <v>4.3</v>
      </c>
      <c r="F22" s="476">
        <v>4.3</v>
      </c>
      <c r="G22" s="476">
        <v>4.3</v>
      </c>
      <c r="H22" s="475">
        <v>4.3</v>
      </c>
      <c r="I22" s="477" t="s">
        <v>2880</v>
      </c>
    </row>
    <row r="23">
      <c r="A23" s="474" t="s">
        <v>2881</v>
      </c>
      <c r="B23" s="484" t="s">
        <v>2882</v>
      </c>
      <c r="C23" s="475" t="s">
        <v>2883</v>
      </c>
      <c r="D23" s="476" t="s">
        <v>3019</v>
      </c>
      <c r="E23" s="476" t="s">
        <v>2884</v>
      </c>
      <c r="F23" s="476" t="s">
        <v>2885</v>
      </c>
      <c r="G23" s="471" t="s">
        <v>2886</v>
      </c>
      <c r="H23" s="471" t="s">
        <v>2887</v>
      </c>
      <c r="I23" s="477" t="s">
        <v>2888</v>
      </c>
    </row>
    <row r="24">
      <c r="A24" s="475" t="s">
        <v>2889</v>
      </c>
      <c r="B24" s="475" t="s">
        <v>2890</v>
      </c>
      <c r="C24" s="475" t="s">
        <v>1798</v>
      </c>
      <c r="D24" s="475" t="s">
        <v>3020</v>
      </c>
      <c r="E24" s="476" t="s">
        <v>3021</v>
      </c>
      <c r="F24" s="476" t="s">
        <v>2892</v>
      </c>
      <c r="G24" s="476" t="s">
        <v>2892</v>
      </c>
      <c r="H24" s="475" t="s">
        <v>2893</v>
      </c>
      <c r="I24" s="482"/>
    </row>
    <row r="25">
      <c r="A25" s="474" t="s">
        <v>2896</v>
      </c>
      <c r="B25" s="475" t="s">
        <v>2897</v>
      </c>
      <c r="C25" s="475" t="s">
        <v>2898</v>
      </c>
      <c r="D25" s="476" t="s">
        <v>3022</v>
      </c>
      <c r="E25" s="476" t="s">
        <v>2900</v>
      </c>
      <c r="F25" s="476" t="s">
        <v>2900</v>
      </c>
      <c r="G25" s="471" t="s">
        <v>2901</v>
      </c>
      <c r="H25" s="475" t="s">
        <v>2901</v>
      </c>
      <c r="I25" s="477" t="s">
        <v>2898</v>
      </c>
    </row>
    <row r="26">
      <c r="A26" s="474" t="s">
        <v>2909</v>
      </c>
      <c r="B26" s="475" t="s">
        <v>2910</v>
      </c>
      <c r="C26" s="475" t="s">
        <v>131</v>
      </c>
      <c r="D26" s="475" t="s">
        <v>3023</v>
      </c>
      <c r="E26" s="476" t="s">
        <v>3024</v>
      </c>
      <c r="F26" s="476" t="s">
        <v>2912</v>
      </c>
      <c r="G26" s="476" t="s">
        <v>2912</v>
      </c>
      <c r="H26" s="471" t="s">
        <v>2913</v>
      </c>
      <c r="I26" s="477" t="s">
        <v>2915</v>
      </c>
    </row>
    <row r="27">
      <c r="A27" s="474" t="s">
        <v>2917</v>
      </c>
      <c r="B27" s="474" t="s">
        <v>2918</v>
      </c>
      <c r="C27" s="475" t="s">
        <v>2919</v>
      </c>
      <c r="D27" s="479"/>
      <c r="E27" s="483"/>
      <c r="F27" s="483"/>
      <c r="G27" s="483"/>
      <c r="H27" s="479"/>
      <c r="I27" s="480" t="s">
        <v>2920</v>
      </c>
    </row>
    <row r="28">
      <c r="A28" s="474" t="s">
        <v>2903</v>
      </c>
      <c r="B28" s="475" t="s">
        <v>2904</v>
      </c>
      <c r="C28" s="475" t="s">
        <v>2905</v>
      </c>
      <c r="D28" s="475" t="s">
        <v>3025</v>
      </c>
      <c r="E28" s="476" t="s">
        <v>3026</v>
      </c>
      <c r="F28" s="476" t="s">
        <v>2906</v>
      </c>
      <c r="G28" s="471" t="s">
        <v>2907</v>
      </c>
      <c r="H28" s="471" t="s">
        <v>2908</v>
      </c>
      <c r="I28" s="478" t="s">
        <v>2905</v>
      </c>
    </row>
    <row r="29">
      <c r="A29" s="474" t="s">
        <v>2921</v>
      </c>
      <c r="B29" s="475" t="s">
        <v>2922</v>
      </c>
      <c r="C29" s="474" t="s">
        <v>2923</v>
      </c>
      <c r="D29" s="483"/>
      <c r="E29" s="483"/>
      <c r="F29" s="483"/>
      <c r="G29" s="483"/>
      <c r="H29" s="479"/>
      <c r="I29" s="477" t="s">
        <v>2924</v>
      </c>
    </row>
    <row r="30">
      <c r="A30" s="474" t="s">
        <v>2925</v>
      </c>
      <c r="B30" s="475" t="s">
        <v>2926</v>
      </c>
      <c r="C30" s="475" t="s">
        <v>2927</v>
      </c>
      <c r="D30" s="476" t="s">
        <v>2928</v>
      </c>
      <c r="E30" s="476" t="s">
        <v>2928</v>
      </c>
      <c r="F30" s="476" t="s">
        <v>2928</v>
      </c>
      <c r="G30" s="476" t="s">
        <v>2928</v>
      </c>
      <c r="H30" s="475" t="s">
        <v>2928</v>
      </c>
      <c r="I30" s="477" t="s">
        <v>2929</v>
      </c>
    </row>
    <row r="31">
      <c r="A31" s="474" t="s">
        <v>2930</v>
      </c>
      <c r="B31" s="475" t="s">
        <v>2931</v>
      </c>
      <c r="C31" s="475" t="s">
        <v>3027</v>
      </c>
      <c r="D31" s="475" t="s">
        <v>3028</v>
      </c>
      <c r="E31" s="476" t="s">
        <v>3029</v>
      </c>
      <c r="F31" s="476" t="s">
        <v>2934</v>
      </c>
      <c r="G31" s="476" t="s">
        <v>2934</v>
      </c>
      <c r="H31" s="471" t="s">
        <v>2935</v>
      </c>
      <c r="I31" s="477" t="s">
        <v>3030</v>
      </c>
    </row>
    <row r="32">
      <c r="A32" s="474" t="s">
        <v>3031</v>
      </c>
      <c r="B32" s="475" t="s">
        <v>3032</v>
      </c>
      <c r="C32" s="475" t="s">
        <v>3033</v>
      </c>
      <c r="D32" s="476" t="s">
        <v>3034</v>
      </c>
      <c r="E32" s="476" t="s">
        <v>3034</v>
      </c>
      <c r="F32" s="476" t="s">
        <v>3034</v>
      </c>
      <c r="G32" s="476" t="s">
        <v>3034</v>
      </c>
      <c r="H32" s="475" t="s">
        <v>3034</v>
      </c>
      <c r="I32" s="477" t="s">
        <v>3035</v>
      </c>
    </row>
    <row r="33">
      <c r="A33" s="474" t="s">
        <v>3036</v>
      </c>
      <c r="B33" s="475" t="s">
        <v>263</v>
      </c>
      <c r="C33" s="475" t="s">
        <v>2873</v>
      </c>
      <c r="D33" s="476">
        <v>4.3</v>
      </c>
      <c r="E33" s="476">
        <v>4.3</v>
      </c>
      <c r="F33" s="476">
        <v>4.3</v>
      </c>
      <c r="G33" s="476">
        <v>4.3</v>
      </c>
      <c r="H33" s="475">
        <v>4.3</v>
      </c>
      <c r="I33" s="477" t="s">
        <v>2874</v>
      </c>
    </row>
    <row r="34">
      <c r="A34" s="474" t="s">
        <v>2937</v>
      </c>
      <c r="B34" s="479"/>
      <c r="C34" s="479"/>
      <c r="D34" s="483"/>
      <c r="E34" s="483"/>
      <c r="F34" s="483"/>
      <c r="G34" s="483"/>
      <c r="H34" s="479"/>
      <c r="I34" s="477" t="s">
        <v>2938</v>
      </c>
    </row>
    <row r="35">
      <c r="A35" s="474" t="s">
        <v>2946</v>
      </c>
      <c r="B35" s="475" t="s">
        <v>2947</v>
      </c>
      <c r="C35" s="475" t="s">
        <v>2948</v>
      </c>
      <c r="D35" s="475" t="s">
        <v>1521</v>
      </c>
      <c r="E35" s="476" t="s">
        <v>2949</v>
      </c>
      <c r="F35" s="476" t="s">
        <v>2950</v>
      </c>
      <c r="G35" s="476" t="s">
        <v>2950</v>
      </c>
      <c r="H35" s="471" t="s">
        <v>2951</v>
      </c>
      <c r="I35" s="477" t="s">
        <v>2953</v>
      </c>
    </row>
    <row r="36">
      <c r="A36" s="474" t="s">
        <v>2939</v>
      </c>
      <c r="B36" s="475" t="s">
        <v>50</v>
      </c>
      <c r="C36" s="475" t="s">
        <v>2940</v>
      </c>
      <c r="D36" s="475" t="s">
        <v>3037</v>
      </c>
      <c r="E36" s="476" t="s">
        <v>2941</v>
      </c>
      <c r="F36" s="476" t="s">
        <v>2941</v>
      </c>
      <c r="G36" s="471" t="s">
        <v>2942</v>
      </c>
      <c r="H36" s="471" t="s">
        <v>2943</v>
      </c>
      <c r="I36" s="477" t="s">
        <v>3038</v>
      </c>
    </row>
    <row r="37">
      <c r="A37" s="474" t="s">
        <v>2954</v>
      </c>
      <c r="B37" s="475" t="s">
        <v>2955</v>
      </c>
      <c r="C37" s="475" t="s">
        <v>2334</v>
      </c>
      <c r="D37" s="475" t="s">
        <v>3039</v>
      </c>
      <c r="E37" s="476" t="s">
        <v>3040</v>
      </c>
      <c r="F37" s="476" t="s">
        <v>2957</v>
      </c>
      <c r="G37" s="471" t="s">
        <v>2958</v>
      </c>
      <c r="H37" s="471" t="s">
        <v>2959</v>
      </c>
      <c r="I37" s="477" t="s">
        <v>2960</v>
      </c>
    </row>
    <row r="38">
      <c r="A38" s="474" t="s">
        <v>2961</v>
      </c>
      <c r="B38" s="475" t="s">
        <v>55</v>
      </c>
      <c r="C38" s="475" t="s">
        <v>53</v>
      </c>
      <c r="D38" s="476">
        <v>1.3</v>
      </c>
      <c r="E38" s="476">
        <v>1.3</v>
      </c>
      <c r="F38" s="476">
        <v>1.3</v>
      </c>
      <c r="G38" s="476">
        <v>1.3</v>
      </c>
      <c r="H38" s="475">
        <v>1.3</v>
      </c>
      <c r="I38" s="477" t="s">
        <v>2962</v>
      </c>
    </row>
    <row r="39">
      <c r="A39" s="474" t="s">
        <v>2963</v>
      </c>
      <c r="B39" s="475" t="s">
        <v>2964</v>
      </c>
      <c r="C39" s="475" t="s">
        <v>2965</v>
      </c>
      <c r="D39" s="476" t="s">
        <v>2650</v>
      </c>
      <c r="E39" s="476" t="s">
        <v>2650</v>
      </c>
      <c r="F39" s="476" t="s">
        <v>2650</v>
      </c>
      <c r="G39" s="476" t="s">
        <v>2650</v>
      </c>
      <c r="H39" s="475" t="s">
        <v>2650</v>
      </c>
      <c r="I39" s="477" t="s">
        <v>2966</v>
      </c>
    </row>
    <row r="40">
      <c r="A40" s="474" t="s">
        <v>2968</v>
      </c>
      <c r="B40" s="475" t="s">
        <v>329</v>
      </c>
      <c r="C40" s="475" t="s">
        <v>2969</v>
      </c>
      <c r="D40" s="476">
        <v>1.1</v>
      </c>
      <c r="E40" s="476">
        <v>1.1</v>
      </c>
      <c r="F40" s="476">
        <v>1.1</v>
      </c>
      <c r="G40" s="476">
        <v>1.1</v>
      </c>
      <c r="H40" s="475">
        <v>1.1</v>
      </c>
      <c r="I40" s="477" t="s">
        <v>2970</v>
      </c>
    </row>
    <row r="41">
      <c r="A41" s="474" t="s">
        <v>2971</v>
      </c>
      <c r="B41" s="475" t="s">
        <v>2972</v>
      </c>
      <c r="C41" s="475" t="s">
        <v>198</v>
      </c>
      <c r="D41" s="475" t="s">
        <v>2639</v>
      </c>
      <c r="E41" s="476" t="s">
        <v>2584</v>
      </c>
      <c r="F41" s="476" t="s">
        <v>2584</v>
      </c>
      <c r="G41" s="476" t="s">
        <v>2584</v>
      </c>
      <c r="H41" s="475" t="s">
        <v>2584</v>
      </c>
      <c r="I41" s="477" t="s">
        <v>2973</v>
      </c>
    </row>
    <row r="42">
      <c r="A42" s="474" t="s">
        <v>2974</v>
      </c>
      <c r="B42" s="475" t="s">
        <v>2975</v>
      </c>
      <c r="C42" s="475" t="s">
        <v>2976</v>
      </c>
      <c r="D42" s="475" t="s">
        <v>3041</v>
      </c>
      <c r="E42" s="476" t="s">
        <v>3042</v>
      </c>
      <c r="F42" s="476" t="s">
        <v>2722</v>
      </c>
      <c r="G42" s="471" t="s">
        <v>2978</v>
      </c>
      <c r="H42" s="471" t="s">
        <v>2979</v>
      </c>
      <c r="I42" s="477" t="s">
        <v>2981</v>
      </c>
    </row>
    <row r="43">
      <c r="A43" s="474" t="s">
        <v>2982</v>
      </c>
      <c r="B43" s="475" t="s">
        <v>2983</v>
      </c>
      <c r="C43" s="475" t="s">
        <v>2984</v>
      </c>
      <c r="D43" s="476">
        <v>1.1</v>
      </c>
      <c r="E43" s="476">
        <v>1.1</v>
      </c>
      <c r="F43" s="476">
        <v>1.1</v>
      </c>
      <c r="G43" s="476">
        <v>1.1</v>
      </c>
      <c r="H43" s="475" t="s">
        <v>2808</v>
      </c>
      <c r="I43" s="477" t="s">
        <v>2985</v>
      </c>
    </row>
    <row r="44">
      <c r="A44" s="474" t="s">
        <v>2986</v>
      </c>
      <c r="B44" s="475" t="s">
        <v>2987</v>
      </c>
      <c r="C44" s="475" t="s">
        <v>139</v>
      </c>
      <c r="D44" s="475" t="s">
        <v>3043</v>
      </c>
      <c r="E44" s="476" t="s">
        <v>2989</v>
      </c>
      <c r="F44" s="476" t="s">
        <v>2989</v>
      </c>
      <c r="G44" s="471" t="s">
        <v>2977</v>
      </c>
      <c r="H44" s="471" t="s">
        <v>2990</v>
      </c>
      <c r="I44" s="477" t="s">
        <v>3044</v>
      </c>
    </row>
    <row r="45">
      <c r="A45" s="474" t="s">
        <v>3045</v>
      </c>
      <c r="B45" s="475" t="s">
        <v>3046</v>
      </c>
      <c r="C45" s="475" t="s">
        <v>3047</v>
      </c>
      <c r="D45" s="476" t="s">
        <v>2344</v>
      </c>
      <c r="E45" s="476" t="s">
        <v>2344</v>
      </c>
      <c r="F45" s="476" t="s">
        <v>2344</v>
      </c>
      <c r="G45" s="476" t="s">
        <v>2344</v>
      </c>
      <c r="H45" s="475" t="s">
        <v>2344</v>
      </c>
      <c r="I45" s="477" t="s">
        <v>3048</v>
      </c>
    </row>
    <row r="46">
      <c r="A46" s="474" t="s">
        <v>2991</v>
      </c>
      <c r="B46" s="475" t="s">
        <v>2992</v>
      </c>
      <c r="C46" s="475" t="s">
        <v>145</v>
      </c>
      <c r="D46" s="475" t="s">
        <v>3049</v>
      </c>
      <c r="E46" s="476" t="s">
        <v>3050</v>
      </c>
      <c r="F46" s="476" t="s">
        <v>2994</v>
      </c>
      <c r="G46" s="476" t="s">
        <v>2994</v>
      </c>
      <c r="H46" s="471" t="s">
        <v>2995</v>
      </c>
      <c r="I46" s="477" t="s">
        <v>2997</v>
      </c>
    </row>
  </sheetData>
  <hyperlinks>
    <hyperlink r:id="rId1" ref="B1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6.88"/>
    <col customWidth="1" min="2" max="2" width="41.13"/>
    <col customWidth="1" min="3" max="3" width="18.0"/>
    <col customWidth="1" min="4" max="4" width="15.13"/>
    <col customWidth="1" min="5" max="6" width="14.5"/>
    <col customWidth="1" min="7" max="7" width="15.13"/>
    <col customWidth="1" min="8" max="8" width="17.75"/>
    <col customWidth="1" min="9" max="9" width="16.63"/>
    <col customWidth="1" min="10" max="10" width="85.13"/>
  </cols>
  <sheetData>
    <row r="1">
      <c r="A1" s="469" t="s">
        <v>2776</v>
      </c>
      <c r="B1" s="470"/>
      <c r="C1" s="471" t="s">
        <v>2777</v>
      </c>
      <c r="D1" s="471" t="s">
        <v>3051</v>
      </c>
      <c r="E1" s="471" t="s">
        <v>3052</v>
      </c>
      <c r="F1" s="471" t="s">
        <v>3053</v>
      </c>
      <c r="G1" s="471" t="s">
        <v>2124</v>
      </c>
      <c r="H1" s="471" t="s">
        <v>2125</v>
      </c>
      <c r="I1" s="471" t="s">
        <v>2126</v>
      </c>
      <c r="J1" s="472" t="s">
        <v>2779</v>
      </c>
    </row>
    <row r="2">
      <c r="A2" s="474" t="s">
        <v>2781</v>
      </c>
      <c r="B2" s="475" t="s">
        <v>2782</v>
      </c>
      <c r="C2" s="475" t="s">
        <v>2291</v>
      </c>
      <c r="D2" s="487" t="s">
        <v>3054</v>
      </c>
      <c r="E2" s="476" t="s">
        <v>3055</v>
      </c>
      <c r="F2" s="475" t="s">
        <v>3056</v>
      </c>
      <c r="G2" s="475" t="s">
        <v>2783</v>
      </c>
      <c r="H2" s="475" t="s">
        <v>2784</v>
      </c>
      <c r="I2" s="475" t="s">
        <v>2784</v>
      </c>
      <c r="J2" s="477" t="s">
        <v>2786</v>
      </c>
    </row>
    <row r="3">
      <c r="A3" s="474" t="s">
        <v>2788</v>
      </c>
      <c r="B3" s="475" t="s">
        <v>2622</v>
      </c>
      <c r="C3" s="475" t="s">
        <v>3057</v>
      </c>
      <c r="D3" s="476" t="s">
        <v>2666</v>
      </c>
      <c r="E3" s="476" t="s">
        <v>3058</v>
      </c>
      <c r="F3" s="476" t="s">
        <v>3058</v>
      </c>
      <c r="G3" s="476" t="s">
        <v>3058</v>
      </c>
      <c r="H3" s="475" t="s">
        <v>3058</v>
      </c>
      <c r="I3" s="475" t="s">
        <v>3058</v>
      </c>
      <c r="J3" s="480" t="s">
        <v>2789</v>
      </c>
    </row>
    <row r="4">
      <c r="A4" s="474" t="s">
        <v>2790</v>
      </c>
      <c r="B4" s="475" t="s">
        <v>2791</v>
      </c>
      <c r="C4" s="475" t="s">
        <v>162</v>
      </c>
      <c r="D4" s="487">
        <v>2.0121206E8</v>
      </c>
      <c r="E4" s="475">
        <v>2.0121206E8</v>
      </c>
      <c r="F4" s="475">
        <v>2.0130528E8</v>
      </c>
      <c r="G4" s="475">
        <v>2.01306302E8</v>
      </c>
      <c r="H4" s="475">
        <v>2.01308023E8</v>
      </c>
      <c r="I4" s="475">
        <v>2.01308023E8</v>
      </c>
      <c r="J4" s="477" t="s">
        <v>2792</v>
      </c>
    </row>
    <row r="5">
      <c r="A5" s="474" t="s">
        <v>2793</v>
      </c>
      <c r="B5" s="475" t="s">
        <v>2794</v>
      </c>
      <c r="C5" s="475" t="s">
        <v>114</v>
      </c>
      <c r="D5" s="487" t="s">
        <v>3059</v>
      </c>
      <c r="E5" s="475" t="s">
        <v>3060</v>
      </c>
      <c r="F5" s="475" t="s">
        <v>3000</v>
      </c>
      <c r="G5" s="475" t="s">
        <v>3061</v>
      </c>
      <c r="H5" s="475" t="s">
        <v>2796</v>
      </c>
      <c r="I5" s="471" t="s">
        <v>2797</v>
      </c>
      <c r="J5" s="477" t="s">
        <v>2801</v>
      </c>
    </row>
    <row r="6">
      <c r="A6" s="475" t="s">
        <v>3002</v>
      </c>
      <c r="B6" s="475" t="s">
        <v>2794</v>
      </c>
      <c r="C6" s="475" t="s">
        <v>114</v>
      </c>
      <c r="D6" s="487" t="s">
        <v>3062</v>
      </c>
      <c r="E6" s="475" t="s">
        <v>3063</v>
      </c>
      <c r="F6" s="475" t="s">
        <v>3000</v>
      </c>
      <c r="G6" s="475" t="s">
        <v>3061</v>
      </c>
      <c r="H6" s="475" t="s">
        <v>2796</v>
      </c>
      <c r="I6" s="471" t="s">
        <v>2797</v>
      </c>
      <c r="J6" s="477" t="s">
        <v>3003</v>
      </c>
    </row>
    <row r="7">
      <c r="A7" s="474" t="s">
        <v>2805</v>
      </c>
      <c r="B7" s="475" t="s">
        <v>2806</v>
      </c>
      <c r="C7" s="475" t="s">
        <v>2807</v>
      </c>
      <c r="D7" s="476" t="s">
        <v>2666</v>
      </c>
      <c r="E7" s="475" t="s">
        <v>3058</v>
      </c>
      <c r="F7" s="475" t="s">
        <v>3058</v>
      </c>
      <c r="G7" s="476" t="s">
        <v>3058</v>
      </c>
      <c r="H7" s="475" t="s">
        <v>3058</v>
      </c>
      <c r="I7" s="475" t="s">
        <v>3058</v>
      </c>
      <c r="J7" s="477" t="s">
        <v>3004</v>
      </c>
    </row>
    <row r="8">
      <c r="A8" s="474" t="s">
        <v>2802</v>
      </c>
      <c r="B8" s="475" t="s">
        <v>8</v>
      </c>
      <c r="C8" s="475" t="s">
        <v>2804</v>
      </c>
      <c r="D8" s="483"/>
      <c r="E8" s="483"/>
      <c r="F8" s="476" t="s">
        <v>3058</v>
      </c>
      <c r="G8" s="476" t="s">
        <v>3058</v>
      </c>
      <c r="H8" s="475" t="s">
        <v>2666</v>
      </c>
      <c r="I8" s="475" t="s">
        <v>2666</v>
      </c>
      <c r="J8" s="477" t="s">
        <v>3005</v>
      </c>
    </row>
    <row r="9">
      <c r="A9" s="474" t="s">
        <v>2816</v>
      </c>
      <c r="B9" s="475" t="s">
        <v>2750</v>
      </c>
      <c r="C9" s="475" t="s">
        <v>179</v>
      </c>
      <c r="D9" s="476" t="s">
        <v>3006</v>
      </c>
      <c r="E9" s="475" t="s">
        <v>3006</v>
      </c>
      <c r="F9" s="475" t="s">
        <v>3006</v>
      </c>
      <c r="G9" s="475" t="s">
        <v>3006</v>
      </c>
      <c r="H9" s="475" t="s">
        <v>3006</v>
      </c>
      <c r="I9" s="475" t="s">
        <v>3006</v>
      </c>
      <c r="J9" s="477" t="s">
        <v>2818</v>
      </c>
    </row>
    <row r="10">
      <c r="A10" s="474" t="s">
        <v>2824</v>
      </c>
      <c r="B10" s="475" t="s">
        <v>1631</v>
      </c>
      <c r="C10" s="475" t="s">
        <v>1630</v>
      </c>
      <c r="D10" s="476" t="s">
        <v>2666</v>
      </c>
      <c r="E10" s="476" t="s">
        <v>3058</v>
      </c>
      <c r="F10" s="475" t="s">
        <v>3058</v>
      </c>
      <c r="G10" s="476" t="s">
        <v>3058</v>
      </c>
      <c r="H10" s="475" t="s">
        <v>3058</v>
      </c>
      <c r="I10" s="475" t="s">
        <v>3058</v>
      </c>
      <c r="J10" s="477" t="s">
        <v>2825</v>
      </c>
    </row>
    <row r="11">
      <c r="A11" s="474" t="s">
        <v>2826</v>
      </c>
      <c r="B11" s="475" t="s">
        <v>2827</v>
      </c>
      <c r="C11" s="475" t="s">
        <v>3010</v>
      </c>
      <c r="D11" s="476" t="s">
        <v>3064</v>
      </c>
      <c r="E11" s="476" t="s">
        <v>3064</v>
      </c>
      <c r="F11" s="476" t="s">
        <v>3064</v>
      </c>
      <c r="G11" s="475" t="s">
        <v>3064</v>
      </c>
      <c r="H11" s="475" t="s">
        <v>3064</v>
      </c>
      <c r="I11" s="475" t="s">
        <v>3064</v>
      </c>
      <c r="J11" s="477" t="s">
        <v>2830</v>
      </c>
    </row>
    <row r="12">
      <c r="A12" s="474" t="s">
        <v>2831</v>
      </c>
      <c r="B12" s="475" t="s">
        <v>2832</v>
      </c>
      <c r="C12" s="475" t="s">
        <v>2346</v>
      </c>
      <c r="D12" s="476" t="s">
        <v>3012</v>
      </c>
      <c r="E12" s="476" t="s">
        <v>3012</v>
      </c>
      <c r="F12" s="476" t="s">
        <v>3012</v>
      </c>
      <c r="G12" s="475" t="s">
        <v>3012</v>
      </c>
      <c r="H12" s="475" t="s">
        <v>3012</v>
      </c>
      <c r="I12" s="475" t="s">
        <v>3012</v>
      </c>
      <c r="J12" s="477" t="s">
        <v>3013</v>
      </c>
    </row>
    <row r="13">
      <c r="A13" s="474" t="s">
        <v>2834</v>
      </c>
      <c r="B13" s="484" t="s">
        <v>2835</v>
      </c>
      <c r="C13" s="475" t="s">
        <v>123</v>
      </c>
      <c r="D13" s="487" t="s">
        <v>2666</v>
      </c>
      <c r="E13" s="475" t="s">
        <v>2702</v>
      </c>
      <c r="F13" s="475" t="s">
        <v>3014</v>
      </c>
      <c r="G13" s="475" t="s">
        <v>3065</v>
      </c>
      <c r="H13" s="475" t="s">
        <v>2836</v>
      </c>
      <c r="I13" s="475" t="s">
        <v>2836</v>
      </c>
      <c r="J13" s="477" t="s">
        <v>2839</v>
      </c>
    </row>
    <row r="14">
      <c r="A14" s="474" t="s">
        <v>2840</v>
      </c>
      <c r="B14" s="484" t="s">
        <v>2841</v>
      </c>
      <c r="C14" s="475" t="s">
        <v>2842</v>
      </c>
      <c r="D14" s="487" t="s">
        <v>3066</v>
      </c>
      <c r="E14" s="475" t="s">
        <v>3067</v>
      </c>
      <c r="F14" s="475" t="s">
        <v>3016</v>
      </c>
      <c r="G14" s="475" t="s">
        <v>3068</v>
      </c>
      <c r="H14" s="475" t="s">
        <v>2844</v>
      </c>
      <c r="I14" s="471" t="s">
        <v>2845</v>
      </c>
      <c r="J14" s="477" t="s">
        <v>3018</v>
      </c>
    </row>
    <row r="15">
      <c r="A15" s="474" t="s">
        <v>2848</v>
      </c>
      <c r="B15" s="475" t="s">
        <v>2849</v>
      </c>
      <c r="C15" s="475" t="s">
        <v>2850</v>
      </c>
      <c r="D15" s="476" t="s">
        <v>2666</v>
      </c>
      <c r="E15" s="476" t="s">
        <v>3058</v>
      </c>
      <c r="F15" s="476" t="s">
        <v>3058</v>
      </c>
      <c r="G15" s="475" t="s">
        <v>3058</v>
      </c>
      <c r="H15" s="475" t="s">
        <v>3058</v>
      </c>
      <c r="I15" s="475" t="s">
        <v>3058</v>
      </c>
      <c r="J15" s="477" t="s">
        <v>2851</v>
      </c>
    </row>
    <row r="16">
      <c r="A16" s="474" t="s">
        <v>2852</v>
      </c>
      <c r="B16" s="475" t="s">
        <v>129</v>
      </c>
      <c r="C16" s="475" t="s">
        <v>2853</v>
      </c>
      <c r="D16" s="476" t="s">
        <v>2666</v>
      </c>
      <c r="E16" s="476" t="s">
        <v>3058</v>
      </c>
      <c r="F16" s="476" t="s">
        <v>3058</v>
      </c>
      <c r="G16" s="476" t="s">
        <v>3058</v>
      </c>
      <c r="H16" s="475" t="s">
        <v>3058</v>
      </c>
      <c r="I16" s="475" t="s">
        <v>3058</v>
      </c>
      <c r="J16" s="477" t="s">
        <v>2856</v>
      </c>
    </row>
    <row r="17">
      <c r="A17" s="474" t="s">
        <v>2863</v>
      </c>
      <c r="B17" s="475" t="s">
        <v>1100</v>
      </c>
      <c r="C17" s="475" t="s">
        <v>2864</v>
      </c>
      <c r="D17" s="476" t="s">
        <v>2666</v>
      </c>
      <c r="E17" s="476" t="s">
        <v>3058</v>
      </c>
      <c r="F17" s="476" t="s">
        <v>3058</v>
      </c>
      <c r="G17" s="476" t="s">
        <v>3058</v>
      </c>
      <c r="H17" s="475" t="s">
        <v>3058</v>
      </c>
      <c r="I17" s="475" t="s">
        <v>3058</v>
      </c>
      <c r="J17" s="477" t="s">
        <v>2865</v>
      </c>
    </row>
    <row r="18">
      <c r="A18" s="474" t="s">
        <v>2866</v>
      </c>
      <c r="B18" s="475" t="s">
        <v>23</v>
      </c>
      <c r="C18" s="475" t="s">
        <v>2867</v>
      </c>
      <c r="D18" s="476" t="s">
        <v>2666</v>
      </c>
      <c r="E18" s="476" t="s">
        <v>3058</v>
      </c>
      <c r="F18" s="476" t="s">
        <v>3058</v>
      </c>
      <c r="G18" s="476" t="s">
        <v>3058</v>
      </c>
      <c r="H18" s="475" t="s">
        <v>3058</v>
      </c>
      <c r="I18" s="475" t="s">
        <v>3058</v>
      </c>
      <c r="J18" s="477" t="s">
        <v>2868</v>
      </c>
    </row>
    <row r="19">
      <c r="A19" s="474" t="s">
        <v>2869</v>
      </c>
      <c r="B19" s="475" t="s">
        <v>2213</v>
      </c>
      <c r="C19" s="475" t="s">
        <v>2870</v>
      </c>
      <c r="D19" s="476" t="s">
        <v>2666</v>
      </c>
      <c r="E19" s="476" t="s">
        <v>3058</v>
      </c>
      <c r="F19" s="476" t="s">
        <v>3058</v>
      </c>
      <c r="G19" s="476" t="s">
        <v>3058</v>
      </c>
      <c r="H19" s="475" t="s">
        <v>3058</v>
      </c>
      <c r="I19" s="475" t="s">
        <v>3058</v>
      </c>
      <c r="J19" s="477" t="s">
        <v>2871</v>
      </c>
    </row>
    <row r="20">
      <c r="A20" s="474" t="s">
        <v>2875</v>
      </c>
      <c r="B20" s="475" t="s">
        <v>28</v>
      </c>
      <c r="C20" s="475" t="s">
        <v>26</v>
      </c>
      <c r="D20" s="476" t="s">
        <v>2666</v>
      </c>
      <c r="E20" s="476" t="s">
        <v>3058</v>
      </c>
      <c r="F20" s="476" t="s">
        <v>3058</v>
      </c>
      <c r="G20" s="476" t="s">
        <v>3058</v>
      </c>
      <c r="H20" s="475" t="s">
        <v>3058</v>
      </c>
      <c r="I20" s="475" t="s">
        <v>3058</v>
      </c>
      <c r="J20" s="477" t="s">
        <v>2877</v>
      </c>
    </row>
    <row r="21">
      <c r="A21" s="474" t="s">
        <v>2878</v>
      </c>
      <c r="B21" s="475" t="s">
        <v>38</v>
      </c>
      <c r="C21" s="475" t="s">
        <v>2879</v>
      </c>
      <c r="D21" s="476" t="s">
        <v>2666</v>
      </c>
      <c r="E21" s="476" t="s">
        <v>3058</v>
      </c>
      <c r="F21" s="476" t="s">
        <v>3058</v>
      </c>
      <c r="G21" s="476" t="s">
        <v>3058</v>
      </c>
      <c r="H21" s="475" t="s">
        <v>3058</v>
      </c>
      <c r="I21" s="475" t="s">
        <v>3058</v>
      </c>
      <c r="J21" s="477" t="s">
        <v>2880</v>
      </c>
    </row>
    <row r="22">
      <c r="A22" s="474" t="s">
        <v>2881</v>
      </c>
      <c r="B22" s="484" t="s">
        <v>2882</v>
      </c>
      <c r="C22" s="475" t="s">
        <v>2883</v>
      </c>
      <c r="D22" s="476" t="s">
        <v>2666</v>
      </c>
      <c r="E22" s="476" t="s">
        <v>3058</v>
      </c>
      <c r="F22" s="476" t="s">
        <v>3058</v>
      </c>
      <c r="G22" s="476" t="s">
        <v>2884</v>
      </c>
      <c r="H22" s="475" t="s">
        <v>2885</v>
      </c>
      <c r="I22" s="471" t="s">
        <v>2886</v>
      </c>
      <c r="J22" s="477" t="s">
        <v>2888</v>
      </c>
    </row>
    <row r="23">
      <c r="A23" s="475" t="s">
        <v>2889</v>
      </c>
      <c r="B23" s="475" t="s">
        <v>2890</v>
      </c>
      <c r="C23" s="475" t="s">
        <v>1798</v>
      </c>
      <c r="D23" s="483"/>
      <c r="E23" s="483"/>
      <c r="F23" s="475" t="s">
        <v>3020</v>
      </c>
      <c r="G23" s="475" t="s">
        <v>2891</v>
      </c>
      <c r="H23" s="475" t="s">
        <v>2892</v>
      </c>
      <c r="I23" s="475" t="s">
        <v>2892</v>
      </c>
      <c r="J23" s="482"/>
    </row>
    <row r="24">
      <c r="A24" s="474" t="s">
        <v>2896</v>
      </c>
      <c r="B24" s="475" t="s">
        <v>2897</v>
      </c>
      <c r="C24" s="475" t="s">
        <v>2898</v>
      </c>
      <c r="D24" s="476" t="s">
        <v>2666</v>
      </c>
      <c r="E24" s="476" t="s">
        <v>3058</v>
      </c>
      <c r="F24" s="476" t="s">
        <v>3022</v>
      </c>
      <c r="G24" s="475" t="s">
        <v>3022</v>
      </c>
      <c r="H24" s="475" t="s">
        <v>2900</v>
      </c>
      <c r="I24" s="471" t="s">
        <v>3069</v>
      </c>
      <c r="J24" s="477" t="s">
        <v>2898</v>
      </c>
    </row>
    <row r="25">
      <c r="A25" s="474" t="s">
        <v>2909</v>
      </c>
      <c r="B25" s="475" t="s">
        <v>2910</v>
      </c>
      <c r="C25" s="475" t="s">
        <v>131</v>
      </c>
      <c r="D25" s="487" t="s">
        <v>3070</v>
      </c>
      <c r="E25" s="476" t="s">
        <v>3071</v>
      </c>
      <c r="F25" s="475" t="s">
        <v>3023</v>
      </c>
      <c r="G25" s="476" t="s">
        <v>3023</v>
      </c>
      <c r="H25" s="475" t="s">
        <v>2912</v>
      </c>
      <c r="I25" s="475" t="s">
        <v>2912</v>
      </c>
      <c r="J25" s="477" t="s">
        <v>2915</v>
      </c>
    </row>
    <row r="26">
      <c r="A26" s="474" t="s">
        <v>2917</v>
      </c>
      <c r="B26" s="474" t="s">
        <v>2918</v>
      </c>
      <c r="C26" s="475" t="s">
        <v>2919</v>
      </c>
      <c r="D26" s="479"/>
      <c r="E26" s="479"/>
      <c r="F26" s="479"/>
      <c r="G26" s="479"/>
      <c r="H26" s="479"/>
      <c r="I26" s="479"/>
      <c r="J26" s="480" t="s">
        <v>2920</v>
      </c>
    </row>
    <row r="27">
      <c r="A27" s="474" t="s">
        <v>2903</v>
      </c>
      <c r="B27" s="475" t="s">
        <v>2904</v>
      </c>
      <c r="C27" s="475" t="s">
        <v>2905</v>
      </c>
      <c r="D27" s="471" t="s">
        <v>3072</v>
      </c>
      <c r="E27" s="475" t="s">
        <v>3073</v>
      </c>
      <c r="F27" s="475" t="s">
        <v>3025</v>
      </c>
      <c r="G27" s="475" t="s">
        <v>2817</v>
      </c>
      <c r="H27" s="475" t="s">
        <v>2906</v>
      </c>
      <c r="I27" s="471" t="s">
        <v>2907</v>
      </c>
      <c r="J27" s="478" t="s">
        <v>2905</v>
      </c>
    </row>
    <row r="28">
      <c r="A28" s="474" t="s">
        <v>2921</v>
      </c>
      <c r="B28" s="475" t="s">
        <v>2922</v>
      </c>
      <c r="C28" s="474" t="s">
        <v>2923</v>
      </c>
      <c r="D28" s="483"/>
      <c r="E28" s="483"/>
      <c r="F28" s="483"/>
      <c r="G28" s="479"/>
      <c r="H28" s="479"/>
      <c r="I28" s="479"/>
      <c r="J28" s="477" t="s">
        <v>2924</v>
      </c>
    </row>
    <row r="29">
      <c r="A29" s="474" t="s">
        <v>2925</v>
      </c>
      <c r="B29" s="475" t="s">
        <v>2926</v>
      </c>
      <c r="C29" s="475" t="s">
        <v>2927</v>
      </c>
      <c r="D29" s="487" t="s">
        <v>2928</v>
      </c>
      <c r="E29" s="476" t="s">
        <v>2928</v>
      </c>
      <c r="F29" s="476" t="s">
        <v>2928</v>
      </c>
      <c r="G29" s="475" t="s">
        <v>2928</v>
      </c>
      <c r="H29" s="475" t="s">
        <v>2928</v>
      </c>
      <c r="I29" s="475" t="s">
        <v>2928</v>
      </c>
      <c r="J29" s="477" t="s">
        <v>2929</v>
      </c>
    </row>
    <row r="30">
      <c r="A30" s="474" t="s">
        <v>2930</v>
      </c>
      <c r="B30" s="475" t="s">
        <v>2931</v>
      </c>
      <c r="C30" s="475" t="s">
        <v>3027</v>
      </c>
      <c r="D30" s="487" t="s">
        <v>3074</v>
      </c>
      <c r="E30" s="475" t="s">
        <v>3075</v>
      </c>
      <c r="F30" s="475" t="s">
        <v>3076</v>
      </c>
      <c r="G30" s="475" t="s">
        <v>2933</v>
      </c>
      <c r="H30" s="475" t="s">
        <v>2934</v>
      </c>
      <c r="I30" s="475" t="s">
        <v>2934</v>
      </c>
      <c r="J30" s="477" t="s">
        <v>3030</v>
      </c>
    </row>
    <row r="31">
      <c r="A31" s="474" t="s">
        <v>3031</v>
      </c>
      <c r="B31" s="475" t="s">
        <v>3032</v>
      </c>
      <c r="C31" s="475" t="s">
        <v>3033</v>
      </c>
      <c r="D31" s="476" t="s">
        <v>3034</v>
      </c>
      <c r="E31" s="476" t="s">
        <v>3034</v>
      </c>
      <c r="F31" s="476" t="s">
        <v>3034</v>
      </c>
      <c r="G31" s="475" t="s">
        <v>3034</v>
      </c>
      <c r="H31" s="475" t="s">
        <v>3034</v>
      </c>
      <c r="I31" s="475" t="s">
        <v>3034</v>
      </c>
      <c r="J31" s="477" t="s">
        <v>3035</v>
      </c>
    </row>
    <row r="32">
      <c r="A32" s="474" t="s">
        <v>3036</v>
      </c>
      <c r="B32" s="475" t="s">
        <v>263</v>
      </c>
      <c r="C32" s="475" t="s">
        <v>2873</v>
      </c>
      <c r="D32" s="476" t="s">
        <v>2666</v>
      </c>
      <c r="E32" s="476" t="s">
        <v>3058</v>
      </c>
      <c r="F32" s="476" t="s">
        <v>3058</v>
      </c>
      <c r="G32" s="476" t="s">
        <v>3058</v>
      </c>
      <c r="H32" s="475" t="s">
        <v>3058</v>
      </c>
      <c r="I32" s="475" t="s">
        <v>3058</v>
      </c>
      <c r="J32" s="477" t="s">
        <v>2874</v>
      </c>
    </row>
    <row r="33">
      <c r="A33" s="474" t="s">
        <v>2937</v>
      </c>
      <c r="B33" s="479"/>
      <c r="C33" s="479"/>
      <c r="D33" s="483"/>
      <c r="E33" s="483"/>
      <c r="F33" s="483"/>
      <c r="G33" s="479"/>
      <c r="H33" s="479"/>
      <c r="I33" s="479"/>
      <c r="J33" s="477" t="s">
        <v>2938</v>
      </c>
    </row>
    <row r="34">
      <c r="A34" s="474" t="s">
        <v>2939</v>
      </c>
      <c r="B34" s="475" t="s">
        <v>50</v>
      </c>
      <c r="C34" s="475" t="s">
        <v>2940</v>
      </c>
      <c r="D34" s="487" t="s">
        <v>3077</v>
      </c>
      <c r="E34" s="475" t="s">
        <v>3078</v>
      </c>
      <c r="F34" s="475" t="s">
        <v>3079</v>
      </c>
      <c r="G34" s="475" t="s">
        <v>3079</v>
      </c>
      <c r="H34" s="475" t="s">
        <v>2941</v>
      </c>
      <c r="I34" s="471" t="s">
        <v>2942</v>
      </c>
      <c r="J34" s="477" t="s">
        <v>3080</v>
      </c>
    </row>
    <row r="35">
      <c r="A35" s="475" t="s">
        <v>2946</v>
      </c>
      <c r="B35" s="475" t="s">
        <v>2947</v>
      </c>
      <c r="C35" s="475" t="s">
        <v>2948</v>
      </c>
      <c r="D35" s="488"/>
      <c r="E35" s="479"/>
      <c r="F35" s="475" t="s">
        <v>1521</v>
      </c>
      <c r="G35" s="475" t="s">
        <v>2949</v>
      </c>
      <c r="H35" s="475" t="s">
        <v>2950</v>
      </c>
      <c r="I35" s="475" t="s">
        <v>2950</v>
      </c>
      <c r="J35" s="477" t="s">
        <v>3081</v>
      </c>
    </row>
    <row r="36">
      <c r="A36" s="474" t="s">
        <v>2954</v>
      </c>
      <c r="B36" s="475" t="s">
        <v>2955</v>
      </c>
      <c r="C36" s="475" t="s">
        <v>2334</v>
      </c>
      <c r="D36" s="487" t="s">
        <v>3082</v>
      </c>
      <c r="E36" s="475" t="s">
        <v>3083</v>
      </c>
      <c r="F36" s="475" t="s">
        <v>3039</v>
      </c>
      <c r="G36" s="475" t="s">
        <v>2956</v>
      </c>
      <c r="H36" s="475" t="s">
        <v>2957</v>
      </c>
      <c r="I36" s="471" t="s">
        <v>2958</v>
      </c>
      <c r="J36" s="477" t="s">
        <v>2960</v>
      </c>
    </row>
    <row r="37">
      <c r="A37" s="474" t="s">
        <v>2961</v>
      </c>
      <c r="B37" s="475" t="s">
        <v>55</v>
      </c>
      <c r="C37" s="475" t="s">
        <v>53</v>
      </c>
      <c r="D37" s="476">
        <v>1.3</v>
      </c>
      <c r="E37" s="476">
        <v>1.3</v>
      </c>
      <c r="F37" s="476">
        <v>1.3</v>
      </c>
      <c r="G37" s="475">
        <v>1.3</v>
      </c>
      <c r="H37" s="475">
        <v>1.3</v>
      </c>
      <c r="I37" s="475">
        <v>1.3</v>
      </c>
      <c r="J37" s="477" t="s">
        <v>2962</v>
      </c>
    </row>
    <row r="38">
      <c r="A38" s="474" t="s">
        <v>2963</v>
      </c>
      <c r="B38" s="475" t="s">
        <v>2964</v>
      </c>
      <c r="C38" s="475" t="s">
        <v>2965</v>
      </c>
      <c r="D38" s="476" t="s">
        <v>2650</v>
      </c>
      <c r="E38" s="476" t="s">
        <v>2650</v>
      </c>
      <c r="F38" s="476" t="s">
        <v>2650</v>
      </c>
      <c r="G38" s="475" t="s">
        <v>2650</v>
      </c>
      <c r="H38" s="475" t="s">
        <v>2650</v>
      </c>
      <c r="I38" s="475" t="s">
        <v>2650</v>
      </c>
      <c r="J38" s="477" t="s">
        <v>2966</v>
      </c>
    </row>
    <row r="39">
      <c r="A39" s="474" t="s">
        <v>2968</v>
      </c>
      <c r="B39" s="475" t="s">
        <v>329</v>
      </c>
      <c r="C39" s="475" t="s">
        <v>2969</v>
      </c>
      <c r="D39" s="476">
        <v>1.1</v>
      </c>
      <c r="E39" s="476">
        <v>1.1</v>
      </c>
      <c r="F39" s="476">
        <v>1.1</v>
      </c>
      <c r="G39" s="475">
        <v>1.1</v>
      </c>
      <c r="H39" s="475">
        <v>1.1</v>
      </c>
      <c r="I39" s="475">
        <v>1.1</v>
      </c>
      <c r="J39" s="477" t="s">
        <v>2970</v>
      </c>
    </row>
    <row r="40">
      <c r="A40" s="474" t="s">
        <v>3084</v>
      </c>
      <c r="B40" s="475" t="s">
        <v>2890</v>
      </c>
      <c r="C40" s="475" t="s">
        <v>3085</v>
      </c>
      <c r="D40" s="476" t="s">
        <v>2666</v>
      </c>
      <c r="E40" s="476" t="s">
        <v>3058</v>
      </c>
      <c r="F40" s="479"/>
      <c r="G40" s="479"/>
      <c r="H40" s="479"/>
      <c r="I40" s="479"/>
      <c r="J40" s="477" t="s">
        <v>3086</v>
      </c>
    </row>
    <row r="41">
      <c r="A41" s="474" t="s">
        <v>2971</v>
      </c>
      <c r="B41" s="475" t="s">
        <v>2972</v>
      </c>
      <c r="C41" s="475" t="s">
        <v>198</v>
      </c>
      <c r="D41" s="487" t="s">
        <v>2908</v>
      </c>
      <c r="E41" s="476" t="s">
        <v>3087</v>
      </c>
      <c r="F41" s="475" t="s">
        <v>2639</v>
      </c>
      <c r="G41" s="475" t="s">
        <v>3088</v>
      </c>
      <c r="H41" s="475" t="s">
        <v>2584</v>
      </c>
      <c r="I41" s="475" t="s">
        <v>2584</v>
      </c>
      <c r="J41" s="477" t="s">
        <v>2973</v>
      </c>
    </row>
    <row r="42">
      <c r="A42" s="474" t="s">
        <v>2974</v>
      </c>
      <c r="B42" s="475" t="s">
        <v>2975</v>
      </c>
      <c r="C42" s="475" t="s">
        <v>2976</v>
      </c>
      <c r="D42" s="487" t="s">
        <v>3089</v>
      </c>
      <c r="E42" s="475" t="s">
        <v>3090</v>
      </c>
      <c r="F42" s="475" t="s">
        <v>3041</v>
      </c>
      <c r="G42" s="475" t="s">
        <v>3091</v>
      </c>
      <c r="H42" s="475" t="s">
        <v>2722</v>
      </c>
      <c r="I42" s="471" t="s">
        <v>2978</v>
      </c>
      <c r="J42" s="477" t="s">
        <v>2981</v>
      </c>
    </row>
    <row r="43">
      <c r="A43" s="474" t="s">
        <v>2982</v>
      </c>
      <c r="B43" s="475" t="s">
        <v>2983</v>
      </c>
      <c r="C43" s="475" t="s">
        <v>2984</v>
      </c>
      <c r="D43" s="476">
        <v>1.1</v>
      </c>
      <c r="E43" s="476">
        <v>1.1</v>
      </c>
      <c r="F43" s="476">
        <v>1.1</v>
      </c>
      <c r="G43" s="475">
        <v>1.1</v>
      </c>
      <c r="H43" s="475">
        <v>1.1</v>
      </c>
      <c r="I43" s="475">
        <v>1.1</v>
      </c>
      <c r="J43" s="477" t="s">
        <v>2985</v>
      </c>
    </row>
    <row r="44">
      <c r="A44" s="474" t="s">
        <v>2986</v>
      </c>
      <c r="B44" s="475" t="s">
        <v>2987</v>
      </c>
      <c r="C44" s="475" t="s">
        <v>139</v>
      </c>
      <c r="D44" s="487" t="s">
        <v>3092</v>
      </c>
      <c r="E44" s="475" t="s">
        <v>3093</v>
      </c>
      <c r="F44" s="475" t="s">
        <v>3043</v>
      </c>
      <c r="G44" s="475" t="s">
        <v>3094</v>
      </c>
      <c r="H44" s="475" t="s">
        <v>2989</v>
      </c>
      <c r="I44" s="471" t="s">
        <v>2977</v>
      </c>
      <c r="J44" s="477" t="s">
        <v>3044</v>
      </c>
    </row>
    <row r="45">
      <c r="A45" s="474" t="s">
        <v>3045</v>
      </c>
      <c r="B45" s="475" t="s">
        <v>3046</v>
      </c>
      <c r="C45" s="475" t="s">
        <v>3047</v>
      </c>
      <c r="D45" s="476" t="s">
        <v>2344</v>
      </c>
      <c r="E45" s="476" t="s">
        <v>2344</v>
      </c>
      <c r="F45" s="476" t="s">
        <v>2344</v>
      </c>
      <c r="G45" s="475" t="s">
        <v>2344</v>
      </c>
      <c r="H45" s="475" t="s">
        <v>2344</v>
      </c>
      <c r="I45" s="475" t="s">
        <v>2344</v>
      </c>
      <c r="J45" s="477" t="s">
        <v>3048</v>
      </c>
    </row>
    <row r="46">
      <c r="A46" s="474" t="s">
        <v>2991</v>
      </c>
      <c r="B46" s="475" t="s">
        <v>2992</v>
      </c>
      <c r="C46" s="475" t="s">
        <v>145</v>
      </c>
      <c r="D46" s="487" t="s">
        <v>3095</v>
      </c>
      <c r="E46" s="475" t="s">
        <v>3096</v>
      </c>
      <c r="F46" s="475" t="s">
        <v>3049</v>
      </c>
      <c r="G46" s="475" t="s">
        <v>3097</v>
      </c>
      <c r="H46" s="475" t="s">
        <v>2994</v>
      </c>
      <c r="I46" s="475" t="s">
        <v>2994</v>
      </c>
      <c r="J46" s="477" t="s">
        <v>2997</v>
      </c>
    </row>
    <row r="47">
      <c r="A47" s="486"/>
      <c r="B47" s="479"/>
      <c r="C47" s="479"/>
      <c r="D47" s="488"/>
      <c r="J47" s="482"/>
    </row>
    <row r="48">
      <c r="A48" s="486"/>
      <c r="B48" s="479"/>
      <c r="C48" s="479"/>
      <c r="D48" s="488"/>
      <c r="J48" s="482"/>
    </row>
    <row r="49">
      <c r="A49" s="486"/>
      <c r="B49" s="479"/>
      <c r="C49" s="479"/>
      <c r="D49" s="488"/>
      <c r="J49" s="482"/>
    </row>
  </sheetData>
  <hyperlinks>
    <hyperlink r:id="rId1" ref="B13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6.88"/>
    <col customWidth="1" min="2" max="2" width="28.5"/>
    <col customWidth="1" min="3" max="3" width="18.0"/>
    <col customWidth="1" min="4" max="5" width="9.63"/>
    <col customWidth="1" min="6" max="8" width="12.25"/>
    <col customWidth="1" min="9" max="9" width="13.63"/>
    <col customWidth="1" min="10" max="10" width="73.75"/>
  </cols>
  <sheetData>
    <row r="1">
      <c r="A1" s="469" t="s">
        <v>2776</v>
      </c>
      <c r="B1" s="470"/>
      <c r="C1" s="471" t="s">
        <v>2777</v>
      </c>
      <c r="D1" s="471" t="s">
        <v>1929</v>
      </c>
      <c r="E1" s="471" t="s">
        <v>3098</v>
      </c>
      <c r="F1" s="471" t="s">
        <v>3099</v>
      </c>
      <c r="G1" s="471" t="s">
        <v>3100</v>
      </c>
      <c r="H1" s="471" t="s">
        <v>3101</v>
      </c>
      <c r="I1" s="471" t="s">
        <v>3102</v>
      </c>
      <c r="J1" s="472" t="s">
        <v>2779</v>
      </c>
    </row>
    <row r="2">
      <c r="A2" s="474" t="s">
        <v>2781</v>
      </c>
      <c r="B2" s="475" t="s">
        <v>2782</v>
      </c>
      <c r="C2" s="475" t="s">
        <v>2291</v>
      </c>
      <c r="D2" s="476" t="s">
        <v>3103</v>
      </c>
      <c r="E2" s="476" t="s">
        <v>3103</v>
      </c>
      <c r="F2" s="487" t="s">
        <v>3104</v>
      </c>
      <c r="G2" s="487" t="s">
        <v>3054</v>
      </c>
      <c r="H2" s="471" t="s">
        <v>3055</v>
      </c>
      <c r="I2" s="471" t="s">
        <v>3056</v>
      </c>
      <c r="J2" s="477" t="s">
        <v>2786</v>
      </c>
    </row>
    <row r="3">
      <c r="A3" s="474" t="s">
        <v>2788</v>
      </c>
      <c r="B3" s="475" t="s">
        <v>2622</v>
      </c>
      <c r="C3" s="475" t="s">
        <v>3057</v>
      </c>
      <c r="D3" s="475" t="s">
        <v>3105</v>
      </c>
      <c r="E3" s="476" t="s">
        <v>3105</v>
      </c>
      <c r="F3" s="476" t="s">
        <v>3106</v>
      </c>
      <c r="G3" s="476" t="s">
        <v>3106</v>
      </c>
      <c r="H3" s="475" t="s">
        <v>3106</v>
      </c>
      <c r="I3" s="475" t="s">
        <v>3106</v>
      </c>
      <c r="J3" s="477" t="s">
        <v>3107</v>
      </c>
    </row>
    <row r="4">
      <c r="A4" s="474" t="s">
        <v>2790</v>
      </c>
      <c r="B4" s="475" t="s">
        <v>2791</v>
      </c>
      <c r="C4" s="475" t="s">
        <v>162</v>
      </c>
      <c r="D4" s="475" t="s">
        <v>3105</v>
      </c>
      <c r="E4" s="476" t="s">
        <v>3105</v>
      </c>
      <c r="F4" s="476" t="s">
        <v>3106</v>
      </c>
      <c r="G4" s="476" t="s">
        <v>3106</v>
      </c>
      <c r="H4" s="475" t="s">
        <v>3106</v>
      </c>
      <c r="I4" s="471">
        <v>2.0130528E8</v>
      </c>
      <c r="J4" s="477" t="s">
        <v>2792</v>
      </c>
    </row>
    <row r="5">
      <c r="A5" s="474" t="s">
        <v>2793</v>
      </c>
      <c r="B5" s="475" t="s">
        <v>2794</v>
      </c>
      <c r="C5" s="475" t="s">
        <v>114</v>
      </c>
      <c r="D5" s="475" t="s">
        <v>3108</v>
      </c>
      <c r="E5" s="487" t="s">
        <v>3109</v>
      </c>
      <c r="F5" s="471" t="s">
        <v>3110</v>
      </c>
      <c r="G5" s="487" t="s">
        <v>3059</v>
      </c>
      <c r="H5" s="471" t="s">
        <v>3111</v>
      </c>
      <c r="I5" s="471" t="s">
        <v>3000</v>
      </c>
      <c r="J5" s="482"/>
    </row>
    <row r="6">
      <c r="A6" s="475" t="s">
        <v>3002</v>
      </c>
      <c r="B6" s="475" t="s">
        <v>2794</v>
      </c>
      <c r="C6" s="475" t="s">
        <v>114</v>
      </c>
      <c r="D6" s="479"/>
      <c r="E6" s="483"/>
      <c r="F6" s="479"/>
      <c r="G6" s="487" t="s">
        <v>3062</v>
      </c>
      <c r="H6" s="471" t="s">
        <v>3063</v>
      </c>
      <c r="I6" s="471" t="s">
        <v>3000</v>
      </c>
      <c r="J6" s="482"/>
    </row>
    <row r="7">
      <c r="A7" s="474" t="s">
        <v>2805</v>
      </c>
      <c r="B7" s="475" t="s">
        <v>2806</v>
      </c>
      <c r="C7" s="475" t="s">
        <v>2807</v>
      </c>
      <c r="D7" s="475" t="s">
        <v>3105</v>
      </c>
      <c r="E7" s="476" t="s">
        <v>3105</v>
      </c>
      <c r="F7" s="476" t="s">
        <v>3106</v>
      </c>
      <c r="G7" s="476" t="s">
        <v>3106</v>
      </c>
      <c r="H7" s="475" t="s">
        <v>3106</v>
      </c>
      <c r="I7" s="475" t="s">
        <v>3106</v>
      </c>
      <c r="J7" s="477" t="s">
        <v>3004</v>
      </c>
    </row>
    <row r="8">
      <c r="A8" s="474" t="s">
        <v>2816</v>
      </c>
      <c r="B8" s="475" t="s">
        <v>2750</v>
      </c>
      <c r="C8" s="475" t="s">
        <v>179</v>
      </c>
      <c r="D8" s="475" t="s">
        <v>3006</v>
      </c>
      <c r="E8" s="476" t="s">
        <v>3006</v>
      </c>
      <c r="F8" s="476" t="s">
        <v>3006</v>
      </c>
      <c r="G8" s="476" t="s">
        <v>3006</v>
      </c>
      <c r="H8" s="475" t="s">
        <v>3006</v>
      </c>
      <c r="I8" s="475" t="s">
        <v>3006</v>
      </c>
      <c r="J8" s="477" t="s">
        <v>2818</v>
      </c>
    </row>
    <row r="9">
      <c r="A9" s="474" t="s">
        <v>2824</v>
      </c>
      <c r="B9" s="475" t="s">
        <v>1631</v>
      </c>
      <c r="C9" s="475" t="s">
        <v>1630</v>
      </c>
      <c r="D9" s="475" t="s">
        <v>3105</v>
      </c>
      <c r="E9" s="476" t="s">
        <v>3105</v>
      </c>
      <c r="F9" s="476" t="s">
        <v>3106</v>
      </c>
      <c r="G9" s="476" t="s">
        <v>3106</v>
      </c>
      <c r="H9" s="475" t="s">
        <v>3106</v>
      </c>
      <c r="I9" s="475" t="s">
        <v>3106</v>
      </c>
      <c r="J9" s="477" t="s">
        <v>2825</v>
      </c>
    </row>
    <row r="10">
      <c r="A10" s="474" t="s">
        <v>2826</v>
      </c>
      <c r="B10" s="475" t="s">
        <v>2827</v>
      </c>
      <c r="C10" s="475" t="s">
        <v>3010</v>
      </c>
      <c r="D10" s="475" t="s">
        <v>3112</v>
      </c>
      <c r="E10" s="476" t="s">
        <v>3112</v>
      </c>
      <c r="F10" s="476" t="s">
        <v>3112</v>
      </c>
      <c r="G10" s="476" t="s">
        <v>3112</v>
      </c>
      <c r="H10" s="475" t="s">
        <v>3112</v>
      </c>
      <c r="I10" s="475" t="s">
        <v>3112</v>
      </c>
      <c r="J10" s="477" t="s">
        <v>2830</v>
      </c>
    </row>
    <row r="11">
      <c r="A11" s="474" t="s">
        <v>2831</v>
      </c>
      <c r="B11" s="475" t="s">
        <v>2832</v>
      </c>
      <c r="C11" s="475" t="s">
        <v>2346</v>
      </c>
      <c r="D11" s="475" t="s">
        <v>3012</v>
      </c>
      <c r="E11" s="476" t="s">
        <v>3012</v>
      </c>
      <c r="F11" s="476" t="s">
        <v>3012</v>
      </c>
      <c r="G11" s="476" t="s">
        <v>3012</v>
      </c>
      <c r="H11" s="475" t="s">
        <v>3012</v>
      </c>
      <c r="I11" s="475" t="s">
        <v>3012</v>
      </c>
      <c r="J11" s="477" t="s">
        <v>3013</v>
      </c>
    </row>
    <row r="12">
      <c r="A12" s="474" t="s">
        <v>2834</v>
      </c>
      <c r="B12" s="484" t="s">
        <v>2835</v>
      </c>
      <c r="C12" s="475" t="s">
        <v>123</v>
      </c>
      <c r="D12" s="476" t="s">
        <v>3106</v>
      </c>
      <c r="E12" s="476" t="s">
        <v>3106</v>
      </c>
      <c r="F12" s="476" t="s">
        <v>3106</v>
      </c>
      <c r="G12" s="487" t="s">
        <v>2666</v>
      </c>
      <c r="H12" s="471" t="s">
        <v>2702</v>
      </c>
      <c r="I12" s="471" t="s">
        <v>3014</v>
      </c>
      <c r="J12" s="477" t="s">
        <v>2839</v>
      </c>
    </row>
    <row r="13">
      <c r="A13" s="474" t="s">
        <v>2840</v>
      </c>
      <c r="B13" s="484" t="s">
        <v>2841</v>
      </c>
      <c r="C13" s="475" t="s">
        <v>3113</v>
      </c>
      <c r="D13" s="476">
        <v>1.0</v>
      </c>
      <c r="E13" s="476">
        <v>1.0</v>
      </c>
      <c r="F13" s="487" t="s">
        <v>3114</v>
      </c>
      <c r="G13" s="476" t="s">
        <v>3114</v>
      </c>
      <c r="H13" s="471" t="s">
        <v>3067</v>
      </c>
      <c r="I13" s="471" t="s">
        <v>3016</v>
      </c>
      <c r="J13" s="478" t="s">
        <v>3113</v>
      </c>
    </row>
    <row r="14">
      <c r="A14" s="474" t="s">
        <v>2848</v>
      </c>
      <c r="B14" s="475" t="s">
        <v>2849</v>
      </c>
      <c r="C14" s="475" t="s">
        <v>2850</v>
      </c>
      <c r="D14" s="476" t="s">
        <v>3105</v>
      </c>
      <c r="E14" s="476" t="s">
        <v>3105</v>
      </c>
      <c r="F14" s="476" t="s">
        <v>3106</v>
      </c>
      <c r="G14" s="476" t="s">
        <v>3106</v>
      </c>
      <c r="H14" s="475" t="s">
        <v>3106</v>
      </c>
      <c r="I14" s="475" t="s">
        <v>3106</v>
      </c>
      <c r="J14" s="477" t="s">
        <v>2851</v>
      </c>
    </row>
    <row r="15">
      <c r="A15" s="474" t="s">
        <v>2852</v>
      </c>
      <c r="B15" s="475" t="s">
        <v>129</v>
      </c>
      <c r="C15" s="475" t="s">
        <v>2853</v>
      </c>
      <c r="D15" s="476" t="s">
        <v>3105</v>
      </c>
      <c r="E15" s="476" t="s">
        <v>3105</v>
      </c>
      <c r="F15" s="476" t="s">
        <v>3106</v>
      </c>
      <c r="G15" s="476" t="s">
        <v>3106</v>
      </c>
      <c r="H15" s="475" t="s">
        <v>3106</v>
      </c>
      <c r="I15" s="475" t="s">
        <v>3106</v>
      </c>
      <c r="J15" s="477" t="s">
        <v>2856</v>
      </c>
    </row>
    <row r="16">
      <c r="A16" s="474" t="s">
        <v>2863</v>
      </c>
      <c r="B16" s="475" t="s">
        <v>1100</v>
      </c>
      <c r="C16" s="475" t="s">
        <v>2864</v>
      </c>
      <c r="D16" s="476" t="s">
        <v>3105</v>
      </c>
      <c r="E16" s="476" t="s">
        <v>3105</v>
      </c>
      <c r="F16" s="476" t="s">
        <v>3106</v>
      </c>
      <c r="G16" s="476" t="s">
        <v>3106</v>
      </c>
      <c r="H16" s="475" t="s">
        <v>3106</v>
      </c>
      <c r="I16" s="475" t="s">
        <v>3106</v>
      </c>
      <c r="J16" s="477" t="s">
        <v>2865</v>
      </c>
    </row>
    <row r="17">
      <c r="A17" s="474" t="s">
        <v>2866</v>
      </c>
      <c r="B17" s="475" t="s">
        <v>23</v>
      </c>
      <c r="C17" s="475" t="s">
        <v>2867</v>
      </c>
      <c r="D17" s="476" t="s">
        <v>3105</v>
      </c>
      <c r="E17" s="476" t="s">
        <v>3105</v>
      </c>
      <c r="F17" s="476" t="s">
        <v>3106</v>
      </c>
      <c r="G17" s="476" t="s">
        <v>3106</v>
      </c>
      <c r="H17" s="475" t="s">
        <v>3106</v>
      </c>
      <c r="I17" s="475" t="s">
        <v>3106</v>
      </c>
      <c r="J17" s="477" t="s">
        <v>2868</v>
      </c>
    </row>
    <row r="18">
      <c r="A18" s="474" t="s">
        <v>2869</v>
      </c>
      <c r="B18" s="475" t="s">
        <v>2213</v>
      </c>
      <c r="C18" s="475" t="s">
        <v>2870</v>
      </c>
      <c r="D18" s="475" t="s">
        <v>3105</v>
      </c>
      <c r="E18" s="476" t="s">
        <v>3105</v>
      </c>
      <c r="F18" s="476" t="s">
        <v>3106</v>
      </c>
      <c r="G18" s="476" t="s">
        <v>3106</v>
      </c>
      <c r="H18" s="475" t="s">
        <v>3106</v>
      </c>
      <c r="I18" s="475" t="s">
        <v>3106</v>
      </c>
      <c r="J18" s="477" t="s">
        <v>2871</v>
      </c>
    </row>
    <row r="19">
      <c r="A19" s="474" t="s">
        <v>2875</v>
      </c>
      <c r="B19" s="475" t="s">
        <v>28</v>
      </c>
      <c r="C19" s="475" t="s">
        <v>26</v>
      </c>
      <c r="D19" s="475" t="s">
        <v>3105</v>
      </c>
      <c r="E19" s="476" t="s">
        <v>3105</v>
      </c>
      <c r="F19" s="476" t="s">
        <v>3106</v>
      </c>
      <c r="G19" s="476" t="s">
        <v>3106</v>
      </c>
      <c r="H19" s="475" t="s">
        <v>3106</v>
      </c>
      <c r="I19" s="475" t="s">
        <v>3106</v>
      </c>
      <c r="J19" s="477" t="s">
        <v>2877</v>
      </c>
    </row>
    <row r="20">
      <c r="A20" s="474" t="s">
        <v>2878</v>
      </c>
      <c r="B20" s="475" t="s">
        <v>38</v>
      </c>
      <c r="C20" s="475" t="s">
        <v>2879</v>
      </c>
      <c r="D20" s="475" t="s">
        <v>3105</v>
      </c>
      <c r="E20" s="476" t="s">
        <v>3105</v>
      </c>
      <c r="F20" s="476" t="s">
        <v>3106</v>
      </c>
      <c r="G20" s="476" t="s">
        <v>3106</v>
      </c>
      <c r="H20" s="475" t="s">
        <v>3106</v>
      </c>
      <c r="I20" s="475" t="s">
        <v>3106</v>
      </c>
      <c r="J20" s="477" t="s">
        <v>2880</v>
      </c>
    </row>
    <row r="21">
      <c r="A21" s="474" t="s">
        <v>2881</v>
      </c>
      <c r="B21" s="484" t="s">
        <v>2882</v>
      </c>
      <c r="C21" s="475" t="s">
        <v>2883</v>
      </c>
      <c r="D21" s="475" t="s">
        <v>3105</v>
      </c>
      <c r="E21" s="476" t="s">
        <v>3105</v>
      </c>
      <c r="F21" s="476" t="s">
        <v>3106</v>
      </c>
      <c r="G21" s="476" t="s">
        <v>3106</v>
      </c>
      <c r="H21" s="475" t="s">
        <v>3106</v>
      </c>
      <c r="I21" s="475" t="s">
        <v>3106</v>
      </c>
      <c r="J21" s="477" t="s">
        <v>2888</v>
      </c>
    </row>
    <row r="22">
      <c r="A22" s="475" t="s">
        <v>2889</v>
      </c>
      <c r="B22" s="475" t="s">
        <v>2890</v>
      </c>
      <c r="C22" s="475" t="s">
        <v>1798</v>
      </c>
      <c r="E22" s="479"/>
      <c r="F22" s="483"/>
      <c r="G22" s="483"/>
      <c r="H22" s="479"/>
      <c r="I22" s="471" t="s">
        <v>3020</v>
      </c>
      <c r="J22" s="479"/>
    </row>
    <row r="23">
      <c r="A23" s="474" t="s">
        <v>2896</v>
      </c>
      <c r="B23" s="475" t="s">
        <v>2897</v>
      </c>
      <c r="C23" s="475" t="s">
        <v>2898</v>
      </c>
      <c r="D23" s="475" t="s">
        <v>3105</v>
      </c>
      <c r="E23" s="476" t="s">
        <v>3105</v>
      </c>
      <c r="F23" s="476" t="s">
        <v>3106</v>
      </c>
      <c r="G23" s="476" t="s">
        <v>3106</v>
      </c>
      <c r="H23" s="475" t="s">
        <v>3106</v>
      </c>
      <c r="I23" s="471" t="s">
        <v>3022</v>
      </c>
      <c r="J23" s="477" t="s">
        <v>2898</v>
      </c>
    </row>
    <row r="24">
      <c r="A24" s="474" t="s">
        <v>2909</v>
      </c>
      <c r="B24" s="475" t="s">
        <v>2910</v>
      </c>
      <c r="C24" s="475" t="s">
        <v>131</v>
      </c>
      <c r="D24" s="475" t="s">
        <v>3115</v>
      </c>
      <c r="E24" s="487" t="s">
        <v>3116</v>
      </c>
      <c r="F24" s="487" t="s">
        <v>3117</v>
      </c>
      <c r="G24" s="487" t="s">
        <v>3070</v>
      </c>
      <c r="H24" s="471" t="s">
        <v>3071</v>
      </c>
      <c r="I24" s="471" t="s">
        <v>3023</v>
      </c>
      <c r="J24" s="477" t="s">
        <v>2915</v>
      </c>
    </row>
    <row r="25">
      <c r="A25" s="475" t="s">
        <v>2917</v>
      </c>
      <c r="B25" s="475" t="s">
        <v>2918</v>
      </c>
      <c r="C25" s="475" t="s">
        <v>2919</v>
      </c>
      <c r="D25" s="479"/>
      <c r="E25" s="479"/>
      <c r="F25" s="470"/>
      <c r="G25" s="488"/>
      <c r="H25" s="470"/>
      <c r="I25" s="470"/>
      <c r="J25" s="480" t="s">
        <v>2920</v>
      </c>
    </row>
    <row r="26">
      <c r="A26" s="474" t="s">
        <v>2903</v>
      </c>
      <c r="B26" s="475" t="s">
        <v>2904</v>
      </c>
      <c r="C26" s="475" t="s">
        <v>2905</v>
      </c>
      <c r="D26" s="475">
        <v>1.0</v>
      </c>
      <c r="E26" s="475">
        <v>1.0</v>
      </c>
      <c r="F26" s="471" t="s">
        <v>3118</v>
      </c>
      <c r="G26" s="487" t="s">
        <v>3072</v>
      </c>
      <c r="H26" s="471" t="s">
        <v>3073</v>
      </c>
      <c r="I26" s="471" t="s">
        <v>3025</v>
      </c>
      <c r="J26" s="478" t="s">
        <v>2905</v>
      </c>
    </row>
    <row r="27">
      <c r="A27" s="474" t="s">
        <v>2921</v>
      </c>
      <c r="B27" s="479"/>
      <c r="C27" s="474" t="s">
        <v>2923</v>
      </c>
      <c r="D27" s="479"/>
      <c r="E27" s="483"/>
      <c r="F27" s="483"/>
      <c r="G27" s="483"/>
      <c r="H27" s="479"/>
      <c r="I27" s="479"/>
      <c r="J27" s="477" t="s">
        <v>2924</v>
      </c>
    </row>
    <row r="28">
      <c r="A28" s="474" t="s">
        <v>2925</v>
      </c>
      <c r="B28" s="475" t="s">
        <v>2926</v>
      </c>
      <c r="C28" s="475" t="s">
        <v>2927</v>
      </c>
      <c r="D28" s="475" t="s">
        <v>3112</v>
      </c>
      <c r="E28" s="476" t="s">
        <v>3112</v>
      </c>
      <c r="F28" s="476" t="s">
        <v>3112</v>
      </c>
      <c r="G28" s="476" t="s">
        <v>3112</v>
      </c>
      <c r="H28" s="475" t="s">
        <v>3112</v>
      </c>
      <c r="I28" s="475" t="s">
        <v>3112</v>
      </c>
      <c r="J28" s="477" t="s">
        <v>2929</v>
      </c>
    </row>
    <row r="29">
      <c r="A29" s="474" t="s">
        <v>2930</v>
      </c>
      <c r="B29" s="475" t="s">
        <v>2931</v>
      </c>
      <c r="C29" s="475" t="s">
        <v>3027</v>
      </c>
      <c r="D29" s="475" t="s">
        <v>3119</v>
      </c>
      <c r="E29" s="476" t="s">
        <v>3119</v>
      </c>
      <c r="F29" s="487" t="s">
        <v>3120</v>
      </c>
      <c r="G29" s="487" t="s">
        <v>3074</v>
      </c>
      <c r="H29" s="471" t="s">
        <v>3075</v>
      </c>
      <c r="I29" s="471" t="s">
        <v>3076</v>
      </c>
      <c r="J29" s="477" t="s">
        <v>3030</v>
      </c>
    </row>
    <row r="30">
      <c r="A30" s="474" t="s">
        <v>3031</v>
      </c>
      <c r="B30" s="475" t="s">
        <v>3032</v>
      </c>
      <c r="C30" s="475" t="s">
        <v>3033</v>
      </c>
      <c r="D30" s="475" t="s">
        <v>3034</v>
      </c>
      <c r="E30" s="476" t="s">
        <v>3034</v>
      </c>
      <c r="F30" s="476" t="s">
        <v>3034</v>
      </c>
      <c r="G30" s="476" t="s">
        <v>3034</v>
      </c>
      <c r="H30" s="475" t="s">
        <v>3034</v>
      </c>
      <c r="I30" s="475" t="s">
        <v>3034</v>
      </c>
      <c r="J30" s="477" t="s">
        <v>3035</v>
      </c>
    </row>
    <row r="31">
      <c r="A31" s="474" t="s">
        <v>3036</v>
      </c>
      <c r="B31" s="475" t="s">
        <v>263</v>
      </c>
      <c r="C31" s="475" t="s">
        <v>2873</v>
      </c>
      <c r="D31" s="475" t="s">
        <v>3105</v>
      </c>
      <c r="E31" s="476" t="s">
        <v>3105</v>
      </c>
      <c r="F31" s="476" t="s">
        <v>3106</v>
      </c>
      <c r="G31" s="476" t="s">
        <v>3106</v>
      </c>
      <c r="H31" s="475" t="s">
        <v>3106</v>
      </c>
      <c r="I31" s="475" t="s">
        <v>3106</v>
      </c>
      <c r="J31" s="477" t="s">
        <v>2874</v>
      </c>
    </row>
    <row r="32">
      <c r="A32" s="474" t="s">
        <v>2937</v>
      </c>
      <c r="B32" s="479"/>
      <c r="C32" s="479"/>
      <c r="D32" s="479"/>
      <c r="E32" s="483"/>
      <c r="F32" s="483"/>
      <c r="G32" s="483"/>
      <c r="H32" s="479"/>
      <c r="I32" s="479"/>
      <c r="J32" s="477" t="s">
        <v>2938</v>
      </c>
    </row>
    <row r="33">
      <c r="A33" s="474" t="s">
        <v>2939</v>
      </c>
      <c r="B33" s="475" t="s">
        <v>50</v>
      </c>
      <c r="C33" s="475" t="s">
        <v>3121</v>
      </c>
      <c r="D33" s="475" t="s">
        <v>3122</v>
      </c>
      <c r="E33" s="476" t="s">
        <v>3122</v>
      </c>
      <c r="F33" s="487" t="s">
        <v>2417</v>
      </c>
      <c r="G33" s="487" t="s">
        <v>3077</v>
      </c>
      <c r="H33" s="471" t="s">
        <v>3078</v>
      </c>
      <c r="I33" s="471" t="s">
        <v>3079</v>
      </c>
      <c r="J33" s="477" t="s">
        <v>3080</v>
      </c>
    </row>
    <row r="34">
      <c r="A34" s="475" t="s">
        <v>2946</v>
      </c>
      <c r="B34" s="475" t="s">
        <v>2947</v>
      </c>
      <c r="C34" s="475" t="s">
        <v>2948</v>
      </c>
      <c r="D34" s="479"/>
      <c r="E34" s="483"/>
      <c r="F34" s="488"/>
      <c r="G34" s="488"/>
      <c r="I34" s="471" t="s">
        <v>1521</v>
      </c>
      <c r="J34" s="482"/>
    </row>
    <row r="35">
      <c r="A35" s="474" t="s">
        <v>2954</v>
      </c>
      <c r="B35" s="475" t="s">
        <v>2955</v>
      </c>
      <c r="C35" s="475" t="s">
        <v>2334</v>
      </c>
      <c r="D35" s="476" t="s">
        <v>3123</v>
      </c>
      <c r="E35" s="487" t="s">
        <v>3124</v>
      </c>
      <c r="F35" s="487" t="s">
        <v>3125</v>
      </c>
      <c r="G35" s="487" t="s">
        <v>3126</v>
      </c>
      <c r="H35" s="471" t="s">
        <v>3083</v>
      </c>
      <c r="I35" s="471" t="s">
        <v>3039</v>
      </c>
      <c r="J35" s="477" t="s">
        <v>2960</v>
      </c>
    </row>
    <row r="36">
      <c r="A36" s="474" t="s">
        <v>2961</v>
      </c>
      <c r="B36" s="475" t="s">
        <v>55</v>
      </c>
      <c r="C36" s="475" t="s">
        <v>53</v>
      </c>
      <c r="D36" s="475">
        <v>1.3</v>
      </c>
      <c r="E36" s="476">
        <v>1.3</v>
      </c>
      <c r="F36" s="476">
        <v>1.3</v>
      </c>
      <c r="G36" s="476">
        <v>1.3</v>
      </c>
      <c r="H36" s="475">
        <v>1.3</v>
      </c>
      <c r="I36" s="475">
        <v>1.3</v>
      </c>
      <c r="J36" s="477" t="s">
        <v>2962</v>
      </c>
    </row>
    <row r="37">
      <c r="A37" s="474" t="s">
        <v>2963</v>
      </c>
      <c r="B37" s="475" t="s">
        <v>2964</v>
      </c>
      <c r="C37" s="475" t="s">
        <v>2965</v>
      </c>
      <c r="D37" s="475" t="s">
        <v>3127</v>
      </c>
      <c r="E37" s="476" t="s">
        <v>3127</v>
      </c>
      <c r="F37" s="487" t="s">
        <v>2650</v>
      </c>
      <c r="G37" s="476" t="s">
        <v>2650</v>
      </c>
      <c r="H37" s="475" t="s">
        <v>2650</v>
      </c>
      <c r="I37" s="475" t="s">
        <v>2650</v>
      </c>
      <c r="J37" s="477" t="s">
        <v>2966</v>
      </c>
    </row>
    <row r="38">
      <c r="A38" s="474" t="s">
        <v>2968</v>
      </c>
      <c r="B38" s="475" t="s">
        <v>329</v>
      </c>
      <c r="C38" s="475" t="s">
        <v>2969</v>
      </c>
      <c r="D38" s="475">
        <v>1.1</v>
      </c>
      <c r="E38" s="476">
        <v>1.1</v>
      </c>
      <c r="F38" s="476">
        <v>1.1</v>
      </c>
      <c r="G38" s="476">
        <v>1.1</v>
      </c>
      <c r="H38" s="475">
        <v>1.1</v>
      </c>
      <c r="I38" s="475">
        <v>1.1</v>
      </c>
      <c r="J38" s="477" t="s">
        <v>2970</v>
      </c>
    </row>
    <row r="39">
      <c r="A39" s="474" t="s">
        <v>3084</v>
      </c>
      <c r="B39" s="475" t="s">
        <v>2890</v>
      </c>
      <c r="C39" s="475" t="s">
        <v>3085</v>
      </c>
      <c r="D39" s="475" t="s">
        <v>3105</v>
      </c>
      <c r="E39" s="476" t="s">
        <v>3105</v>
      </c>
      <c r="F39" s="476" t="s">
        <v>3106</v>
      </c>
      <c r="G39" s="476" t="s">
        <v>3106</v>
      </c>
      <c r="H39" s="475" t="s">
        <v>3106</v>
      </c>
      <c r="I39" s="479"/>
      <c r="J39" s="477" t="s">
        <v>3086</v>
      </c>
    </row>
    <row r="40">
      <c r="A40" s="474" t="s">
        <v>2971</v>
      </c>
      <c r="B40" s="475" t="s">
        <v>2972</v>
      </c>
      <c r="C40" s="475" t="s">
        <v>198</v>
      </c>
      <c r="D40" s="475" t="s">
        <v>3128</v>
      </c>
      <c r="E40" s="476" t="s">
        <v>3128</v>
      </c>
      <c r="F40" s="476" t="s">
        <v>3128</v>
      </c>
      <c r="G40" s="487" t="s">
        <v>2908</v>
      </c>
      <c r="H40" s="471" t="s">
        <v>2908</v>
      </c>
      <c r="I40" s="471" t="s">
        <v>2639</v>
      </c>
      <c r="J40" s="477" t="s">
        <v>2973</v>
      </c>
    </row>
    <row r="41">
      <c r="A41" s="474" t="s">
        <v>2974</v>
      </c>
      <c r="B41" s="475" t="s">
        <v>2975</v>
      </c>
      <c r="C41" s="475" t="s">
        <v>2976</v>
      </c>
      <c r="D41" s="475" t="s">
        <v>3025</v>
      </c>
      <c r="E41" s="476" t="s">
        <v>3025</v>
      </c>
      <c r="F41" s="476" t="s">
        <v>3025</v>
      </c>
      <c r="G41" s="476" t="s">
        <v>3025</v>
      </c>
      <c r="H41" s="471" t="s">
        <v>3090</v>
      </c>
      <c r="I41" s="471" t="s">
        <v>3041</v>
      </c>
      <c r="J41" s="477" t="s">
        <v>2981</v>
      </c>
    </row>
    <row r="42">
      <c r="A42" s="474" t="s">
        <v>2982</v>
      </c>
      <c r="B42" s="475" t="s">
        <v>2983</v>
      </c>
      <c r="C42" s="475" t="s">
        <v>2984</v>
      </c>
      <c r="D42" s="475">
        <v>1.1</v>
      </c>
      <c r="E42" s="476">
        <v>1.1</v>
      </c>
      <c r="F42" s="476">
        <v>1.1</v>
      </c>
      <c r="G42" s="476">
        <v>1.1</v>
      </c>
      <c r="H42" s="475">
        <v>1.1</v>
      </c>
      <c r="I42" s="475">
        <v>1.1</v>
      </c>
      <c r="J42" s="477" t="s">
        <v>2985</v>
      </c>
    </row>
    <row r="43">
      <c r="A43" s="474" t="s">
        <v>2986</v>
      </c>
      <c r="B43" s="475" t="s">
        <v>2987</v>
      </c>
      <c r="C43" s="475" t="s">
        <v>139</v>
      </c>
      <c r="D43" s="487" t="s">
        <v>3129</v>
      </c>
      <c r="E43" s="476" t="s">
        <v>3129</v>
      </c>
      <c r="F43" s="487" t="s">
        <v>3130</v>
      </c>
      <c r="G43" s="487" t="s">
        <v>3092</v>
      </c>
      <c r="H43" s="471" t="s">
        <v>3093</v>
      </c>
      <c r="I43" s="471" t="s">
        <v>3043</v>
      </c>
      <c r="J43" s="477" t="s">
        <v>3044</v>
      </c>
    </row>
    <row r="44">
      <c r="A44" s="474" t="s">
        <v>3045</v>
      </c>
      <c r="B44" s="475" t="s">
        <v>3046</v>
      </c>
      <c r="C44" s="475" t="s">
        <v>3047</v>
      </c>
      <c r="D44" s="475" t="s">
        <v>2344</v>
      </c>
      <c r="E44" s="476" t="s">
        <v>2344</v>
      </c>
      <c r="F44" s="476" t="s">
        <v>2344</v>
      </c>
      <c r="G44" s="476" t="s">
        <v>2344</v>
      </c>
      <c r="H44" s="475" t="s">
        <v>2344</v>
      </c>
      <c r="I44" s="475" t="s">
        <v>2344</v>
      </c>
      <c r="J44" s="477" t="s">
        <v>3048</v>
      </c>
    </row>
    <row r="45">
      <c r="A45" s="474" t="s">
        <v>2991</v>
      </c>
      <c r="B45" s="475" t="s">
        <v>2992</v>
      </c>
      <c r="C45" s="475" t="s">
        <v>145</v>
      </c>
      <c r="D45" s="475" t="s">
        <v>3131</v>
      </c>
      <c r="E45" s="476" t="s">
        <v>3131</v>
      </c>
      <c r="F45" s="487" t="s">
        <v>3132</v>
      </c>
      <c r="G45" s="487" t="s">
        <v>3095</v>
      </c>
      <c r="H45" s="471" t="s">
        <v>3096</v>
      </c>
      <c r="I45" s="471" t="s">
        <v>3049</v>
      </c>
      <c r="J45" s="477" t="s">
        <v>2997</v>
      </c>
    </row>
    <row r="46">
      <c r="A46" s="486"/>
      <c r="B46" s="479"/>
      <c r="C46" s="479"/>
      <c r="D46" s="479"/>
      <c r="E46" s="483"/>
      <c r="F46" s="488"/>
      <c r="G46" s="488"/>
      <c r="J46" s="482"/>
    </row>
    <row r="47">
      <c r="A47" s="486"/>
      <c r="B47" s="479"/>
      <c r="C47" s="479"/>
      <c r="D47" s="479"/>
      <c r="E47" s="483"/>
      <c r="F47" s="488"/>
      <c r="G47" s="488"/>
      <c r="J47" s="482"/>
    </row>
  </sheetData>
  <hyperlinks>
    <hyperlink r:id="rId1" ref="B12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6.88"/>
    <col customWidth="1" min="2" max="2" width="36.0"/>
    <col customWidth="1" min="3" max="3" width="18.0"/>
    <col customWidth="1" min="4" max="5" width="12.0"/>
    <col customWidth="1" min="6" max="6" width="15.13"/>
    <col customWidth="1" min="7" max="7" width="12.88"/>
    <col customWidth="1" min="8" max="8" width="13.25"/>
    <col customWidth="1" min="9" max="9" width="7.63"/>
    <col customWidth="1" min="12" max="12" width="12.13"/>
    <col customWidth="1" min="13" max="14" width="12.25"/>
    <col customWidth="1" min="15" max="15" width="13.75"/>
    <col customWidth="1" min="16" max="16" width="13.13"/>
    <col customWidth="1" min="17" max="18" width="13.88"/>
    <col customWidth="1" min="19" max="19" width="75.63"/>
  </cols>
  <sheetData>
    <row r="1">
      <c r="A1" s="469" t="s">
        <v>3133</v>
      </c>
      <c r="B1" s="470"/>
      <c r="C1" s="471" t="s">
        <v>2777</v>
      </c>
      <c r="D1" s="471" t="s">
        <v>3134</v>
      </c>
      <c r="E1" s="471" t="s">
        <v>3135</v>
      </c>
      <c r="F1" s="471" t="s">
        <v>3136</v>
      </c>
      <c r="G1" s="471" t="s">
        <v>3137</v>
      </c>
      <c r="H1" s="471" t="s">
        <v>3138</v>
      </c>
      <c r="I1" s="489" t="s">
        <v>3139</v>
      </c>
      <c r="J1" s="471" t="s">
        <v>3140</v>
      </c>
      <c r="K1" s="471" t="s">
        <v>3141</v>
      </c>
      <c r="L1" s="471" t="s">
        <v>3142</v>
      </c>
      <c r="M1" s="471" t="s">
        <v>3143</v>
      </c>
      <c r="N1" s="471" t="s">
        <v>3144</v>
      </c>
      <c r="O1" s="471" t="s">
        <v>3145</v>
      </c>
      <c r="P1" s="471" t="s">
        <v>3146</v>
      </c>
      <c r="Q1" s="471" t="s">
        <v>3147</v>
      </c>
      <c r="R1" s="471" t="s">
        <v>3148</v>
      </c>
      <c r="S1" s="472" t="s">
        <v>2779</v>
      </c>
    </row>
    <row r="2">
      <c r="A2" s="474" t="s">
        <v>3149</v>
      </c>
      <c r="B2" s="475" t="s">
        <v>2782</v>
      </c>
      <c r="C2" s="475" t="s">
        <v>2291</v>
      </c>
      <c r="D2" s="475" t="s">
        <v>3150</v>
      </c>
      <c r="E2" s="475" t="s">
        <v>3150</v>
      </c>
      <c r="F2" s="475" t="s">
        <v>3150</v>
      </c>
      <c r="G2" s="475" t="s">
        <v>3151</v>
      </c>
      <c r="H2" s="475" t="s">
        <v>3151</v>
      </c>
      <c r="I2" s="490"/>
      <c r="J2" s="475" t="s">
        <v>3151</v>
      </c>
      <c r="K2" s="487" t="s">
        <v>3152</v>
      </c>
      <c r="L2" s="487" t="s">
        <v>3153</v>
      </c>
      <c r="M2" s="476" t="s">
        <v>3153</v>
      </c>
      <c r="N2" s="487" t="s">
        <v>3154</v>
      </c>
      <c r="O2" s="476" t="s">
        <v>3154</v>
      </c>
      <c r="P2" s="487" t="s">
        <v>3155</v>
      </c>
      <c r="Q2" s="487" t="s">
        <v>3104</v>
      </c>
      <c r="R2" s="471" t="s">
        <v>3055</v>
      </c>
      <c r="S2" s="477" t="s">
        <v>2786</v>
      </c>
    </row>
    <row r="3">
      <c r="A3" s="474" t="s">
        <v>2790</v>
      </c>
      <c r="B3" s="475" t="s">
        <v>2791</v>
      </c>
      <c r="C3" s="475" t="s">
        <v>162</v>
      </c>
      <c r="D3" s="475" t="s">
        <v>3156</v>
      </c>
      <c r="E3" s="471" t="s">
        <v>3157</v>
      </c>
      <c r="F3" s="475" t="s">
        <v>3158</v>
      </c>
      <c r="G3" s="475" t="s">
        <v>3159</v>
      </c>
      <c r="H3" s="475" t="s">
        <v>3160</v>
      </c>
      <c r="I3" s="490"/>
      <c r="J3" s="475" t="s">
        <v>3160</v>
      </c>
      <c r="K3" s="475" t="s">
        <v>3161</v>
      </c>
      <c r="L3" s="476" t="s">
        <v>3161</v>
      </c>
      <c r="M3" s="476" t="s">
        <v>3161</v>
      </c>
      <c r="N3" s="476" t="s">
        <v>3161</v>
      </c>
      <c r="O3" s="476" t="s">
        <v>3161</v>
      </c>
      <c r="P3" s="476" t="s">
        <v>3161</v>
      </c>
      <c r="Q3" s="476" t="s">
        <v>3161</v>
      </c>
      <c r="R3" s="471">
        <v>2.0121206E8</v>
      </c>
      <c r="S3" s="477" t="s">
        <v>2792</v>
      </c>
    </row>
    <row r="4">
      <c r="A4" s="474" t="s">
        <v>3162</v>
      </c>
      <c r="B4" s="475" t="s">
        <v>3163</v>
      </c>
      <c r="C4" s="475" t="s">
        <v>3164</v>
      </c>
      <c r="D4" s="485">
        <v>1.0</v>
      </c>
      <c r="E4" s="485">
        <v>1.0</v>
      </c>
      <c r="F4" s="485">
        <v>1.0</v>
      </c>
      <c r="G4" s="485">
        <v>1.0</v>
      </c>
      <c r="H4" s="485">
        <v>1.0</v>
      </c>
      <c r="I4" s="491" t="s">
        <v>3165</v>
      </c>
      <c r="J4" s="485">
        <v>1.0</v>
      </c>
      <c r="K4" s="485">
        <v>1.0</v>
      </c>
      <c r="L4" s="476">
        <v>1.0</v>
      </c>
      <c r="M4" s="476">
        <v>1.0</v>
      </c>
      <c r="N4" s="476">
        <v>1.0</v>
      </c>
      <c r="O4" s="476">
        <v>1.0</v>
      </c>
      <c r="P4" s="476">
        <v>1.0</v>
      </c>
      <c r="Q4" s="476">
        <v>1.0</v>
      </c>
      <c r="R4" s="476">
        <v>1.0</v>
      </c>
      <c r="S4" s="477" t="s">
        <v>3166</v>
      </c>
    </row>
    <row r="5">
      <c r="A5" s="474" t="s">
        <v>2793</v>
      </c>
      <c r="B5" s="475" t="s">
        <v>2794</v>
      </c>
      <c r="C5" s="475" t="s">
        <v>114</v>
      </c>
      <c r="D5" s="479"/>
      <c r="E5" s="479"/>
      <c r="F5" s="479"/>
      <c r="G5" s="479"/>
      <c r="H5" s="479"/>
      <c r="I5" s="490"/>
      <c r="J5" s="479"/>
      <c r="K5" s="479"/>
      <c r="M5" s="487" t="s">
        <v>3108</v>
      </c>
      <c r="N5" s="476" t="s">
        <v>3108</v>
      </c>
      <c r="O5" s="487" t="s">
        <v>3109</v>
      </c>
      <c r="P5" s="471" t="s">
        <v>3167</v>
      </c>
      <c r="Q5" s="471" t="s">
        <v>3168</v>
      </c>
      <c r="R5" s="471" t="s">
        <v>3111</v>
      </c>
      <c r="S5" s="477" t="s">
        <v>2801</v>
      </c>
    </row>
    <row r="6">
      <c r="A6" s="474" t="s">
        <v>3002</v>
      </c>
      <c r="B6" s="475" t="s">
        <v>2794</v>
      </c>
      <c r="C6" s="475" t="s">
        <v>114</v>
      </c>
      <c r="D6" s="479"/>
      <c r="E6" s="479"/>
      <c r="F6" s="479"/>
      <c r="G6" s="479"/>
      <c r="H6" s="479"/>
      <c r="I6" s="490"/>
      <c r="J6" s="479"/>
      <c r="K6" s="479"/>
      <c r="M6" s="483"/>
      <c r="N6" s="483"/>
      <c r="O6" s="483"/>
      <c r="P6" s="479"/>
      <c r="Q6" s="471" t="s">
        <v>3169</v>
      </c>
      <c r="R6" s="471" t="s">
        <v>3170</v>
      </c>
      <c r="S6" s="477" t="s">
        <v>3003</v>
      </c>
    </row>
    <row r="7">
      <c r="A7" s="474" t="s">
        <v>2805</v>
      </c>
      <c r="B7" s="475" t="s">
        <v>2806</v>
      </c>
      <c r="C7" s="475" t="s">
        <v>2807</v>
      </c>
      <c r="D7" s="475" t="s">
        <v>3156</v>
      </c>
      <c r="E7" s="471" t="s">
        <v>3157</v>
      </c>
      <c r="F7" s="475" t="s">
        <v>3158</v>
      </c>
      <c r="G7" s="475" t="s">
        <v>3159</v>
      </c>
      <c r="H7" s="475" t="s">
        <v>3160</v>
      </c>
      <c r="I7" s="490"/>
      <c r="J7" s="475" t="s">
        <v>3160</v>
      </c>
      <c r="K7" s="475" t="s">
        <v>3161</v>
      </c>
      <c r="L7" s="476" t="s">
        <v>3161</v>
      </c>
      <c r="M7" s="476" t="s">
        <v>3161</v>
      </c>
      <c r="N7" s="476" t="s">
        <v>3161</v>
      </c>
      <c r="O7" s="476" t="s">
        <v>3161</v>
      </c>
      <c r="P7" s="476" t="s">
        <v>3161</v>
      </c>
      <c r="Q7" s="476" t="s">
        <v>3161</v>
      </c>
      <c r="R7" s="476" t="s">
        <v>3161</v>
      </c>
      <c r="S7" s="477" t="s">
        <v>3004</v>
      </c>
    </row>
    <row r="8">
      <c r="A8" s="474" t="s">
        <v>2816</v>
      </c>
      <c r="B8" s="475" t="s">
        <v>2750</v>
      </c>
      <c r="C8" s="475" t="s">
        <v>179</v>
      </c>
      <c r="D8" s="475" t="s">
        <v>3006</v>
      </c>
      <c r="E8" s="475" t="s">
        <v>3006</v>
      </c>
      <c r="F8" s="475" t="s">
        <v>3006</v>
      </c>
      <c r="G8" s="475" t="s">
        <v>3006</v>
      </c>
      <c r="H8" s="475" t="s">
        <v>3006</v>
      </c>
      <c r="I8" s="490"/>
      <c r="J8" s="475" t="s">
        <v>3006</v>
      </c>
      <c r="K8" s="475" t="s">
        <v>3006</v>
      </c>
      <c r="L8" s="476" t="s">
        <v>3006</v>
      </c>
      <c r="M8" s="476" t="s">
        <v>3006</v>
      </c>
      <c r="N8" s="476" t="s">
        <v>3006</v>
      </c>
      <c r="O8" s="476" t="s">
        <v>3006</v>
      </c>
      <c r="P8" s="476" t="s">
        <v>3006</v>
      </c>
      <c r="Q8" s="476" t="s">
        <v>3006</v>
      </c>
      <c r="R8" s="476" t="s">
        <v>3006</v>
      </c>
      <c r="S8" s="477" t="s">
        <v>2818</v>
      </c>
    </row>
    <row r="9">
      <c r="A9" s="474" t="s">
        <v>2824</v>
      </c>
      <c r="B9" s="475" t="s">
        <v>1631</v>
      </c>
      <c r="C9" s="475" t="s">
        <v>1630</v>
      </c>
      <c r="D9" s="471" t="s">
        <v>3156</v>
      </c>
      <c r="E9" s="471" t="s">
        <v>3157</v>
      </c>
      <c r="F9" s="475" t="s">
        <v>3158</v>
      </c>
      <c r="G9" s="475" t="s">
        <v>3159</v>
      </c>
      <c r="H9" s="471" t="s">
        <v>3160</v>
      </c>
      <c r="I9" s="491" t="s">
        <v>3165</v>
      </c>
      <c r="J9" s="471" t="s">
        <v>3160</v>
      </c>
      <c r="K9" s="475" t="s">
        <v>3161</v>
      </c>
      <c r="L9" s="476" t="s">
        <v>3161</v>
      </c>
      <c r="M9" s="476" t="s">
        <v>3161</v>
      </c>
      <c r="N9" s="476" t="s">
        <v>3161</v>
      </c>
      <c r="O9" s="476" t="s">
        <v>3161</v>
      </c>
      <c r="P9" s="476" t="s">
        <v>3161</v>
      </c>
      <c r="Q9" s="476" t="s">
        <v>3161</v>
      </c>
      <c r="R9" s="476" t="s">
        <v>3161</v>
      </c>
      <c r="S9" s="477" t="s">
        <v>2825</v>
      </c>
    </row>
    <row r="10">
      <c r="A10" s="474" t="s">
        <v>2826</v>
      </c>
      <c r="B10" s="475" t="s">
        <v>2827</v>
      </c>
      <c r="C10" s="475" t="s">
        <v>2828</v>
      </c>
      <c r="D10" s="475" t="s">
        <v>3171</v>
      </c>
      <c r="E10" s="475" t="s">
        <v>3171</v>
      </c>
      <c r="F10" s="475" t="s">
        <v>3171</v>
      </c>
      <c r="G10" s="475" t="s">
        <v>3171</v>
      </c>
      <c r="H10" s="475" t="s">
        <v>3171</v>
      </c>
      <c r="I10" s="490"/>
      <c r="J10" s="475" t="s">
        <v>3171</v>
      </c>
      <c r="K10" s="475" t="s">
        <v>3171</v>
      </c>
      <c r="L10" s="476" t="s">
        <v>3171</v>
      </c>
      <c r="M10" s="476" t="s">
        <v>3171</v>
      </c>
      <c r="N10" s="476" t="s">
        <v>3171</v>
      </c>
      <c r="O10" s="476" t="s">
        <v>3171</v>
      </c>
      <c r="P10" s="476" t="s">
        <v>3171</v>
      </c>
      <c r="Q10" s="476" t="s">
        <v>3171</v>
      </c>
      <c r="R10" s="476" t="s">
        <v>3171</v>
      </c>
      <c r="S10" s="477" t="s">
        <v>3172</v>
      </c>
    </row>
    <row r="11">
      <c r="A11" s="474" t="s">
        <v>2831</v>
      </c>
      <c r="B11" s="475" t="s">
        <v>2832</v>
      </c>
      <c r="C11" s="475" t="s">
        <v>2346</v>
      </c>
      <c r="D11" s="471" t="s">
        <v>3173</v>
      </c>
      <c r="E11" s="471" t="s">
        <v>3173</v>
      </c>
      <c r="F11" s="475" t="s">
        <v>3173</v>
      </c>
      <c r="G11" s="475" t="s">
        <v>3173</v>
      </c>
      <c r="H11" s="471" t="s">
        <v>3173</v>
      </c>
      <c r="I11" s="490"/>
      <c r="J11" s="471" t="s">
        <v>3173</v>
      </c>
      <c r="K11" s="475" t="s">
        <v>3173</v>
      </c>
      <c r="L11" s="476" t="s">
        <v>3173</v>
      </c>
      <c r="M11" s="476" t="s">
        <v>3173</v>
      </c>
      <c r="N11" s="476" t="s">
        <v>3173</v>
      </c>
      <c r="O11" s="476" t="s">
        <v>3173</v>
      </c>
      <c r="P11" s="476" t="s">
        <v>3173</v>
      </c>
      <c r="Q11" s="476" t="s">
        <v>3173</v>
      </c>
      <c r="R11" s="476" t="s">
        <v>3173</v>
      </c>
      <c r="S11" s="477" t="s">
        <v>3013</v>
      </c>
    </row>
    <row r="12">
      <c r="A12" s="474" t="s">
        <v>2834</v>
      </c>
      <c r="B12" s="484" t="s">
        <v>2835</v>
      </c>
      <c r="C12" s="475" t="s">
        <v>123</v>
      </c>
      <c r="D12" s="475" t="s">
        <v>3156</v>
      </c>
      <c r="E12" s="471" t="s">
        <v>3157</v>
      </c>
      <c r="F12" s="475" t="s">
        <v>3158</v>
      </c>
      <c r="G12" s="475" t="s">
        <v>3174</v>
      </c>
      <c r="H12" s="475" t="s">
        <v>3160</v>
      </c>
      <c r="I12" s="490"/>
      <c r="J12" s="475" t="s">
        <v>3160</v>
      </c>
      <c r="K12" s="475" t="s">
        <v>3161</v>
      </c>
      <c r="L12" s="476" t="s">
        <v>3161</v>
      </c>
      <c r="M12" s="471" t="s">
        <v>3175</v>
      </c>
      <c r="N12" s="471" t="s">
        <v>3106</v>
      </c>
      <c r="O12" s="487" t="s">
        <v>3106</v>
      </c>
      <c r="P12" s="476" t="s">
        <v>3106</v>
      </c>
      <c r="Q12" s="476" t="s">
        <v>3106</v>
      </c>
      <c r="R12" s="471" t="s">
        <v>2702</v>
      </c>
      <c r="S12" s="477" t="s">
        <v>2839</v>
      </c>
    </row>
    <row r="13">
      <c r="A13" s="474" t="s">
        <v>2840</v>
      </c>
      <c r="B13" s="484" t="s">
        <v>2841</v>
      </c>
      <c r="C13" s="475" t="s">
        <v>3176</v>
      </c>
      <c r="D13" s="490"/>
      <c r="E13" s="475" t="s">
        <v>1221</v>
      </c>
      <c r="F13" s="491" t="s">
        <v>3177</v>
      </c>
      <c r="G13" s="482"/>
      <c r="H13" s="482"/>
      <c r="I13" s="481"/>
      <c r="J13" s="479"/>
      <c r="K13" s="479"/>
      <c r="L13" s="483"/>
      <c r="M13" s="479"/>
      <c r="N13" s="471" t="s">
        <v>1221</v>
      </c>
      <c r="O13" s="487" t="s">
        <v>1221</v>
      </c>
      <c r="P13" s="487" t="s">
        <v>1221</v>
      </c>
      <c r="Q13" s="487" t="s">
        <v>1221</v>
      </c>
      <c r="R13" s="471" t="s">
        <v>3067</v>
      </c>
      <c r="S13" s="477" t="s">
        <v>2842</v>
      </c>
    </row>
    <row r="14">
      <c r="A14" s="474" t="s">
        <v>2848</v>
      </c>
      <c r="B14" s="475" t="s">
        <v>2849</v>
      </c>
      <c r="C14" s="475" t="s">
        <v>2850</v>
      </c>
      <c r="D14" s="475" t="s">
        <v>3156</v>
      </c>
      <c r="E14" s="471" t="s">
        <v>3157</v>
      </c>
      <c r="F14" s="475" t="s">
        <v>3158</v>
      </c>
      <c r="G14" s="475" t="s">
        <v>3159</v>
      </c>
      <c r="H14" s="475" t="s">
        <v>3160</v>
      </c>
      <c r="I14" s="490"/>
      <c r="J14" s="475" t="s">
        <v>3160</v>
      </c>
      <c r="K14" s="475" t="s">
        <v>3161</v>
      </c>
      <c r="L14" s="476" t="s">
        <v>3161</v>
      </c>
      <c r="M14" s="476" t="s">
        <v>3161</v>
      </c>
      <c r="N14" s="476" t="s">
        <v>3161</v>
      </c>
      <c r="O14" s="476" t="s">
        <v>3161</v>
      </c>
      <c r="P14" s="476" t="s">
        <v>3161</v>
      </c>
      <c r="Q14" s="476" t="s">
        <v>3161</v>
      </c>
      <c r="R14" s="476" t="s">
        <v>3161</v>
      </c>
      <c r="S14" s="477" t="s">
        <v>2851</v>
      </c>
    </row>
    <row r="15">
      <c r="A15" s="474" t="s">
        <v>2852</v>
      </c>
      <c r="B15" s="475" t="s">
        <v>129</v>
      </c>
      <c r="C15" s="475" t="s">
        <v>2853</v>
      </c>
      <c r="D15" s="475" t="s">
        <v>3156</v>
      </c>
      <c r="E15" s="471" t="s">
        <v>3157</v>
      </c>
      <c r="F15" s="475" t="s">
        <v>3158</v>
      </c>
      <c r="G15" s="475" t="s">
        <v>3159</v>
      </c>
      <c r="H15" s="475" t="s">
        <v>3160</v>
      </c>
      <c r="I15" s="490"/>
      <c r="J15" s="475" t="s">
        <v>3160</v>
      </c>
      <c r="K15" s="475" t="s">
        <v>3161</v>
      </c>
      <c r="L15" s="476" t="s">
        <v>3161</v>
      </c>
      <c r="M15" s="476" t="s">
        <v>3161</v>
      </c>
      <c r="N15" s="476" t="s">
        <v>3161</v>
      </c>
      <c r="O15" s="476" t="s">
        <v>3161</v>
      </c>
      <c r="P15" s="476" t="s">
        <v>3161</v>
      </c>
      <c r="Q15" s="476" t="s">
        <v>3161</v>
      </c>
      <c r="R15" s="476" t="s">
        <v>3161</v>
      </c>
      <c r="S15" s="477" t="s">
        <v>2856</v>
      </c>
    </row>
    <row r="16">
      <c r="A16" s="474" t="s">
        <v>2863</v>
      </c>
      <c r="B16" s="475" t="s">
        <v>1100</v>
      </c>
      <c r="C16" s="475" t="s">
        <v>2864</v>
      </c>
      <c r="D16" s="475" t="s">
        <v>3156</v>
      </c>
      <c r="E16" s="471" t="s">
        <v>3157</v>
      </c>
      <c r="F16" s="475" t="s">
        <v>3158</v>
      </c>
      <c r="G16" s="475" t="s">
        <v>3159</v>
      </c>
      <c r="H16" s="475" t="s">
        <v>3160</v>
      </c>
      <c r="I16" s="490"/>
      <c r="J16" s="475" t="s">
        <v>3160</v>
      </c>
      <c r="K16" s="475" t="s">
        <v>3161</v>
      </c>
      <c r="L16" s="476" t="s">
        <v>3161</v>
      </c>
      <c r="M16" s="476" t="s">
        <v>3161</v>
      </c>
      <c r="N16" s="476" t="s">
        <v>3161</v>
      </c>
      <c r="O16" s="476" t="s">
        <v>3161</v>
      </c>
      <c r="P16" s="476" t="s">
        <v>3161</v>
      </c>
      <c r="Q16" s="476" t="s">
        <v>3161</v>
      </c>
      <c r="R16" s="476" t="s">
        <v>3161</v>
      </c>
      <c r="S16" s="477" t="s">
        <v>2865</v>
      </c>
    </row>
    <row r="17">
      <c r="A17" s="474" t="s">
        <v>2866</v>
      </c>
      <c r="B17" s="475" t="s">
        <v>23</v>
      </c>
      <c r="C17" s="475" t="s">
        <v>2867</v>
      </c>
      <c r="D17" s="475" t="s">
        <v>3156</v>
      </c>
      <c r="E17" s="471" t="s">
        <v>3157</v>
      </c>
      <c r="F17" s="475" t="s">
        <v>3158</v>
      </c>
      <c r="G17" s="475" t="s">
        <v>3159</v>
      </c>
      <c r="H17" s="475" t="s">
        <v>3160</v>
      </c>
      <c r="I17" s="490"/>
      <c r="J17" s="475" t="s">
        <v>3160</v>
      </c>
      <c r="K17" s="475" t="s">
        <v>3161</v>
      </c>
      <c r="L17" s="476" t="s">
        <v>3161</v>
      </c>
      <c r="M17" s="476" t="s">
        <v>3161</v>
      </c>
      <c r="N17" s="476" t="s">
        <v>3161</v>
      </c>
      <c r="O17" s="476" t="s">
        <v>3161</v>
      </c>
      <c r="P17" s="476" t="s">
        <v>3161</v>
      </c>
      <c r="Q17" s="476" t="s">
        <v>3161</v>
      </c>
      <c r="R17" s="476" t="s">
        <v>3161</v>
      </c>
      <c r="S17" s="477" t="s">
        <v>2868</v>
      </c>
    </row>
    <row r="18">
      <c r="A18" s="474" t="s">
        <v>2869</v>
      </c>
      <c r="B18" s="475" t="s">
        <v>2213</v>
      </c>
      <c r="C18" s="475" t="s">
        <v>2870</v>
      </c>
      <c r="D18" s="475" t="s">
        <v>3156</v>
      </c>
      <c r="E18" s="471" t="s">
        <v>3157</v>
      </c>
      <c r="F18" s="475" t="s">
        <v>3158</v>
      </c>
      <c r="G18" s="475" t="s">
        <v>3159</v>
      </c>
      <c r="H18" s="475" t="s">
        <v>3160</v>
      </c>
      <c r="I18" s="490"/>
      <c r="J18" s="475" t="s">
        <v>3160</v>
      </c>
      <c r="K18" s="475" t="s">
        <v>3161</v>
      </c>
      <c r="L18" s="476" t="s">
        <v>3161</v>
      </c>
      <c r="M18" s="476" t="s">
        <v>3161</v>
      </c>
      <c r="N18" s="476" t="s">
        <v>3161</v>
      </c>
      <c r="O18" s="476" t="s">
        <v>3161</v>
      </c>
      <c r="P18" s="476" t="s">
        <v>3161</v>
      </c>
      <c r="Q18" s="476" t="s">
        <v>3161</v>
      </c>
      <c r="R18" s="476" t="s">
        <v>3161</v>
      </c>
      <c r="S18" s="477" t="s">
        <v>2871</v>
      </c>
    </row>
    <row r="19">
      <c r="A19" s="474" t="s">
        <v>2875</v>
      </c>
      <c r="B19" s="475" t="s">
        <v>28</v>
      </c>
      <c r="C19" s="475" t="s">
        <v>26</v>
      </c>
      <c r="D19" s="475" t="s">
        <v>3156</v>
      </c>
      <c r="E19" s="471" t="s">
        <v>3157</v>
      </c>
      <c r="F19" s="475" t="s">
        <v>3158</v>
      </c>
      <c r="G19" s="475" t="s">
        <v>3159</v>
      </c>
      <c r="H19" s="475" t="s">
        <v>3160</v>
      </c>
      <c r="I19" s="490"/>
      <c r="J19" s="475" t="s">
        <v>3160</v>
      </c>
      <c r="K19" s="475" t="s">
        <v>3161</v>
      </c>
      <c r="L19" s="476" t="s">
        <v>3161</v>
      </c>
      <c r="M19" s="476" t="s">
        <v>3161</v>
      </c>
      <c r="N19" s="476" t="s">
        <v>3161</v>
      </c>
      <c r="O19" s="476" t="s">
        <v>3161</v>
      </c>
      <c r="P19" s="476" t="s">
        <v>3161</v>
      </c>
      <c r="Q19" s="476" t="s">
        <v>3161</v>
      </c>
      <c r="R19" s="476" t="s">
        <v>3161</v>
      </c>
      <c r="S19" s="477" t="s">
        <v>2877</v>
      </c>
    </row>
    <row r="20">
      <c r="A20" s="474" t="s">
        <v>3178</v>
      </c>
      <c r="B20" s="475" t="s">
        <v>2975</v>
      </c>
      <c r="C20" s="475" t="s">
        <v>2976</v>
      </c>
      <c r="D20" s="475" t="s">
        <v>3179</v>
      </c>
      <c r="E20" s="475" t="s">
        <v>3180</v>
      </c>
      <c r="F20" s="475" t="s">
        <v>3180</v>
      </c>
      <c r="G20" s="471" t="s">
        <v>3181</v>
      </c>
      <c r="H20" s="475" t="s">
        <v>3182</v>
      </c>
      <c r="I20" s="490"/>
      <c r="J20" s="475" t="s">
        <v>3182</v>
      </c>
      <c r="K20" s="475" t="s">
        <v>3183</v>
      </c>
      <c r="L20" s="476" t="s">
        <v>3183</v>
      </c>
      <c r="M20" s="475" t="s">
        <v>3184</v>
      </c>
      <c r="N20" s="475" t="s">
        <v>3184</v>
      </c>
      <c r="O20" s="476" t="s">
        <v>3184</v>
      </c>
      <c r="P20" s="476" t="s">
        <v>3184</v>
      </c>
      <c r="Q20" s="476" t="s">
        <v>3184</v>
      </c>
      <c r="R20" s="476" t="s">
        <v>3184</v>
      </c>
      <c r="S20" s="477" t="s">
        <v>2981</v>
      </c>
    </row>
    <row r="21">
      <c r="A21" s="474" t="s">
        <v>2878</v>
      </c>
      <c r="B21" s="475" t="s">
        <v>38</v>
      </c>
      <c r="C21" s="475" t="s">
        <v>2879</v>
      </c>
      <c r="D21" s="475" t="s">
        <v>3156</v>
      </c>
      <c r="E21" s="471" t="s">
        <v>3157</v>
      </c>
      <c r="F21" s="475" t="s">
        <v>3158</v>
      </c>
      <c r="G21" s="475" t="s">
        <v>3159</v>
      </c>
      <c r="H21" s="475" t="s">
        <v>3160</v>
      </c>
      <c r="I21" s="490"/>
      <c r="J21" s="475" t="s">
        <v>3160</v>
      </c>
      <c r="K21" s="475" t="s">
        <v>3161</v>
      </c>
      <c r="L21" s="476" t="s">
        <v>3161</v>
      </c>
      <c r="M21" s="476" t="s">
        <v>3161</v>
      </c>
      <c r="N21" s="476" t="s">
        <v>3161</v>
      </c>
      <c r="O21" s="476" t="s">
        <v>3161</v>
      </c>
      <c r="P21" s="476" t="s">
        <v>3161</v>
      </c>
      <c r="Q21" s="476" t="s">
        <v>3161</v>
      </c>
      <c r="R21" s="476" t="s">
        <v>3161</v>
      </c>
      <c r="S21" s="477" t="s">
        <v>2880</v>
      </c>
    </row>
    <row r="22">
      <c r="A22" s="474" t="s">
        <v>2881</v>
      </c>
      <c r="B22" s="484" t="s">
        <v>2882</v>
      </c>
      <c r="C22" s="475" t="s">
        <v>2883</v>
      </c>
      <c r="D22" s="471" t="s">
        <v>3156</v>
      </c>
      <c r="E22" s="471" t="s">
        <v>3157</v>
      </c>
      <c r="F22" s="475" t="s">
        <v>3158</v>
      </c>
      <c r="G22" s="475" t="s">
        <v>3159</v>
      </c>
      <c r="H22" s="471" t="s">
        <v>3160</v>
      </c>
      <c r="I22" s="490"/>
      <c r="J22" s="471" t="s">
        <v>3160</v>
      </c>
      <c r="K22" s="475" t="s">
        <v>3161</v>
      </c>
      <c r="L22" s="476" t="s">
        <v>3161</v>
      </c>
      <c r="M22" s="476" t="s">
        <v>3161</v>
      </c>
      <c r="N22" s="476" t="s">
        <v>3161</v>
      </c>
      <c r="O22" s="476" t="s">
        <v>3161</v>
      </c>
      <c r="P22" s="476" t="s">
        <v>3161</v>
      </c>
      <c r="Q22" s="476" t="s">
        <v>3161</v>
      </c>
      <c r="R22" s="476" t="s">
        <v>3161</v>
      </c>
      <c r="S22" s="477" t="s">
        <v>2888</v>
      </c>
    </row>
    <row r="23">
      <c r="A23" s="474" t="s">
        <v>3185</v>
      </c>
      <c r="B23" s="475" t="s">
        <v>3186</v>
      </c>
      <c r="C23" s="475" t="s">
        <v>3187</v>
      </c>
      <c r="D23" s="471" t="s">
        <v>3156</v>
      </c>
      <c r="E23" s="471" t="s">
        <v>3157</v>
      </c>
      <c r="F23" s="475" t="s">
        <v>3158</v>
      </c>
      <c r="G23" s="475" t="s">
        <v>3159</v>
      </c>
      <c r="H23" s="471" t="s">
        <v>3160</v>
      </c>
      <c r="I23" s="490"/>
      <c r="J23" s="471" t="s">
        <v>3160</v>
      </c>
      <c r="K23" s="475" t="s">
        <v>3161</v>
      </c>
      <c r="L23" s="476" t="s">
        <v>3161</v>
      </c>
      <c r="M23" s="476" t="s">
        <v>3161</v>
      </c>
      <c r="N23" s="476" t="s">
        <v>3161</v>
      </c>
      <c r="O23" s="476" t="s">
        <v>3161</v>
      </c>
      <c r="P23" s="476" t="s">
        <v>3161</v>
      </c>
      <c r="Q23" s="476" t="s">
        <v>3161</v>
      </c>
      <c r="R23" s="476" t="s">
        <v>3161</v>
      </c>
      <c r="S23" s="477" t="s">
        <v>3188</v>
      </c>
    </row>
    <row r="24">
      <c r="A24" s="474" t="s">
        <v>2896</v>
      </c>
      <c r="B24" s="475" t="s">
        <v>2897</v>
      </c>
      <c r="C24" s="475" t="s">
        <v>2898</v>
      </c>
      <c r="D24" s="475" t="s">
        <v>3156</v>
      </c>
      <c r="E24" s="471" t="s">
        <v>3157</v>
      </c>
      <c r="F24" s="475" t="s">
        <v>3158</v>
      </c>
      <c r="G24" s="475" t="s">
        <v>3159</v>
      </c>
      <c r="H24" s="475" t="s">
        <v>3160</v>
      </c>
      <c r="I24" s="490"/>
      <c r="J24" s="475" t="s">
        <v>3160</v>
      </c>
      <c r="K24" s="475" t="s">
        <v>3161</v>
      </c>
      <c r="L24" s="476" t="s">
        <v>3161</v>
      </c>
      <c r="M24" s="476" t="s">
        <v>3161</v>
      </c>
      <c r="N24" s="476" t="s">
        <v>3161</v>
      </c>
      <c r="O24" s="476" t="s">
        <v>3161</v>
      </c>
      <c r="P24" s="476" t="s">
        <v>3161</v>
      </c>
      <c r="Q24" s="476" t="s">
        <v>3161</v>
      </c>
      <c r="R24" s="476" t="s">
        <v>3161</v>
      </c>
      <c r="S24" s="477" t="s">
        <v>2898</v>
      </c>
    </row>
    <row r="25">
      <c r="A25" s="474" t="s">
        <v>2903</v>
      </c>
      <c r="B25" s="475" t="s">
        <v>2904</v>
      </c>
      <c r="C25" s="475" t="s">
        <v>2905</v>
      </c>
      <c r="D25" s="479"/>
      <c r="E25" s="479"/>
      <c r="F25" s="479"/>
      <c r="G25" s="479"/>
      <c r="H25" s="479"/>
      <c r="I25" s="490"/>
      <c r="J25" s="479"/>
      <c r="K25" s="479"/>
      <c r="L25" s="483"/>
      <c r="M25" s="483"/>
      <c r="N25" s="476">
        <v>1.0</v>
      </c>
      <c r="O25" s="476">
        <v>1.0</v>
      </c>
      <c r="P25" s="487" t="s">
        <v>3118</v>
      </c>
      <c r="Q25" s="476" t="s">
        <v>3118</v>
      </c>
      <c r="R25" s="471" t="s">
        <v>3073</v>
      </c>
      <c r="S25" s="477" t="s">
        <v>3189</v>
      </c>
    </row>
    <row r="26">
      <c r="A26" s="474" t="s">
        <v>2909</v>
      </c>
      <c r="B26" s="475" t="s">
        <v>2910</v>
      </c>
      <c r="C26" s="475" t="s">
        <v>131</v>
      </c>
      <c r="D26" s="475" t="s">
        <v>3190</v>
      </c>
      <c r="E26" s="475" t="s">
        <v>3190</v>
      </c>
      <c r="F26" s="475" t="s">
        <v>3191</v>
      </c>
      <c r="G26" s="471" t="s">
        <v>3192</v>
      </c>
      <c r="H26" s="475" t="s">
        <v>3192</v>
      </c>
      <c r="I26" s="490"/>
      <c r="J26" s="475" t="s">
        <v>3192</v>
      </c>
      <c r="K26" s="471" t="s">
        <v>3193</v>
      </c>
      <c r="L26" s="487" t="s">
        <v>3194</v>
      </c>
      <c r="M26" s="487" t="s">
        <v>3195</v>
      </c>
      <c r="N26" s="492" t="s">
        <v>3115</v>
      </c>
      <c r="O26" s="492" t="s">
        <v>3116</v>
      </c>
      <c r="P26" s="492" t="s">
        <v>3196</v>
      </c>
      <c r="Q26" s="476" t="s">
        <v>3196</v>
      </c>
      <c r="R26" s="471" t="s">
        <v>3071</v>
      </c>
      <c r="S26" s="477" t="s">
        <v>2915</v>
      </c>
    </row>
    <row r="27">
      <c r="A27" s="474" t="s">
        <v>3197</v>
      </c>
      <c r="B27" s="475" t="s">
        <v>3198</v>
      </c>
      <c r="C27" s="479"/>
      <c r="D27" s="479"/>
      <c r="E27" s="479"/>
      <c r="F27" s="479"/>
      <c r="G27" s="479"/>
      <c r="I27" s="490"/>
      <c r="K27" s="479"/>
      <c r="L27" s="483"/>
      <c r="M27" s="483"/>
      <c r="N27" s="483"/>
      <c r="O27" s="483"/>
      <c r="P27" s="483"/>
      <c r="Q27" s="483"/>
      <c r="R27" s="483"/>
      <c r="S27" s="482"/>
    </row>
    <row r="28">
      <c r="A28" s="474" t="s">
        <v>2921</v>
      </c>
      <c r="B28" s="475" t="s">
        <v>3199</v>
      </c>
      <c r="C28" s="474" t="s">
        <v>2923</v>
      </c>
      <c r="D28" s="470"/>
      <c r="E28" s="470"/>
      <c r="F28" s="479"/>
      <c r="G28" s="479"/>
      <c r="I28" s="490"/>
      <c r="K28" s="479"/>
      <c r="L28" s="483"/>
      <c r="M28" s="483"/>
      <c r="N28" s="483"/>
      <c r="O28" s="483"/>
      <c r="P28" s="483"/>
      <c r="Q28" s="483"/>
      <c r="R28" s="483"/>
      <c r="S28" s="477" t="s">
        <v>2924</v>
      </c>
    </row>
    <row r="29">
      <c r="A29" s="474" t="s">
        <v>2925</v>
      </c>
      <c r="B29" s="475" t="s">
        <v>2926</v>
      </c>
      <c r="C29" s="475" t="s">
        <v>2927</v>
      </c>
      <c r="D29" s="475" t="s">
        <v>3200</v>
      </c>
      <c r="E29" s="475" t="s">
        <v>3200</v>
      </c>
      <c r="F29" s="475" t="s">
        <v>3200</v>
      </c>
      <c r="G29" s="475" t="s">
        <v>3200</v>
      </c>
      <c r="H29" s="475" t="s">
        <v>3200</v>
      </c>
      <c r="I29" s="490"/>
      <c r="J29" s="475" t="s">
        <v>3200</v>
      </c>
      <c r="K29" s="475" t="s">
        <v>3200</v>
      </c>
      <c r="L29" s="476" t="s">
        <v>3200</v>
      </c>
      <c r="M29" s="476" t="s">
        <v>3200</v>
      </c>
      <c r="N29" s="476" t="s">
        <v>3200</v>
      </c>
      <c r="O29" s="476" t="s">
        <v>3200</v>
      </c>
      <c r="P29" s="476" t="s">
        <v>3200</v>
      </c>
      <c r="Q29" s="476" t="s">
        <v>3200</v>
      </c>
      <c r="R29" s="476" t="s">
        <v>3200</v>
      </c>
      <c r="S29" s="477" t="s">
        <v>2929</v>
      </c>
    </row>
    <row r="30">
      <c r="A30" s="474" t="s">
        <v>2930</v>
      </c>
      <c r="B30" s="475" t="s">
        <v>2931</v>
      </c>
      <c r="C30" s="475" t="s">
        <v>2932</v>
      </c>
      <c r="D30" s="475" t="s">
        <v>3201</v>
      </c>
      <c r="E30" s="475" t="s">
        <v>3201</v>
      </c>
      <c r="F30" s="475" t="s">
        <v>3202</v>
      </c>
      <c r="G30" s="471" t="s">
        <v>3203</v>
      </c>
      <c r="H30" s="475" t="s">
        <v>3204</v>
      </c>
      <c r="I30" s="490"/>
      <c r="J30" s="475" t="s">
        <v>3204</v>
      </c>
      <c r="K30" s="471" t="s">
        <v>3205</v>
      </c>
      <c r="L30" s="476" t="s">
        <v>3205</v>
      </c>
      <c r="M30" s="475" t="s">
        <v>3205</v>
      </c>
      <c r="N30" s="489" t="s">
        <v>3119</v>
      </c>
      <c r="O30" s="476" t="s">
        <v>3119</v>
      </c>
      <c r="P30" s="487" t="s">
        <v>3206</v>
      </c>
      <c r="Q30" s="487" t="s">
        <v>3120</v>
      </c>
      <c r="R30" s="471" t="s">
        <v>3075</v>
      </c>
      <c r="S30" s="477" t="s">
        <v>3030</v>
      </c>
    </row>
    <row r="31">
      <c r="A31" s="474" t="s">
        <v>3031</v>
      </c>
      <c r="B31" s="475" t="s">
        <v>3032</v>
      </c>
      <c r="C31" s="475" t="s">
        <v>3033</v>
      </c>
      <c r="D31" s="475" t="s">
        <v>3207</v>
      </c>
      <c r="E31" s="475" t="s">
        <v>3207</v>
      </c>
      <c r="F31" s="475" t="s">
        <v>3207</v>
      </c>
      <c r="G31" s="475" t="s">
        <v>3207</v>
      </c>
      <c r="H31" s="475" t="s">
        <v>3207</v>
      </c>
      <c r="I31" s="490"/>
      <c r="J31" s="475" t="s">
        <v>3207</v>
      </c>
      <c r="K31" s="475" t="s">
        <v>3207</v>
      </c>
      <c r="L31" s="476" t="s">
        <v>3207</v>
      </c>
      <c r="M31" s="476" t="s">
        <v>3207</v>
      </c>
      <c r="N31" s="476" t="s">
        <v>3207</v>
      </c>
      <c r="O31" s="476" t="s">
        <v>3207</v>
      </c>
      <c r="P31" s="476" t="s">
        <v>3207</v>
      </c>
      <c r="Q31" s="476" t="s">
        <v>3207</v>
      </c>
      <c r="R31" s="476" t="s">
        <v>3207</v>
      </c>
      <c r="S31" s="477" t="s">
        <v>3035</v>
      </c>
    </row>
    <row r="32">
      <c r="A32" s="474" t="s">
        <v>3036</v>
      </c>
      <c r="B32" s="475" t="s">
        <v>263</v>
      </c>
      <c r="C32" s="475" t="s">
        <v>2873</v>
      </c>
      <c r="D32" s="475" t="s">
        <v>3156</v>
      </c>
      <c r="E32" s="471" t="s">
        <v>3157</v>
      </c>
      <c r="F32" s="475" t="s">
        <v>3158</v>
      </c>
      <c r="G32" s="475" t="s">
        <v>3159</v>
      </c>
      <c r="H32" s="475" t="s">
        <v>3160</v>
      </c>
      <c r="I32" s="490"/>
      <c r="J32" s="475" t="s">
        <v>3160</v>
      </c>
      <c r="K32" s="475" t="s">
        <v>3161</v>
      </c>
      <c r="L32" s="476" t="s">
        <v>3161</v>
      </c>
      <c r="M32" s="476" t="s">
        <v>3161</v>
      </c>
      <c r="N32" s="476" t="s">
        <v>3161</v>
      </c>
      <c r="O32" s="476" t="s">
        <v>3161</v>
      </c>
      <c r="P32" s="476" t="s">
        <v>3161</v>
      </c>
      <c r="Q32" s="476" t="s">
        <v>3161</v>
      </c>
      <c r="R32" s="476" t="s">
        <v>3161</v>
      </c>
      <c r="S32" s="477" t="s">
        <v>2874</v>
      </c>
    </row>
    <row r="33">
      <c r="A33" s="474" t="s">
        <v>2939</v>
      </c>
      <c r="B33" s="475" t="s">
        <v>50</v>
      </c>
      <c r="C33" s="475" t="s">
        <v>2940</v>
      </c>
      <c r="D33" s="475" t="s">
        <v>2978</v>
      </c>
      <c r="E33" s="475" t="s">
        <v>2978</v>
      </c>
      <c r="F33" s="475" t="s">
        <v>2978</v>
      </c>
      <c r="G33" s="475" t="s">
        <v>2978</v>
      </c>
      <c r="H33" s="475" t="s">
        <v>2640</v>
      </c>
      <c r="I33" s="490"/>
      <c r="J33" s="475" t="s">
        <v>2640</v>
      </c>
      <c r="K33" s="471" t="s">
        <v>3208</v>
      </c>
      <c r="L33" s="487" t="s">
        <v>3209</v>
      </c>
      <c r="M33" s="487" t="s">
        <v>3210</v>
      </c>
      <c r="N33" s="487" t="s">
        <v>3122</v>
      </c>
      <c r="O33" s="487" t="s">
        <v>3122</v>
      </c>
      <c r="P33" s="476" t="s">
        <v>3122</v>
      </c>
      <c r="Q33" s="476" t="s">
        <v>3122</v>
      </c>
      <c r="R33" s="471" t="s">
        <v>3078</v>
      </c>
      <c r="S33" s="477" t="s">
        <v>3080</v>
      </c>
    </row>
    <row r="34">
      <c r="A34" s="474" t="s">
        <v>2954</v>
      </c>
      <c r="B34" s="475" t="s">
        <v>2955</v>
      </c>
      <c r="C34" s="475" t="s">
        <v>2334</v>
      </c>
      <c r="D34" s="471" t="s">
        <v>3211</v>
      </c>
      <c r="E34" s="471" t="s">
        <v>3212</v>
      </c>
      <c r="F34" s="471" t="s">
        <v>3213</v>
      </c>
      <c r="G34" s="471" t="s">
        <v>3214</v>
      </c>
      <c r="H34" s="471" t="s">
        <v>3215</v>
      </c>
      <c r="I34" s="491" t="s">
        <v>3165</v>
      </c>
      <c r="J34" s="471" t="s">
        <v>3216</v>
      </c>
      <c r="K34" s="471" t="s">
        <v>3217</v>
      </c>
      <c r="L34" s="476" t="s">
        <v>3218</v>
      </c>
      <c r="M34" s="487" t="s">
        <v>3219</v>
      </c>
      <c r="N34" s="487" t="s">
        <v>3123</v>
      </c>
      <c r="O34" s="476" t="s">
        <v>3123</v>
      </c>
      <c r="P34" s="487" t="s">
        <v>3124</v>
      </c>
      <c r="Q34" s="476" t="s">
        <v>3124</v>
      </c>
      <c r="R34" s="471" t="s">
        <v>3083</v>
      </c>
      <c r="S34" s="477" t="s">
        <v>2960</v>
      </c>
    </row>
    <row r="35">
      <c r="A35" s="474" t="s">
        <v>2961</v>
      </c>
      <c r="B35" s="475" t="s">
        <v>55</v>
      </c>
      <c r="C35" s="475" t="s">
        <v>53</v>
      </c>
      <c r="D35" s="475">
        <v>1.3</v>
      </c>
      <c r="E35" s="475">
        <v>1.3</v>
      </c>
      <c r="F35" s="475">
        <v>1.3</v>
      </c>
      <c r="G35" s="475">
        <v>1.3</v>
      </c>
      <c r="H35" s="475">
        <v>1.3</v>
      </c>
      <c r="I35" s="490"/>
      <c r="J35" s="475">
        <v>1.3</v>
      </c>
      <c r="K35" s="475">
        <v>1.3</v>
      </c>
      <c r="L35" s="476">
        <v>1.3</v>
      </c>
      <c r="M35" s="476">
        <v>1.3</v>
      </c>
      <c r="N35" s="476">
        <v>1.3</v>
      </c>
      <c r="O35" s="476">
        <v>1.3</v>
      </c>
      <c r="P35" s="476">
        <v>1.3</v>
      </c>
      <c r="Q35" s="476">
        <v>1.3</v>
      </c>
      <c r="R35" s="476">
        <v>1.3</v>
      </c>
      <c r="S35" s="477" t="s">
        <v>2962</v>
      </c>
    </row>
    <row r="36">
      <c r="A36" s="474" t="s">
        <v>2963</v>
      </c>
      <c r="B36" s="475" t="s">
        <v>2964</v>
      </c>
      <c r="C36" s="475" t="s">
        <v>2965</v>
      </c>
      <c r="D36" s="475" t="s">
        <v>3220</v>
      </c>
      <c r="E36" s="475" t="s">
        <v>3220</v>
      </c>
      <c r="F36" s="475" t="s">
        <v>3220</v>
      </c>
      <c r="G36" s="475" t="s">
        <v>3220</v>
      </c>
      <c r="H36" s="475" t="s">
        <v>3220</v>
      </c>
      <c r="I36" s="490"/>
      <c r="J36" s="475" t="s">
        <v>3220</v>
      </c>
      <c r="K36" s="475" t="s">
        <v>3220</v>
      </c>
      <c r="L36" s="476" t="s">
        <v>3221</v>
      </c>
      <c r="M36" s="471" t="s">
        <v>3222</v>
      </c>
      <c r="N36" s="475" t="s">
        <v>3222</v>
      </c>
      <c r="O36" s="476" t="s">
        <v>3222</v>
      </c>
      <c r="P36" s="487" t="s">
        <v>3127</v>
      </c>
      <c r="Q36" s="476" t="s">
        <v>3127</v>
      </c>
      <c r="R36" s="471" t="s">
        <v>2650</v>
      </c>
      <c r="S36" s="477" t="s">
        <v>2966</v>
      </c>
    </row>
    <row r="37">
      <c r="A37" s="474" t="s">
        <v>2968</v>
      </c>
      <c r="B37" s="475" t="s">
        <v>329</v>
      </c>
      <c r="C37" s="475" t="s">
        <v>2969</v>
      </c>
      <c r="D37" s="471">
        <v>1.1</v>
      </c>
      <c r="E37" s="471">
        <v>1.1</v>
      </c>
      <c r="F37" s="471">
        <v>1.1</v>
      </c>
      <c r="G37" s="475">
        <v>1.1</v>
      </c>
      <c r="H37" s="471">
        <v>1.1</v>
      </c>
      <c r="I37" s="490"/>
      <c r="J37" s="471">
        <v>1.1</v>
      </c>
      <c r="K37" s="475">
        <v>1.1</v>
      </c>
      <c r="L37" s="476">
        <v>1.1</v>
      </c>
      <c r="M37" s="476">
        <v>1.1</v>
      </c>
      <c r="N37" s="476">
        <v>1.1</v>
      </c>
      <c r="O37" s="476">
        <v>1.1</v>
      </c>
      <c r="P37" s="476">
        <v>1.1</v>
      </c>
      <c r="Q37" s="476">
        <v>1.1</v>
      </c>
      <c r="R37" s="476">
        <v>1.1</v>
      </c>
      <c r="S37" s="477" t="s">
        <v>2970</v>
      </c>
    </row>
    <row r="38">
      <c r="A38" s="474" t="s">
        <v>3084</v>
      </c>
      <c r="B38" s="475" t="s">
        <v>2890</v>
      </c>
      <c r="C38" s="475" t="s">
        <v>3085</v>
      </c>
      <c r="D38" s="475" t="s">
        <v>3156</v>
      </c>
      <c r="E38" s="471" t="s">
        <v>3157</v>
      </c>
      <c r="F38" s="475" t="s">
        <v>3158</v>
      </c>
      <c r="G38" s="475" t="s">
        <v>3159</v>
      </c>
      <c r="H38" s="475" t="s">
        <v>3160</v>
      </c>
      <c r="I38" s="491" t="s">
        <v>3165</v>
      </c>
      <c r="J38" s="475" t="s">
        <v>3160</v>
      </c>
      <c r="K38" s="475" t="s">
        <v>3161</v>
      </c>
      <c r="L38" s="476" t="s">
        <v>3161</v>
      </c>
      <c r="M38" s="476" t="s">
        <v>3161</v>
      </c>
      <c r="N38" s="476" t="s">
        <v>3161</v>
      </c>
      <c r="O38" s="476" t="s">
        <v>3161</v>
      </c>
      <c r="P38" s="476" t="s">
        <v>3161</v>
      </c>
      <c r="Q38" s="476" t="s">
        <v>3161</v>
      </c>
      <c r="R38" s="476" t="s">
        <v>3161</v>
      </c>
      <c r="S38" s="477" t="s">
        <v>3086</v>
      </c>
    </row>
    <row r="39">
      <c r="A39" s="474" t="s">
        <v>2971</v>
      </c>
      <c r="B39" s="475" t="s">
        <v>2972</v>
      </c>
      <c r="C39" s="475" t="s">
        <v>198</v>
      </c>
      <c r="D39" s="471" t="s">
        <v>3223</v>
      </c>
      <c r="E39" s="471" t="s">
        <v>3223</v>
      </c>
      <c r="F39" s="471" t="s">
        <v>3223</v>
      </c>
      <c r="G39" s="471" t="s">
        <v>2751</v>
      </c>
      <c r="H39" s="471" t="s">
        <v>2751</v>
      </c>
      <c r="I39" s="490"/>
      <c r="J39" s="471" t="s">
        <v>2751</v>
      </c>
      <c r="K39" s="475" t="s">
        <v>2751</v>
      </c>
      <c r="L39" s="476" t="s">
        <v>2751</v>
      </c>
      <c r="M39" s="475" t="s">
        <v>2751</v>
      </c>
      <c r="N39" s="475" t="s">
        <v>2751</v>
      </c>
      <c r="O39" s="476" t="s">
        <v>2751</v>
      </c>
      <c r="P39" s="487" t="s">
        <v>3224</v>
      </c>
      <c r="Q39" s="476" t="s">
        <v>3224</v>
      </c>
      <c r="R39" s="471" t="s">
        <v>3087</v>
      </c>
      <c r="S39" s="477" t="s">
        <v>2973</v>
      </c>
    </row>
    <row r="40">
      <c r="A40" s="474" t="s">
        <v>2982</v>
      </c>
      <c r="B40" s="475" t="s">
        <v>2983</v>
      </c>
      <c r="C40" s="475" t="s">
        <v>2984</v>
      </c>
      <c r="D40" s="475">
        <v>1.1</v>
      </c>
      <c r="E40" s="475">
        <v>1.1</v>
      </c>
      <c r="F40" s="475">
        <v>1.1</v>
      </c>
      <c r="G40" s="475">
        <v>1.1</v>
      </c>
      <c r="H40" s="475">
        <v>1.1</v>
      </c>
      <c r="I40" s="490"/>
      <c r="J40" s="475">
        <v>1.1</v>
      </c>
      <c r="K40" s="475">
        <v>1.1</v>
      </c>
      <c r="L40" s="476">
        <v>1.1</v>
      </c>
      <c r="M40" s="476">
        <v>1.1</v>
      </c>
      <c r="N40" s="476">
        <v>1.1</v>
      </c>
      <c r="O40" s="476">
        <v>1.1</v>
      </c>
      <c r="P40" s="476">
        <v>1.1</v>
      </c>
      <c r="Q40" s="476">
        <v>1.1</v>
      </c>
      <c r="R40" s="476">
        <v>1.1</v>
      </c>
      <c r="S40" s="477" t="s">
        <v>2985</v>
      </c>
    </row>
    <row r="41">
      <c r="A41" s="474" t="s">
        <v>2986</v>
      </c>
      <c r="B41" s="475" t="s">
        <v>2987</v>
      </c>
      <c r="C41" s="475" t="s">
        <v>3225</v>
      </c>
      <c r="D41" s="475" t="s">
        <v>3226</v>
      </c>
      <c r="E41" s="475" t="s">
        <v>3226</v>
      </c>
      <c r="F41" s="475" t="s">
        <v>3226</v>
      </c>
      <c r="G41" s="471" t="s">
        <v>3227</v>
      </c>
      <c r="H41" s="475" t="s">
        <v>3227</v>
      </c>
      <c r="I41" s="491" t="s">
        <v>3165</v>
      </c>
      <c r="J41" s="475" t="s">
        <v>3227</v>
      </c>
      <c r="K41" s="476" t="s">
        <v>3228</v>
      </c>
      <c r="L41" s="476" t="s">
        <v>3229</v>
      </c>
      <c r="M41" s="476" t="s">
        <v>3229</v>
      </c>
      <c r="N41" s="487" t="s">
        <v>3129</v>
      </c>
      <c r="O41" s="476" t="s">
        <v>3129</v>
      </c>
      <c r="P41" s="476" t="s">
        <v>3129</v>
      </c>
      <c r="Q41" s="476" t="s">
        <v>3129</v>
      </c>
      <c r="R41" s="471" t="s">
        <v>3093</v>
      </c>
      <c r="S41" s="477" t="s">
        <v>3044</v>
      </c>
    </row>
    <row r="42">
      <c r="A42" s="474" t="s">
        <v>3230</v>
      </c>
      <c r="B42" s="475" t="s">
        <v>3046</v>
      </c>
      <c r="C42" s="475" t="s">
        <v>3231</v>
      </c>
      <c r="D42" s="475" t="s">
        <v>2817</v>
      </c>
      <c r="E42" s="475" t="s">
        <v>2817</v>
      </c>
      <c r="F42" s="475" t="s">
        <v>2817</v>
      </c>
      <c r="G42" s="471" t="s">
        <v>3026</v>
      </c>
      <c r="H42" s="475" t="s">
        <v>3026</v>
      </c>
      <c r="I42" s="491" t="s">
        <v>3165</v>
      </c>
      <c r="J42" s="475" t="s">
        <v>3026</v>
      </c>
      <c r="K42" s="475" t="s">
        <v>3026</v>
      </c>
      <c r="L42" s="476" t="s">
        <v>3026</v>
      </c>
      <c r="M42" s="475" t="s">
        <v>3026</v>
      </c>
      <c r="N42" s="475" t="s">
        <v>3026</v>
      </c>
      <c r="O42" s="476" t="s">
        <v>3026</v>
      </c>
      <c r="P42" s="476" t="s">
        <v>3026</v>
      </c>
      <c r="Q42" s="476" t="s">
        <v>3026</v>
      </c>
      <c r="R42" s="476" t="s">
        <v>3026</v>
      </c>
      <c r="S42" s="477" t="s">
        <v>3232</v>
      </c>
    </row>
    <row r="43">
      <c r="A43" s="474" t="s">
        <v>2991</v>
      </c>
      <c r="B43" s="475" t="s">
        <v>2992</v>
      </c>
      <c r="C43" s="475" t="s">
        <v>145</v>
      </c>
      <c r="D43" s="475" t="s">
        <v>3087</v>
      </c>
      <c r="E43" s="475" t="s">
        <v>3087</v>
      </c>
      <c r="F43" s="475" t="s">
        <v>3087</v>
      </c>
      <c r="G43" s="475" t="s">
        <v>3087</v>
      </c>
      <c r="H43" s="475" t="s">
        <v>3087</v>
      </c>
      <c r="I43" s="490"/>
      <c r="J43" s="475" t="s">
        <v>3087</v>
      </c>
      <c r="K43" s="471" t="s">
        <v>3233</v>
      </c>
      <c r="L43" s="476" t="s">
        <v>3233</v>
      </c>
      <c r="M43" s="475" t="s">
        <v>3233</v>
      </c>
      <c r="N43" s="471" t="s">
        <v>3131</v>
      </c>
      <c r="O43" s="476" t="s">
        <v>3131</v>
      </c>
      <c r="P43" s="476" t="s">
        <v>3131</v>
      </c>
      <c r="Q43" s="476" t="s">
        <v>3131</v>
      </c>
      <c r="R43" s="471" t="s">
        <v>3096</v>
      </c>
      <c r="S43" s="477" t="s">
        <v>2997</v>
      </c>
    </row>
  </sheetData>
  <hyperlinks>
    <hyperlink r:id="rId2" ref="B12"/>
  </hyperlinks>
  <drawing r:id="rId3"/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3.38"/>
    <col customWidth="1" min="2" max="2" width="32.25"/>
    <col customWidth="1" min="3" max="3" width="24.0"/>
    <col customWidth="1" hidden="1" min="4" max="7" width="12.25"/>
    <col customWidth="1" hidden="1" min="8" max="8" width="15.13"/>
    <col customWidth="1" min="9" max="9" width="15.13"/>
  </cols>
  <sheetData>
    <row r="1">
      <c r="A1" s="486"/>
      <c r="B1" s="486"/>
      <c r="C1" s="470"/>
      <c r="D1" s="471" t="s">
        <v>3234</v>
      </c>
      <c r="E1" s="471" t="s">
        <v>3235</v>
      </c>
      <c r="F1" s="471" t="s">
        <v>3236</v>
      </c>
      <c r="G1" s="471" t="s">
        <v>3237</v>
      </c>
      <c r="H1" s="471" t="s">
        <v>3237</v>
      </c>
      <c r="I1" s="471" t="s">
        <v>2354</v>
      </c>
    </row>
    <row r="2">
      <c r="A2" s="474" t="s">
        <v>3238</v>
      </c>
      <c r="B2" s="474" t="s">
        <v>2782</v>
      </c>
      <c r="C2" s="471" t="s">
        <v>2291</v>
      </c>
      <c r="D2" s="475" t="s">
        <v>3239</v>
      </c>
      <c r="E2" s="471" t="s">
        <v>3240</v>
      </c>
      <c r="F2" s="471" t="s">
        <v>3241</v>
      </c>
      <c r="G2" s="487" t="s">
        <v>3242</v>
      </c>
      <c r="H2" s="476" t="s">
        <v>3242</v>
      </c>
      <c r="I2" s="487" t="s">
        <v>3243</v>
      </c>
    </row>
    <row r="3">
      <c r="A3" s="474" t="s">
        <v>2831</v>
      </c>
      <c r="B3" s="474" t="s">
        <v>2832</v>
      </c>
      <c r="C3" s="471" t="s">
        <v>2346</v>
      </c>
      <c r="D3" s="475" t="s">
        <v>3173</v>
      </c>
      <c r="E3" s="475" t="s">
        <v>3173</v>
      </c>
      <c r="F3" s="475" t="s">
        <v>3173</v>
      </c>
      <c r="G3" s="476" t="s">
        <v>3173</v>
      </c>
      <c r="H3" s="476" t="s">
        <v>3173</v>
      </c>
      <c r="I3" s="476" t="s">
        <v>3173</v>
      </c>
    </row>
    <row r="4">
      <c r="A4" s="474" t="s">
        <v>2834</v>
      </c>
      <c r="B4" s="493" t="s">
        <v>2835</v>
      </c>
      <c r="C4" s="471" t="s">
        <v>123</v>
      </c>
      <c r="D4" s="475" t="s">
        <v>3152</v>
      </c>
      <c r="E4" s="471" t="s">
        <v>3244</v>
      </c>
      <c r="F4" s="475" t="s">
        <v>3245</v>
      </c>
      <c r="G4" s="476" t="s">
        <v>3245</v>
      </c>
      <c r="H4" s="476" t="s">
        <v>3245</v>
      </c>
      <c r="I4" s="487" t="s">
        <v>3246</v>
      </c>
    </row>
    <row r="5">
      <c r="A5" s="474" t="s">
        <v>2848</v>
      </c>
      <c r="B5" s="474" t="s">
        <v>2849</v>
      </c>
      <c r="C5" s="471" t="s">
        <v>2850</v>
      </c>
      <c r="D5" s="475" t="s">
        <v>3092</v>
      </c>
      <c r="E5" s="475" t="s">
        <v>3092</v>
      </c>
      <c r="F5" s="475" t="s">
        <v>3092</v>
      </c>
      <c r="G5" s="476" t="s">
        <v>3092</v>
      </c>
      <c r="H5" s="476" t="s">
        <v>3092</v>
      </c>
      <c r="I5" s="476" t="s">
        <v>3092</v>
      </c>
    </row>
    <row r="6">
      <c r="A6" s="474" t="s">
        <v>2852</v>
      </c>
      <c r="B6" s="474" t="s">
        <v>129</v>
      </c>
      <c r="C6" s="471" t="s">
        <v>2853</v>
      </c>
      <c r="D6" s="475" t="s">
        <v>3092</v>
      </c>
      <c r="E6" s="475" t="s">
        <v>3092</v>
      </c>
      <c r="F6" s="475" t="s">
        <v>3092</v>
      </c>
      <c r="G6" s="476" t="s">
        <v>3092</v>
      </c>
      <c r="H6" s="476" t="s">
        <v>3092</v>
      </c>
      <c r="I6" s="476" t="s">
        <v>3092</v>
      </c>
    </row>
    <row r="7">
      <c r="A7" s="474" t="s">
        <v>2863</v>
      </c>
      <c r="B7" s="474" t="s">
        <v>1100</v>
      </c>
      <c r="C7" s="471" t="s">
        <v>2864</v>
      </c>
      <c r="D7" s="475" t="s">
        <v>3092</v>
      </c>
      <c r="E7" s="475" t="s">
        <v>3092</v>
      </c>
      <c r="F7" s="475" t="s">
        <v>3092</v>
      </c>
      <c r="G7" s="476" t="s">
        <v>3092</v>
      </c>
      <c r="H7" s="476" t="s">
        <v>3092</v>
      </c>
      <c r="I7" s="476" t="s">
        <v>3092</v>
      </c>
    </row>
    <row r="8">
      <c r="A8" s="474" t="s">
        <v>2866</v>
      </c>
      <c r="B8" s="474" t="s">
        <v>23</v>
      </c>
      <c r="C8" s="471" t="s">
        <v>21</v>
      </c>
      <c r="D8" s="475" t="s">
        <v>3092</v>
      </c>
      <c r="E8" s="475" t="s">
        <v>3092</v>
      </c>
      <c r="F8" s="475" t="s">
        <v>3092</v>
      </c>
      <c r="G8" s="476" t="s">
        <v>3092</v>
      </c>
      <c r="H8" s="476" t="s">
        <v>3092</v>
      </c>
      <c r="I8" s="476" t="s">
        <v>3092</v>
      </c>
    </row>
    <row r="9">
      <c r="A9" s="474" t="s">
        <v>2875</v>
      </c>
      <c r="B9" s="474" t="s">
        <v>28</v>
      </c>
      <c r="C9" s="471" t="s">
        <v>26</v>
      </c>
      <c r="D9" s="475" t="s">
        <v>3092</v>
      </c>
      <c r="E9" s="475" t="s">
        <v>3092</v>
      </c>
      <c r="F9" s="475" t="s">
        <v>3092</v>
      </c>
      <c r="G9" s="476" t="s">
        <v>3092</v>
      </c>
      <c r="H9" s="476" t="s">
        <v>3092</v>
      </c>
      <c r="I9" s="476" t="s">
        <v>3092</v>
      </c>
    </row>
    <row r="10">
      <c r="A10" s="474" t="s">
        <v>3178</v>
      </c>
      <c r="B10" s="474" t="s">
        <v>2975</v>
      </c>
      <c r="C10" s="471" t="s">
        <v>2976</v>
      </c>
      <c r="D10" s="475" t="s">
        <v>3247</v>
      </c>
      <c r="E10" s="475" t="s">
        <v>3247</v>
      </c>
      <c r="F10" s="475" t="s">
        <v>3247</v>
      </c>
      <c r="G10" s="487" t="s">
        <v>3248</v>
      </c>
      <c r="H10" s="476" t="s">
        <v>3248</v>
      </c>
      <c r="I10" s="476" t="s">
        <v>3248</v>
      </c>
    </row>
    <row r="11">
      <c r="A11" s="474" t="s">
        <v>2878</v>
      </c>
      <c r="B11" s="474" t="s">
        <v>38</v>
      </c>
      <c r="C11" s="471" t="s">
        <v>36</v>
      </c>
      <c r="D11" s="475" t="s">
        <v>3092</v>
      </c>
      <c r="E11" s="475" t="s">
        <v>3092</v>
      </c>
      <c r="F11" s="475" t="s">
        <v>3092</v>
      </c>
      <c r="G11" s="476" t="s">
        <v>3092</v>
      </c>
      <c r="H11" s="476" t="s">
        <v>3092</v>
      </c>
      <c r="I11" s="476" t="s">
        <v>3092</v>
      </c>
    </row>
    <row r="12">
      <c r="A12" s="474" t="s">
        <v>3249</v>
      </c>
      <c r="B12" s="474" t="s">
        <v>3250</v>
      </c>
      <c r="C12" s="471" t="s">
        <v>3251</v>
      </c>
      <c r="D12" s="475" t="s">
        <v>3092</v>
      </c>
      <c r="E12" s="475" t="s">
        <v>3092</v>
      </c>
      <c r="F12" s="475" t="s">
        <v>3092</v>
      </c>
      <c r="G12" s="487" t="s">
        <v>3252</v>
      </c>
      <c r="H12" s="476" t="s">
        <v>3252</v>
      </c>
      <c r="I12" s="476" t="s">
        <v>3252</v>
      </c>
    </row>
    <row r="13">
      <c r="A13" s="474" t="s">
        <v>2903</v>
      </c>
      <c r="B13" s="474" t="s">
        <v>2904</v>
      </c>
      <c r="C13" s="471" t="s">
        <v>3253</v>
      </c>
      <c r="D13" s="479"/>
      <c r="E13" s="479"/>
      <c r="F13" s="494"/>
      <c r="G13" s="483"/>
      <c r="H13" s="483"/>
      <c r="I13" s="487" t="s">
        <v>3072</v>
      </c>
    </row>
    <row r="14">
      <c r="A14" s="474" t="s">
        <v>2909</v>
      </c>
      <c r="B14" s="474" t="s">
        <v>2910</v>
      </c>
      <c r="C14" s="471" t="s">
        <v>3254</v>
      </c>
      <c r="D14" s="475" t="s">
        <v>3255</v>
      </c>
      <c r="E14" s="471" t="s">
        <v>3191</v>
      </c>
      <c r="F14" s="495" t="s">
        <v>2094</v>
      </c>
      <c r="G14" s="487" t="s">
        <v>3193</v>
      </c>
      <c r="H14" s="487" t="s">
        <v>3256</v>
      </c>
      <c r="I14" s="487" t="s">
        <v>3070</v>
      </c>
    </row>
    <row r="15">
      <c r="A15" s="474" t="s">
        <v>3257</v>
      </c>
      <c r="B15" s="474" t="s">
        <v>3258</v>
      </c>
      <c r="C15" s="471" t="s">
        <v>3259</v>
      </c>
      <c r="D15" s="485">
        <v>1.0</v>
      </c>
      <c r="E15" s="485">
        <v>1.0</v>
      </c>
      <c r="F15" s="485">
        <v>1.0</v>
      </c>
      <c r="G15" s="496">
        <v>1.0</v>
      </c>
      <c r="H15" s="496">
        <v>1.0</v>
      </c>
      <c r="I15" s="496" t="s">
        <v>3252</v>
      </c>
    </row>
    <row r="16">
      <c r="A16" s="474" t="s">
        <v>2925</v>
      </c>
      <c r="B16" s="474" t="s">
        <v>2926</v>
      </c>
      <c r="C16" s="471" t="s">
        <v>2927</v>
      </c>
      <c r="D16" s="475" t="s">
        <v>3260</v>
      </c>
      <c r="E16" s="475" t="s">
        <v>3260</v>
      </c>
      <c r="F16" s="475" t="s">
        <v>3260</v>
      </c>
      <c r="G16" s="476" t="s">
        <v>3260</v>
      </c>
      <c r="H16" s="476" t="s">
        <v>3260</v>
      </c>
      <c r="I16" s="476" t="s">
        <v>3260</v>
      </c>
    </row>
    <row r="17">
      <c r="A17" s="474" t="s">
        <v>2930</v>
      </c>
      <c r="B17" s="474" t="s">
        <v>2931</v>
      </c>
      <c r="C17" s="471" t="s">
        <v>3027</v>
      </c>
      <c r="D17" s="475" t="s">
        <v>3026</v>
      </c>
      <c r="E17" s="475" t="s">
        <v>3026</v>
      </c>
      <c r="F17" s="471" t="s">
        <v>3201</v>
      </c>
      <c r="G17" s="487" t="s">
        <v>3205</v>
      </c>
      <c r="H17" s="476" t="s">
        <v>3205</v>
      </c>
      <c r="I17" s="487" t="s">
        <v>3074</v>
      </c>
    </row>
    <row r="18">
      <c r="A18" s="474" t="s">
        <v>3031</v>
      </c>
      <c r="B18" s="474" t="s">
        <v>3032</v>
      </c>
      <c r="C18" s="471" t="s">
        <v>3261</v>
      </c>
      <c r="D18" s="475" t="s">
        <v>3262</v>
      </c>
      <c r="E18" s="471" t="s">
        <v>3207</v>
      </c>
      <c r="F18" s="475" t="s">
        <v>3207</v>
      </c>
      <c r="G18" s="476" t="s">
        <v>3207</v>
      </c>
      <c r="H18" s="476" t="s">
        <v>3207</v>
      </c>
      <c r="I18" s="476" t="s">
        <v>3207</v>
      </c>
    </row>
    <row r="19">
      <c r="A19" s="474" t="s">
        <v>2939</v>
      </c>
      <c r="B19" s="474" t="s">
        <v>50</v>
      </c>
      <c r="C19" s="471" t="s">
        <v>3263</v>
      </c>
      <c r="D19" s="479"/>
      <c r="E19" s="471" t="s">
        <v>3264</v>
      </c>
      <c r="F19" s="471" t="s">
        <v>2978</v>
      </c>
      <c r="G19" s="487" t="s">
        <v>3208</v>
      </c>
      <c r="H19" s="487" t="s">
        <v>3208</v>
      </c>
      <c r="I19" s="487" t="s">
        <v>3077</v>
      </c>
    </row>
    <row r="20">
      <c r="A20" s="474" t="s">
        <v>2954</v>
      </c>
      <c r="B20" s="474" t="s">
        <v>2955</v>
      </c>
      <c r="C20" s="471" t="s">
        <v>2334</v>
      </c>
      <c r="D20" s="479"/>
      <c r="E20" s="471" t="s">
        <v>3265</v>
      </c>
      <c r="F20" s="471" t="s">
        <v>3266</v>
      </c>
      <c r="G20" s="487" t="s">
        <v>3267</v>
      </c>
      <c r="H20" s="487" t="s">
        <v>3267</v>
      </c>
      <c r="I20" s="487" t="s">
        <v>3082</v>
      </c>
    </row>
    <row r="21">
      <c r="A21" s="474" t="s">
        <v>2961</v>
      </c>
      <c r="B21" s="474" t="s">
        <v>3268</v>
      </c>
      <c r="C21" s="471" t="s">
        <v>53</v>
      </c>
      <c r="D21" s="475">
        <v>1.3</v>
      </c>
      <c r="E21" s="475">
        <v>1.3</v>
      </c>
      <c r="F21" s="475">
        <v>1.3</v>
      </c>
      <c r="G21" s="476">
        <v>1.3</v>
      </c>
      <c r="H21" s="476">
        <v>1.3</v>
      </c>
      <c r="I21" s="476">
        <v>1.3</v>
      </c>
    </row>
    <row r="22">
      <c r="A22" s="474" t="s">
        <v>2963</v>
      </c>
      <c r="B22" s="474" t="s">
        <v>2964</v>
      </c>
      <c r="C22" s="471" t="s">
        <v>2648</v>
      </c>
      <c r="D22" s="475" t="s">
        <v>3269</v>
      </c>
      <c r="E22" s="475" t="s">
        <v>3269</v>
      </c>
      <c r="F22" s="471" t="s">
        <v>3270</v>
      </c>
      <c r="G22" s="476" t="s">
        <v>3270</v>
      </c>
      <c r="H22" s="476" t="s">
        <v>3270</v>
      </c>
      <c r="I22" s="487" t="s">
        <v>2650</v>
      </c>
    </row>
    <row r="23">
      <c r="A23" s="474" t="s">
        <v>3084</v>
      </c>
      <c r="B23" s="474" t="s">
        <v>2890</v>
      </c>
      <c r="C23" s="471" t="s">
        <v>3271</v>
      </c>
      <c r="D23" s="475">
        <v>1.3</v>
      </c>
      <c r="E23" s="475">
        <v>1.3</v>
      </c>
      <c r="F23" s="475">
        <v>1.3</v>
      </c>
      <c r="G23" s="476">
        <v>1.3</v>
      </c>
      <c r="H23" s="476">
        <v>1.3</v>
      </c>
      <c r="I23" s="476">
        <v>1.3</v>
      </c>
    </row>
    <row r="24">
      <c r="A24" s="474" t="s">
        <v>3272</v>
      </c>
      <c r="B24" s="474" t="s">
        <v>2890</v>
      </c>
      <c r="C24" s="471" t="s">
        <v>3085</v>
      </c>
      <c r="D24" s="475">
        <v>1.3</v>
      </c>
      <c r="E24" s="475">
        <v>1.3</v>
      </c>
      <c r="F24" s="475">
        <v>1.3</v>
      </c>
      <c r="G24" s="476">
        <v>1.3</v>
      </c>
      <c r="H24" s="476">
        <v>1.3</v>
      </c>
      <c r="I24" s="476">
        <v>1.3</v>
      </c>
    </row>
    <row r="25">
      <c r="A25" s="474" t="s">
        <v>3273</v>
      </c>
      <c r="B25" s="474" t="s">
        <v>50</v>
      </c>
      <c r="C25" s="471" t="s">
        <v>3263</v>
      </c>
      <c r="D25" s="475" t="s">
        <v>3246</v>
      </c>
      <c r="E25" s="471" t="s">
        <v>3252</v>
      </c>
      <c r="F25" s="475" t="s">
        <v>3252</v>
      </c>
      <c r="G25" s="476" t="s">
        <v>3252</v>
      </c>
      <c r="H25" s="476" t="s">
        <v>3252</v>
      </c>
      <c r="I25" s="476" t="s">
        <v>3252</v>
      </c>
    </row>
    <row r="26">
      <c r="A26" s="474" t="s">
        <v>2986</v>
      </c>
      <c r="B26" s="474" t="s">
        <v>2987</v>
      </c>
      <c r="C26" s="471" t="s">
        <v>139</v>
      </c>
      <c r="D26" s="479"/>
      <c r="E26" s="471" t="s">
        <v>3274</v>
      </c>
      <c r="F26" s="471" t="s">
        <v>3275</v>
      </c>
      <c r="G26" s="487" t="s">
        <v>3276</v>
      </c>
      <c r="H26" s="487" t="s">
        <v>3229</v>
      </c>
      <c r="I26" s="487" t="s">
        <v>3092</v>
      </c>
    </row>
    <row r="27">
      <c r="A27" s="474" t="s">
        <v>3230</v>
      </c>
      <c r="B27" s="474" t="s">
        <v>3046</v>
      </c>
      <c r="C27" s="471" t="s">
        <v>3231</v>
      </c>
      <c r="D27" s="475" t="s">
        <v>3277</v>
      </c>
      <c r="E27" s="475" t="s">
        <v>3277</v>
      </c>
      <c r="F27" s="475" t="s">
        <v>3277</v>
      </c>
      <c r="G27" s="476" t="s">
        <v>3277</v>
      </c>
      <c r="H27" s="476" t="s">
        <v>3277</v>
      </c>
      <c r="I27" s="487" t="s">
        <v>3278</v>
      </c>
    </row>
    <row r="28">
      <c r="A28" s="474" t="s">
        <v>2991</v>
      </c>
      <c r="B28" s="474" t="s">
        <v>2992</v>
      </c>
      <c r="C28" s="471" t="s">
        <v>145</v>
      </c>
      <c r="D28" s="475" t="s">
        <v>3279</v>
      </c>
      <c r="E28" s="471" t="s">
        <v>3280</v>
      </c>
      <c r="F28" s="471" t="s">
        <v>3281</v>
      </c>
      <c r="G28" s="487" t="s">
        <v>3282</v>
      </c>
      <c r="H28" s="476" t="s">
        <v>3282</v>
      </c>
      <c r="I28" s="487" t="s">
        <v>3095</v>
      </c>
    </row>
  </sheetData>
  <hyperlinks>
    <hyperlink r:id="rId1" ref="B4"/>
  </hyperlinks>
  <drawing r:id="rId2"/>
</worksheet>
</file>