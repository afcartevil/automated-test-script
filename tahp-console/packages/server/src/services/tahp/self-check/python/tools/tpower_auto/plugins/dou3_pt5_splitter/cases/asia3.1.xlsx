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25" windowHeight="8910"/>
  </bookViews>
  <sheets>
    <sheet name="东南亚+南亚3.1" sheetId="3" r:id="rId1"/>
  </sheets>
  <calcPr calcId="144525"/>
</workbook>
</file>

<file path=xl/sharedStrings.xml><?xml version="1.0" encoding="utf-8"?>
<sst xmlns="http://schemas.openxmlformats.org/spreadsheetml/2006/main" count="377" uniqueCount="242">
  <si>
    <t>*TCID</t>
  </si>
  <si>
    <t>*CaseName</t>
  </si>
  <si>
    <t>Single Time</t>
  </si>
  <si>
    <t>During</t>
  </si>
  <si>
    <t>*Steps</t>
  </si>
  <si>
    <t>PPT_Power_UserScenario_00539</t>
  </si>
  <si>
    <t>Whatapp主界面+好友文字对话-DATA</t>
  </si>
  <si>
    <t>1.退回桌面主界面（约5秒）（国内VPN打开）
2.手机桌面主界面1秒一滑左右滑动2次后，点击Whatsapp应用图标，打开Whatsapp完全加载完成。（约10秒）
3.Whatsapp联系人界面每2秒向下滑动一次、向上滑动一次（循序两次），每次滑动界面1/4屏幕距离。（约15秒）
4.找到固定联系人，点击进入对话界面，每隔2秒向对方发送一条消息“T”（约80秒）
5.home键退出Whatsapp回到桌面主界面，待桌面无变化。（约10秒）
6.记录整个过程2分钟（120秒）的平均功耗数据。</t>
  </si>
  <si>
    <t>PPT_Power_UserScenario_00541</t>
  </si>
  <si>
    <t>Phone主叫通话功耗，亮屏通话-DATA</t>
  </si>
  <si>
    <t>1.当前处于灭屏状态，按POWER点亮屏幕，滑动解锁进入主界面（约5秒）
2.手机桌面主界面1秒一滑左右滑动2次后，点击Phone应用图标，打开Phone应用，待Phone应用完全加载完成。（约10秒）
3.phone界面打开拨号盘，输入辅助机电话，播号建立一通电话。（约10秒）
4.打开免提外放功能，亮屏持续通话158秒后挂断电话。（约145秒）
5.home键退出Phone回到桌面主界面，待桌面无变化。（约10秒）
6.记录整个过程3分钟（180秒）的平均功耗数据。</t>
  </si>
  <si>
    <t>PPT_Power_UserScenario_00542</t>
  </si>
  <si>
    <t>灭屏不使用短待机2min-DATA</t>
  </si>
  <si>
    <t>1.保持手机当前的后台状态，按power键灭屏。
2.记录灭屏短待机的平均功耗（固定2分钟）</t>
  </si>
  <si>
    <t>PPT_Power_UserScenario_00543</t>
  </si>
  <si>
    <t>YouTube Music亮屏听音乐-DATA</t>
  </si>
  <si>
    <t>1.当前处于亮屏状态，在home idle主界面等待（约5秒）
2.手机桌面主界面1秒一滑左右滑动2次后，点击YouTube Music应用图标，打开YouTube Music应用，待YouTube Music应用完全加载完成。（约15秒）
3.YouTube Music找到本地音乐lonely.mp3进行亮屏播放，播放后点击暂停（约150秒）
4.返回到应用主界面，home键退出回到桌面主界面，待桌面无变化。（约10秒）
5.记录整个过程3分钟（180秒）的平均功耗数据。</t>
  </si>
  <si>
    <t>PPT_Power_UserScenario_00544</t>
  </si>
  <si>
    <t>灭屏不使用短待机7min-DATA</t>
  </si>
  <si>
    <t>1.保持手机当前的后台状态，按power键灭屏。
2.记录灭屏短待机的平均功耗（固定7分钟）</t>
  </si>
  <si>
    <t>PPT_Power_UserScenario_00545</t>
  </si>
  <si>
    <t>Gallery浏览图片-DATA</t>
  </si>
  <si>
    <t>1.当前处于亮屏状态，在home idle主界面等待（约5秒）
2.手机桌面主界面1秒一滑左右滑动2次后，点击AI Gallery应用图标，待应用完全加载完成。（约10秒）
3.对已存在的照片进入滤镜处理，待机浏览15秒。（循环5次，约155秒）
4.home键退出AI Gallery回到桌面主界面，待桌面无变化后（约10秒）
5.记录整个过程3分钟（180秒）的平均功耗数据。</t>
  </si>
  <si>
    <t>PPT_Power_UserScenario_00547</t>
  </si>
  <si>
    <t>GCash主页待机-DATA</t>
  </si>
  <si>
    <t>1.若当前处于灭屏状态，按POWER点亮屏幕，滑动解锁进入主界面（约5秒）
2.手机桌面主界面1秒一滑左右滑动2次后，点击桌面GCash应用图标，打开GCash应用，待GCash应用完全加载完成。（约5秒）
3.在GCash应用界面待机浏览10秒
4.home键退出GCash回到桌面主界面，待桌面无变化。（约5秒）
5.记录整个过程0.5分钟（30秒）的平均功耗数据。</t>
  </si>
  <si>
    <t>PPT_Power_UserScenario_00548</t>
  </si>
  <si>
    <t>PPT_Power_UserScenario_00549</t>
  </si>
  <si>
    <t>Youtube滑动浏览+观看短视频-DATA</t>
  </si>
  <si>
    <t>1.当前处于亮屏状态，在home idle主界面等待，下拉状态栏关闭WIFI（约5秒）
2.手机桌面主界面1秒一滑左右滑动2次后，点击Youtube应用图标，打开Youtube，待Youtube应用完全加载完成后。（约15秒）
3.Youtube主界面浏览每3秒从顶部向下开始滑动，每三秒滑动一次，每次滑动界面1/4距离（从屏幕距离底部1/4滑动到中间1/2）；若滑动到底部后无法滑动时，向上滑动，步长仍为1/4（约120秒）
4.点击sort，进入到Youtube 短视频界面，每10秒滑动到下一个视频，持续刷270秒（约270秒）
5.home键退出Messenger回到桌面主界面，待桌面无变化（约10秒）
6.记录整个过程7分钟（420秒）的平均功耗数据。</t>
  </si>
  <si>
    <t>PPT_Power_UserScenario_00551</t>
  </si>
  <si>
    <t>Instagram主界面浏览-DATA</t>
  </si>
  <si>
    <t>1.若当前处于灭屏状态，按POWER点亮屏幕，滑动解锁进入主界面（约5秒）
2.手机桌面主界面1秒一滑左右滑动2次后，点击Instagram应用图标，打开Instagram，待Instagram应用完全加载完成后。（约15秒）
3.在Instagram主界面每3秒从顶部向下开始滑动，每三秒滑动一次，每次滑动界面1/4距离（从屏幕距离底部1/4滑动到中间1/2）；若滑动到底部后无法滑动时，向上滑动，步长仍为1/4（固定90秒）
4.home键退出Instagram回到桌面主界面，待桌面无变化（约10秒）
5.记录整个过程2分钟（120秒）的平均功耗数据。</t>
  </si>
  <si>
    <t>PPT_Power_UserScenario_00552</t>
  </si>
  <si>
    <t>PPT_Power_UserScenario_00553</t>
  </si>
  <si>
    <t>PPT_Power_UserScenario_00555</t>
  </si>
  <si>
    <t>PPT_Power_UserScenario_00556</t>
  </si>
  <si>
    <t>Instagram短视频标签页浏览-DATA</t>
  </si>
  <si>
    <t>1.如当前处于亮屏状态，在home idle主界面等待（约5秒）
2.手机桌面主界面1秒一滑左右滑动2次后，点击Instagram应用图标，打开Instagram，待Instagram应用完全加载完成后。（约10秒）
3.在Instagram主界面点击右下角视频图标，切换到短视频界面（约5秒）
4.每10秒滑动到下一个视频，持续刷90秒，（约90秒）
5.home键退出Instagram回到桌面主界面，待桌面无变化（约10秒）
6.记录整个过程2分钟（120秒）的平均功耗数据。</t>
  </si>
  <si>
    <t>PPT_Power_UserScenario_00557</t>
  </si>
  <si>
    <t>PPT_Power_UserScenario_00558</t>
  </si>
  <si>
    <t>mxplayer播放本地音乐-DATA</t>
  </si>
  <si>
    <t>1.当前处于亮屏状态，在home idle主界面等待（约5秒）
2.手机桌面主界面1秒一滑左右滑动2次后，点击Mx player应用图标，打开Mx player，待Mx player应用完全加载完成。（约10秒）。
3.打开本地音乐并播放（约35秒）。
4.home键退出Mx player回到桌面主界面，待桌面无变化后（约10秒）。
5.记录整个过程3分钟（60秒）的平均功耗数据。</t>
  </si>
  <si>
    <t>PPT_Power_UserScenario_00559</t>
  </si>
  <si>
    <t>PPT_Power_UserScenario_00561</t>
  </si>
  <si>
    <t>Chrome浏览网页视频-DATA</t>
  </si>
  <si>
    <t>1.若当前处于灭屏状态，按POWER点亮屏幕，滑动解锁进入主界面（约5秒）
如当前处于亮屏状态，在home idle主界面等待（约5秒）
2.手机桌面主界面1秒一滑左右滑动2次后，点击Chrome应用图标，打开Chrome，待Chrome应用完全加载完成后。（约10秒）
3.Chrome界面点击搜索栏，搜索Youtube，并进入Youtube网页（约10秒）
4.Youtube搜索《dava not coming back》并进入小屏播放（约85秒）
5.home键退出Chrome回到桌面主界面，待桌面无变化（约10秒）
6.记录整个过程2分钟（120秒）的平均功耗数据。</t>
  </si>
  <si>
    <t>PPT_Power_UserScenario_00562</t>
  </si>
  <si>
    <t>灭屏通话-DATA</t>
  </si>
  <si>
    <t>1.辅助机打过来电话，测试机接听电话，通话5秒后灭屏。（约20秒）
2.通话150秒后挂断（约150秒）
3.退回主界面（约10秒）（总用时固定180秒）</t>
  </si>
  <si>
    <t>PPT_Power_UserScenario_00563</t>
  </si>
  <si>
    <t>PPT_Power_UserScenario_00564</t>
  </si>
  <si>
    <t>PPT_Power_UserScenario_00565</t>
  </si>
  <si>
    <t>Grab主页待机-DATA</t>
  </si>
  <si>
    <t>1.如当前处于亮屏状态，在home idle主界面等待（约5秒）
2.手机桌面主界面1秒一滑左右滑动2次后，点击桌面Grab应用图标，打开Grab应用，待Grab应用完全加载完成。（约10秒）
3.在Grab应用界面待机浏览10秒
4.home键退出Grab回到桌面主界面，待桌面无变化。（约5秒）
5.记录整个过程0.5分钟（30秒）的平均功耗数据。</t>
  </si>
  <si>
    <t>PPT_Power_UserScenario_00566</t>
  </si>
  <si>
    <t>foodpanda主界面浏览-DATA</t>
  </si>
  <si>
    <t>1.若当前处于灭屏状态，按POWER点亮屏幕，滑动解锁进入主界面（约5秒）
2.手机桌面主界面1秒一滑左右滑动2次后，点击桌面foodpanda应用图标，打开foodpanda应用，待foodpanda应用完全加载完成。（约10秒）
3.foodpanda主界面每3秒从顶部向下开始滑动，每三秒滑动一次，每次滑动界面1/4距离（从屏幕距离底部1/4滑动到中间1/2）；若滑动到底部后无法滑动时，向上滑动，步长仍为1/4（国内此步骤为待机，约155秒）
4.home键退出foodpanda回到桌面主界面，待桌面无变化。（约10秒）
5.记录整个过程3分钟（180秒）的平均功耗数据。</t>
  </si>
  <si>
    <t>PPT_Power_UserScenario_00567</t>
  </si>
  <si>
    <t>PPT_Power_UserScenario_00568</t>
  </si>
  <si>
    <t>灭屏热点分享-DATA</t>
  </si>
  <si>
    <t>1.测试机打开热点分享，辅助机链接测试机热点，辅助机固定看Youtube短视频，测试机手动灭屏。（约20秒）
2.灭屏270秒（约260秒）
3.关闭热点（约20秒）</t>
  </si>
  <si>
    <t>PPT_Power_UserScenario_00570</t>
  </si>
  <si>
    <t>PPT_Power_UserScenario_00571</t>
  </si>
  <si>
    <t>PPT_Power_UserScenario_00572</t>
  </si>
  <si>
    <t>Youtube滑动浏览+长视频小窗-DATA</t>
  </si>
  <si>
    <t>1.若当前处于灭屏状态，按POWER点亮屏幕，滑动解锁进入主界面（约5秒）
2.手机桌面主界面1秒一滑左右滑动2次后，点击Youtube应用图标，打开Youtube，待Youtube应用完全加载完成后。（约15秒）
3.Youtube主界面浏览每3秒从顶部向下开始滑动，每三秒滑动一次，每次滑动界面1/4距离（从屏幕距离底部1/4滑动到中间1/2）；若向下无法滑动，则向上滑动，步长仍为1/4（约120秒）
4.上滑一次，点击左上角的搜索按钮，搜索《dava not coming back》并点击资源进入（约25秒）
5.back键返回YouTube主界面进行小窗播放，主界面浏览每3秒从顶部向下开始滑动，每三秒滑动一次，每次滑动界面1/4距离（从屏幕距离底部1/4滑动到中间1/2）；若滑动到底部后无法滑动时，向上滑动，步长仍为1/4（约240秒）
6.home键退出Youtube回到桌面主界面，待桌面无变化（约15秒）
7.记录整个过程7分钟（420秒）的平均功耗数据。</t>
  </si>
  <si>
    <t>PPT_Power_UserScenario_00574</t>
  </si>
  <si>
    <t>Whatapp主界面+好友语音通话-DATA</t>
  </si>
  <si>
    <t>1.若当前处于灭屏状态，按POWER点亮屏幕，滑动解锁进入主界面（约5秒）
2.手机桌面主界面1秒一滑左右滑动2次后，点击Whatsapp应用图标，打开Whatsapp完全加载完成。（约15秒）
3.Whatsapp联系人界面每2秒向下滑动一次、向上滑动一次（循序两次），每次滑动界面1/4屏幕距离。（约15秒）
4.找到固定联系人，点击进入对话界面，点击右上角的语音通话按键，建立一通语音通话，打开免提外放功能，135秒后亮屏挂断电话。（约135秒）
5.home键退出Whatsapp回到桌面主界面，待桌面无变化。（约10秒）
6.记录整个过程3分钟（180秒）的平均功耗数据。</t>
  </si>
  <si>
    <t>PPT_Power_UserScenario_00575</t>
  </si>
  <si>
    <t>PPT_Power_UserScenario_00576</t>
  </si>
  <si>
    <t>Chrome浏览网页-DATA</t>
  </si>
  <si>
    <r>
      <rPr>
        <sz val="10.5"/>
        <color rgb="FF000000"/>
        <rFont val="等线"/>
        <charset val="134"/>
        <scheme val="minor"/>
      </rPr>
      <t>1.若当前处于灭屏状态，按POWER点亮屏幕，滑动解锁进入主界面，下拉状态打开WIFI（约5秒）
2.手机桌面主界面1秒一滑左右滑动2次后，点击Chrome应用图标，打开Chrome，待Chrome应用完全加载完成后。（约10秒）
3.Chrome界面点击搜索栏，输入</t>
    </r>
    <r>
      <rPr>
        <u/>
        <sz val="10.5"/>
        <color theme="10"/>
        <rFont val="Calibri"/>
        <charset val="134"/>
      </rPr>
      <t>www.baidu.com</t>
    </r>
    <r>
      <rPr>
        <sz val="10"/>
        <rFont val="宋体"/>
        <charset val="134"/>
      </rPr>
      <t>，并进入百度主页（约10秒）
4.百度界面每3秒从顶部向下开始滑动，每三秒滑动一次，每次滑动界面1/4距离（从屏幕距离底部1/4滑动到中间1/2）；若滑动到底部后无法滑动时，向上滑动，步长仍为1/4（约85秒）
5.home键退出Chrome回到桌面主界面，待桌面无变化（约10秒）
6.记录整个过程2分钟（120秒）的平均功耗数据。</t>
    </r>
  </si>
  <si>
    <t>PPT_Power_UserScenario_00577</t>
  </si>
  <si>
    <t>PPT_Power_UserScenario_00578</t>
  </si>
  <si>
    <t>PPT_Power_UserScenario_00579</t>
  </si>
  <si>
    <t>Google Dialer主叫通话功耗，亮屏通话-DATA</t>
  </si>
  <si>
    <t>1.如当前处于亮屏状态，在home idle主界面等待（约5秒）
2.手机桌面主界面1秒一滑左右滑动2次后，点击Google Dialer应用图标，打开Google Dialer应用，待Google Dialer应用完全加载完成。（约25秒）
3.Google Dialer界面打开拨号盘，输入辅助机电话，播号建立一通电话。（约20秒）
4.打开免提外放功能，亮屏持续通话38秒后挂断电话。（约120秒）
5.home键退出Google Dialer回到桌面主界面，待桌面无变化。（约10秒）
6.记录整个过程3分钟（180秒）的平均功耗数据。</t>
  </si>
  <si>
    <t>PPT_Power_UserScenario_00581</t>
  </si>
  <si>
    <t>PPT_Power_UserScenario_00582</t>
  </si>
  <si>
    <t>PPT_Power_UserScenario_00584</t>
  </si>
  <si>
    <t>mxplayer播放本地视频-DATA</t>
  </si>
  <si>
    <t>1.当前处于亮屏状态，在home idle主界面等待（约5秒）
2.手机桌面主界面1秒一滑左右滑动2次后，点击Mx player应用图标，打开Mx player，待Mx player应用完全加载完成。（约10秒）
3.打开本地视频，从头开始播放1080P《那些年》（约215秒）
4.home键退出Mx player回到桌面主界面，待桌面无变化后（约10秒）。
5.记录整个过程4分钟（240秒）的平均功耗数据。</t>
  </si>
  <si>
    <t>PPT_Power_UserScenario_00585</t>
  </si>
  <si>
    <t>Meesho主界面浏览-DATA</t>
  </si>
  <si>
    <t>1.当前处于亮屏状态，下拉状态关闭WIFI，在home idle主界面等待（约5秒）
2.手机桌面主界面1秒一滑左右滑动2次后，点击桌面Meesho应用图标，打开Meesho应用，待Meesho应用完全加载完成。（约10秒）
3.Meesho主界面每3秒从顶部向下开始滑动，每三秒滑动一次，每次滑动界面1/4距离（从屏幕距离底部1/4滑动到中间1/2）；若滑动到底部后无法滑动时，向上滑动，步长仍为1/4（约155秒）
4.home键退出Meesho回到桌面主界面，待桌面无变化。（约10秒）
5.记录整个过程3分钟（180秒）的平均功耗数据。</t>
  </si>
  <si>
    <t>PPT_Power_UserScenario_00586</t>
  </si>
  <si>
    <t>灭屏导航-DATA</t>
  </si>
  <si>
    <t>1.打开Google Maps，输入目的地"解放碑"，成功导航后灭屏。（约20秒）
2.导航150秒
3.亮屏，退出导航，回到桌面（约10秒）</t>
  </si>
  <si>
    <t>PPT_Power_UserScenario_00587</t>
  </si>
  <si>
    <t>Block Blast！正常游戏一局-DATA</t>
  </si>
  <si>
    <t>1.当前处于灭屏状态，按POWER点亮屏幕，滑动解锁进入主界面（约5秒）
2.手机桌面主界面1秒一滑左右滑动2次后，点击Block Blast！应用图标，打开Block Blast！，待Block Blast！应用完全加载完成。（约15秒）
3.保持游戏默认配置，正常匹配玩游戏（约90秒）
4.home键退出Block Blast！回到桌面主界面，待桌面无变化后（约10秒）。
5.记录整个过程2分钟（120秒）的平均功耗数据。</t>
  </si>
  <si>
    <t>PPT_Power_UserScenario_00588</t>
  </si>
  <si>
    <t>PPT_Power_UserScenario_00589</t>
  </si>
  <si>
    <t>Instagram发布视频动态-DATA</t>
  </si>
  <si>
    <t>1.当前处于亮屏状态，下拉状态关闭WIFI，在home idle主界面等待（约5秒）
2.手机桌面主界面1秒一滑左右滑动2次后，点击Instagram应用图标，打开Instagram，待Instagram应用完全加载完成后。（约15秒）
3.在Instagram主界面点击中间的“+”图标，在点击左上角的相机录制图标（约10秒）
4.保持前摄对着人脸长按录制图标进行视频录制直到结束（约30秒）
5.录制完成后在视频回放界面持续播放（约30秒）
6.点击next后，点击Share发布视频（约20秒）
7.home键退出Instagram回到桌面主界面，待桌面无变化（约10秒）
8.记录整个过程2分钟（120秒）的平均功耗数据。</t>
  </si>
  <si>
    <t>PPT_Power_UserScenario_00590</t>
  </si>
  <si>
    <t>PPT_Power_UserScenario_00591</t>
  </si>
  <si>
    <t>Instagram好友聊天-DATA</t>
  </si>
  <si>
    <t>1.当前处于亮屏状态，下拉状态关闭WIFI，在home idle主界面等待（约5秒）
2.手机桌面主界面1秒一滑左右滑动2次后，点击Instagram应用图标，打开Instagram，待Instagram应用完全加载完成后。（约15秒）
3.在Instagram主界面点击右上角的短信图标，选择固定的联系人进入聊天界面（约5秒）
4.每隔2秒向对方发送一条消息“T”（约85秒）
5.home键退出Instagram回到桌面主界面，待桌面无变化（约10秒）
6.记录整个过程2分钟（120秒）的平均功耗数据。</t>
  </si>
  <si>
    <t>PPT_Power_UserScenario_00592</t>
  </si>
  <si>
    <t>PPT_Power_UserScenario_00593</t>
  </si>
  <si>
    <t>PPT_Power_UserScenario_00594</t>
  </si>
  <si>
    <t>Pinterest主页壁纸浏览-DATA</t>
  </si>
  <si>
    <t>1.当前处于亮屏状态，在home idle主界面等待（约5秒）
2.手机桌面主界面1秒一滑左右滑动2次后，点击桌面Pinterest应用图标，打开Pinterest应用，待Pinterest应用完全加载完成。（约10秒）
3.Pinterest主界面每3秒从顶部向下开始滑动，每三秒滑动一次，每次滑动界面1/4距离（从屏幕距离底部1/4滑动到中间1/2）；若滑动到底部后无法滑动时，向上滑动，步长仍为1/4（约155秒）
4.home键退出Pinterest回到桌面主界面，待桌面无变化。（约10秒）
5.记录整个过程3分钟（180秒）的平均功耗数据。</t>
  </si>
  <si>
    <t>PPT_Power_UserScenario_00596</t>
  </si>
  <si>
    <t>PPT_Power_UserScenario_00597</t>
  </si>
  <si>
    <t>灭屏听音乐-DATA</t>
  </si>
  <si>
    <t>1.打开Spotify音乐播放软件，循环播放本地音乐lonely.MP3，播放5秒后灭屏。（约30秒）
2.播放180秒
2.点亮屏幕，停止播放，退出到桌面（约30秒）</t>
  </si>
  <si>
    <t>PPT_Power_UserScenario_00598</t>
  </si>
  <si>
    <t>Google Drive文档浏览-DATA</t>
  </si>
  <si>
    <t>1.若当前处于灭屏状态，按POWER点亮屏幕，滑动解锁进入主界面（约5秒）
2.手机桌面主界面1秒一滑左右滑动2次后，点击Google Drive应用图标，打开Google Drive应用，待Google Drive应用完全加载完成。（约15秒）
3.Google Drive主界面打开《CM5-STR5》PDF文档（约5秒）
4.文档每3秒从顶部向下开始滑动，每三秒滑动一次，每次滑动界面1/4距离（从屏幕距离底部1/4滑动到中间1/2）；若滑动到底部后无法滑动时，向上滑动，步长仍为1/4（固定145秒）
4.home键退出回到桌面主界面，待桌面无变化。（约10秒）
5.记录整个过程3分钟（180秒）的平均功耗数据。</t>
  </si>
  <si>
    <t>PPT_Power_UserScenario_00599</t>
  </si>
  <si>
    <t>PPT_Power_UserScenario_00600</t>
  </si>
  <si>
    <t>PPT_Power_UserScenario_00601</t>
  </si>
  <si>
    <t>PPT_Power_UserScenario_00603</t>
  </si>
  <si>
    <t>PPT_Power_UserScenario_00604</t>
  </si>
  <si>
    <t>PPT_Power_UserScenario_00605</t>
  </si>
  <si>
    <t>PPT_Power_UserScenario_00606</t>
  </si>
  <si>
    <t>PPT_Power_UserScenario_00607</t>
  </si>
  <si>
    <t>Youtube滑动浏览+观看长视频-DATA</t>
  </si>
  <si>
    <t>1.当前处于亮屏状态，在home idle主界面等待（约5秒）
2.手机桌面主界面1秒一滑左右滑动2次后，点击Youtube应用图标，打开Youtube，待Youtube应用完全加载完成后。（约15秒）
3.Youtube主界面浏览每3秒从顶部向下开始滑动，每三秒滑动一次，每次滑动界面1/4距离（从屏幕距离底部1/4滑动到中间1/2）；若滑动到底部后无法滑动时，向上滑动，步长仍为1/4（约120秒）
4.上滑一次，点击左上角的搜索按钮，搜索《dava not coming back》并点击资源进入（约15秒）
5.进行全屏播放（约255秒）
6.home键退出Youtube回到桌面主界面，待桌面无变化（约10秒）
7.记录整个过程7分钟（420秒）的平均功耗数据。</t>
  </si>
  <si>
    <t>PPT_Power_UserScenario_00609</t>
  </si>
  <si>
    <t>PPT_Power_UserScenario_00610</t>
  </si>
  <si>
    <t>PPT_Power_UserScenario_00611</t>
  </si>
  <si>
    <t>Google Maps 导航目的地-DATA</t>
  </si>
  <si>
    <t>1.当前处于亮屏状态，在home idle主界面等待，下拉状态栏关闭WIFI（约5秒）
2.手机桌面主界面1秒一滑左右滑动2次后，点击Google Maps 应用图标，打开Google Maps 应用，待Google Maps 应用完全加载完成。（约15秒）
3.Google Maps界面搜索目的"解放碑"（各国导航到本国的标注性地点），开始导航，导航100秒（约90秒）
4.home键退出回到桌面主界面，待桌面无变化。（约10秒）
5.记录整个过程2分钟（120秒）的平均功耗数据。</t>
  </si>
  <si>
    <t>PPT_Power_UserScenario_00612</t>
  </si>
  <si>
    <t>Tiktok播放视频并切换-WIFI</t>
  </si>
  <si>
    <t>1.当前处于灭屏状态，按POWER点亮屏幕，滑动解锁进入桌面主界面（约10秒）
2.下拉状态栏打开WIFI，home键退出到桌面主界面（约10秒）
2.手机桌面主界面1秒一滑左右滑动2次后，点击TikTok应用图标，打开TikTok应用，待TikTok应用完全加载完成。（约20秒）
3.TikTok推荐视频主界面每10秒滑动到下一个视频，持续刷2分40秒（约130秒）
4.home键退出TikTok回到桌面主界面，待桌面无变化。（约10秒）
5.记录整个过程3分钟（180秒）的平均功耗数据。</t>
  </si>
  <si>
    <t>PPT_Power_UserScenario_00613</t>
  </si>
  <si>
    <t>灭屏不使用短待机7min-WIFI</t>
  </si>
  <si>
    <t>PPT_Power_UserScenario_00614</t>
  </si>
  <si>
    <t>TikTok看直播（观看测试账号直播）-WIFI</t>
  </si>
  <si>
    <t>1.在home idle主界面等待（约5秒）
2.手机桌面主界面1秒一滑左右滑动2次后，点击TikTok应用图标，打开TikTok应用，待TikTok应用完全加载完成（约15秒）
3.搜索固定辅助机开的直播（固定lonely.mp3背景音乐及直播画面）。（约20秒）
4.测试机进入辅助机的直播间观看直播2分40秒（过程中每秒点击免费的爱心图标一次）。（约130秒）
5.关闭直播间后，home键退出TikTok回到桌面主界面，待桌面无变化。（约10秒）
6.记录整个过程3分钟（180秒）的平均功耗数据。</t>
  </si>
  <si>
    <t>PPT_Power_UserScenario_00615</t>
  </si>
  <si>
    <t>Whatapp主界面+好友文字对话-WIFI</t>
  </si>
  <si>
    <t>PPT_Power_UserScenario_00616</t>
  </si>
  <si>
    <t>Facebook主界面，浏览滑动-WIFI</t>
  </si>
  <si>
    <t>1.若当前处于灭屏状态，按POWER点亮屏幕，滑动解锁进入主界面（约5秒）
2.下拉状态打开WIFI，退出主界面（约5秒）
2.手机桌面主界面1秒一滑左右滑动2次后，点击Facebook应用图标，打开Facebook应用，登录固定账号，待Facebook应用完全加载完成后。（约10秒）
3.Facebook主界面浏览每3秒从顶部向下开始滑动，每三秒滑动一次，每次滑动界面1/4距离（从屏幕距离底部1/4滑动到中间1/2）；若向下无法滑动，则向上滑动，步长仍为1/4，持续刷3分45秒（约150秒）
4.home键退出Facebook回到桌面主界面，待桌面无变化。（约10秒）
5.记录整个过程3分钟（180秒）的平均功耗数据。</t>
  </si>
  <si>
    <t>PPT_Power_UserScenario_00617</t>
  </si>
  <si>
    <t>PPT_Power_UserScenario_00618</t>
  </si>
  <si>
    <t>Messenger主界面+好友发送消息-WIFI</t>
  </si>
  <si>
    <t>1.若当前处于灭屏状态，按POWER点亮屏幕，滑动解锁进入主界面（约5秒）
2.下拉状态栏打开WIFI，在home idle主界面等待（约5秒）
3.手机桌面主界面1秒一滑左右滑动2次后，点击Messenger应用图标，打开Messenger，待Messenger应用完全加载完成。（约10秒）
4.Messenger联系人界面每2秒向下滑动一次、向上滑动一次（循序两次），每次滑动界面1/4屏幕距离。（约15秒）
5.找到固定联系人，点击进入对话界面，每隔2秒向对方发送一条消息“T”（约75秒）
6.home键退出Messenger回到桌面主界面，待桌面无变化后（约10秒）
7.记录整个过程2分钟（120秒）的平均功耗数据。</t>
  </si>
  <si>
    <t>PPT_Power_UserScenario_00619</t>
  </si>
  <si>
    <t>Facebook lite好友主页视频播放-WIFI</t>
  </si>
  <si>
    <t>1.当前处于亮屏状态，在home idle主界面等待（约5秒）
2.手机桌面主界面1秒一滑左右滑动2次后，点击Facebook lite应用图标，打开Facebook lite应用，登录固定账号，待Facebook lite应用完全加载完成。（约10秒）
3.点击固定好友进入他的主页，播放固定的一个lite视频，从头开始播放（约20秒）
4.持续播放该视频1分40秒（约75秒）
5.home键退出Facebook lite回到桌面主界面，待桌面无变化（约10秒）
6.记录整个过程2分钟（120秒）的平均功耗数据。</t>
  </si>
  <si>
    <t>PPT_Power_UserScenario_00620</t>
  </si>
  <si>
    <t>PPT_Power_UserScenario_00621</t>
  </si>
  <si>
    <t>TikTok个人视频列表并播放（看测试账号视频）-WIFI</t>
  </si>
  <si>
    <t>1.若当前处于灭屏状态，按POWER点亮屏幕，滑动解锁进入主界面（约5秒）
2.下拉状态栏打开WIFI，在home idle主界面等待（约5秒）
3.手机桌面主界面1秒一滑左右滑动2次后，点击TikTok应用图标，打开TikTok应用，待TikTok应用完全加载完成（约15秒）
4.，搜索固定账号（国内-袁川贵），点击进入他的账号主页（约15秒）
5.打开固定账号（国内-袁川贵）最上面第一个视频点击播放，每10秒滑动到下一个视频，持续刷3分钟35秒（约190秒）
6.home键退出TikTok回到桌面主界面，待桌面无变化后。（约10秒）
7.记录整个过程4分钟（240秒）的平均功耗数据。</t>
  </si>
  <si>
    <t>PPT_Power_UserScenario_00622</t>
  </si>
  <si>
    <t>Facebook主界面video短视频滑动-WIFI</t>
  </si>
  <si>
    <t>1.当前处于亮屏状态，在home idle主界面等待（约5秒）
2.手机桌面主界面1秒一滑左右滑动2次后，点击Facebook应用图标，打开Facebook应用，登录固定账号，待Facebook应用完全加载完成后。（约20秒）。
3.主界面点击Facebook文本下的视频图标，切换到Video界面，在Video界面点击reels进入reels短视频播放界面。（约10秒）（如果直接在短视频界面不做处理）。
4.每10秒滑动到下一个视频，持续刷2分钟40秒（约135秒）。
5.home键退出Facebook回到桌面主界面，待桌面无变化（约10秒）。
6.记录整个过程3分钟（180秒）的平均功耗数据。</t>
  </si>
  <si>
    <t>PPT_Power_UserScenario_00623</t>
  </si>
  <si>
    <t>灭屏不使用短待机2min-WIFI</t>
  </si>
  <si>
    <t>PPT_Power_UserScenario_00624</t>
  </si>
  <si>
    <t>Facebook lite主界面，浏览滑动-WIFI</t>
  </si>
  <si>
    <t>1.如当前处于亮屏状态，下拉状态栏打开WIFI，在home idle主界面等待（约5秒）
2.手机桌面主界面1秒一滑左右滑动2次后，点击Facebook lite应用图标，打开Facebook lite应用，登录固定账号，待Facebook lite应用完全加载完成。（约15秒）
3.Facebook lite主界面浏览每3秒从顶部向下开始滑动，每三秒滑动一次，每次滑动界面1/4距离（从屏幕距离底部1/4滑动到中间1/2）；若滑动到底部后无法滑动时，向上滑动，步长仍为1/4，持续刷90秒（约90秒）
4.home键退出Facebook lite回到桌面主界面，待桌面无变化（约10秒）
5.记录整个过程2分钟（120秒）的平均功耗数据。</t>
  </si>
  <si>
    <t>PPT_Power_UserScenario_00625</t>
  </si>
  <si>
    <t>Whatapp主界面+好友视频通话-WIFI</t>
  </si>
  <si>
    <t>1.若当前处于灭屏状态，按POWER点亮屏幕，滑动解锁进入主界面（约5秒）
2.下拉状态打开WIFI(约5秒)
2.手机桌面主界面1秒一滑左右滑动2次后，点击Whatsapp应用图标，打开Whatsapp完全加载完成。（约10秒）
3.待Whatsapp应用完全加载完成后等待2秒，Whatsapp联系人界面每2秒向下滑动一次、向上滑动一次（循序两次），每次滑动界面1/4屏幕距离。（约15秒）
4.找到固定联系人，点击进入对话界面，点击右上角的视频通话按键，建立一通视频通话，保持前摄（固定预览画面），后挂断视频。（约135秒）
5.home键退出Whatsapp回到桌面主界面，待桌面无变化。（约10秒）
6.记录整个过程3分钟（180秒）的平均功耗数据。</t>
  </si>
  <si>
    <t>PPT_Power_UserScenario_00626</t>
  </si>
  <si>
    <t>PPT_Power_UserScenario_00627</t>
  </si>
  <si>
    <t>PPT_Power_UserScenario_00628</t>
  </si>
  <si>
    <t>Youtube滑动浏览+长视频小窗-WIFI</t>
  </si>
  <si>
    <t>PPT_Power_UserScenario_00629</t>
  </si>
  <si>
    <t>PPT_Power_UserScenario_00630</t>
  </si>
  <si>
    <t>MLBB游戏中功耗-WIFI</t>
  </si>
  <si>
    <t>1.若当前处于灭屏状态，按POWER点亮屏幕，滑动解锁进入主界面，下拉状态栏打开WIFI（约20秒）
2.手机桌面主界面1秒一滑左右滑动2次后，点击MLBB应用图标，打开MLBB，待MLBB应用完全加载完成。（测试提前登录固定账号）（约40秒）
3.保持游戏默认配置，正常匹配玩游戏（约830秒）
4.home键退出MLBB回到桌面主界面，待桌面无变化后（约10秒）。
5.记录整个过程15分钟（900秒）的平均功耗数据。</t>
  </si>
  <si>
    <t>PPT_Power_UserScenario_00631</t>
  </si>
  <si>
    <t>PPT_Power_UserScenario_00632</t>
  </si>
  <si>
    <t>PPT_Power_UserScenario_00633</t>
  </si>
  <si>
    <t>Messenger主界面+视频通话-WIFI</t>
  </si>
  <si>
    <t>1.若当前处于灭屏状态，按POWER点亮屏幕，滑动解锁进入主界面，打开WIFI（约10秒）
2.手机桌面主界面1秒一滑左右滑动2次后，点击Messenger应用图标，打开Messenger，待Messenger应用完全加载完成。（约15秒）
3.Messenger联系人界面每2秒向下滑动一次、向上滑动一次（循序两次），每次滑动界面1/4屏幕距离。（约15秒）
4.找到固定联系人，点击进入对话界面，点击右上角的视频通话按键（约10秒）
5.建立一通视频通话（持续时间92秒），后挂断视频。（约60秒）
6.home键退出Messenger回到桌面主界面，待桌面无变化（约10秒）
7.记录整个过程2分钟（120秒）的平均功耗数据。</t>
  </si>
  <si>
    <t>PPT_Power_UserScenario_00634</t>
  </si>
  <si>
    <t>PPT_Power_UserScenario_00635</t>
  </si>
  <si>
    <t>PPT_Power_UserScenario_00636</t>
  </si>
  <si>
    <t>PPT_Power_UserScenario_00637</t>
  </si>
  <si>
    <t>PPT_Power_UserScenario_00638</t>
  </si>
  <si>
    <t>PPT_Power_UserScenario_00639</t>
  </si>
  <si>
    <t>PPT_Power_UserScenario_00640</t>
  </si>
  <si>
    <t>PPT_Power_UserScenario_00641</t>
  </si>
  <si>
    <t>Imo主界面+好友聊天+好友视频通话-WIFI</t>
  </si>
  <si>
    <t>1.若当前处于灭屏状态，按POWER点亮屏幕，滑动解锁进入主界面（约5秒）
如当前处于亮屏状态，在home idle主界面等待（约5秒）
2.手机桌面主界面1秒一滑左右滑动2次后，点击Imo应用图标，打开Imo完全加载完成。（约10秒）
3.Imo联系人界面每2秒向下滑动一次、向上滑动一次（循序两次），每次滑动界面1/4屏幕距离。（约15秒）
4.找到固定联系人，点击进入对话界面，每隔2秒向对方发送一条消息“T”（约25秒）
5.点击右上角的视频通话按键，建立一通视频通话1分钟，后挂断电话。（约50秒）
6.home键退出Imo回到桌面主界面，待桌面无变化。（约10秒）
7.记录整个过程2分钟（120秒）的平均功耗数据。</t>
  </si>
  <si>
    <t>PPT_Power_UserScenario_00642</t>
  </si>
  <si>
    <t>PPT_Power_UserScenario_00643</t>
  </si>
  <si>
    <t>Facebook好友主页视频播放-WIFI</t>
  </si>
  <si>
    <t>1.若当前处于灭屏状态，按POWER点亮屏幕，滑动解锁进入主界面，下拉状态开启WIFI（约5秒）
2.手机桌面主界面1秒一滑左右滑动2次后，点击Facebook应用图标，打开Facebook应用，登录固定账号，待Facebook应用完全加载完成。（约20秒）。
3.点击固定好友进入他的主页，播放固定的一个视频，从头开始（约15秒）
4.持续播放该视频3分40秒（约130秒）。
5.home键退出Facebook回到桌面主界面，待桌面无变化（约10秒）。
6.记录整个过程3分钟（180秒）的平均功耗数据。</t>
  </si>
  <si>
    <t>PPT_Power_UserScenario_00644</t>
  </si>
  <si>
    <t>Gallery浏览视频-WIFI</t>
  </si>
  <si>
    <t>1.如当前处于亮屏状态，在home idle主界面等待（约5秒）
2.手机桌面主界面1秒一滑左右滑动2次后，点击AI gallery应用图标，打开AI gallery，待AI gallery应用完全加载完成。（约10秒）。
3.相册里点击视频相册，从头开始播放1080P《那些年》（约35秒）
4.home键退出AI gallery回到桌面主界面，待桌面无变化后（约10秒）。
5.记录整个过程1分钟（60秒）的平均功耗数据。</t>
  </si>
  <si>
    <t>PPT_Power_UserScenario_00645</t>
  </si>
  <si>
    <t>PPT_Power_UserScenario_00646</t>
  </si>
  <si>
    <t>Google Play主界面浏览 + 应用下载-WIFI</t>
  </si>
  <si>
    <t>1.当前处于亮屏状态，在home idle主界面等待，下拉状态开启WIFI（约10秒）
2.手机桌面主界面1秒一滑左右滑动2次后，点击Google Play应用图标，打开Google Play，待Google Play应用完全加载完成后。（约15秒）
3.Google Play主界面浏览每3秒从顶部向下开始滑动，每三秒滑动一次，每次滑动界面1/4距离（从屏幕距离底部1/4滑动到中间1/2）；若滑动到底部后无法滑动时，向上滑动，步长仍为1/4（约20秒）
4.上滑一次，点击左上角的搜索按钮，搜索candy crush并点击资源进入（约15秒）
5.下载candy crush应用（约50秒）
6.home键退出Google Play回到桌面主界面，待桌面无变化（约10秒）（自动化测试可卸载该应用）
7.记录整个过程2分钟（120秒）的平均功耗数据。</t>
  </si>
  <si>
    <t>PPT_Power_UserScenario_00648</t>
  </si>
  <si>
    <t>Netflix主界面电影浏览-WIFI</t>
  </si>
  <si>
    <t>1.若当前处于灭屏状态，按POWER点亮屏幕，滑动解锁进入主界面，下拉状态开启WIFI（约10秒）
2.手机桌面主界面1秒一滑左右滑动2次后，点击Netflix应用图标，打开Netflix应用，待Netflix应用完全加载完成。（约10秒）
3.Netflix主界面每3秒从顶部向下开始滑动，每三秒滑动一次，每次滑动界面1/4距离（从屏幕距离底部1/4滑动到中间1/2）；若滑动到底部后无法滑动时，向上滑动，步长仍为1/4（约150秒）
4.home键退出回到桌面主界面，待桌面无变化。（约10秒）
5.记录整个过程3分钟（180秒）的平均功耗数据。</t>
  </si>
  <si>
    <t>PPT_Power_UserScenario_00649</t>
  </si>
  <si>
    <t>PPT_Power_UserScenario_00650</t>
  </si>
  <si>
    <t>PPT_Power_UserScenario_00651</t>
  </si>
  <si>
    <t>PPT_Power_UserScenario_00652</t>
  </si>
  <si>
    <t>PPT_Power_UserScenario_00653</t>
  </si>
  <si>
    <t>PPT_Power_UserScenario_00654</t>
  </si>
  <si>
    <t>PPT_Power_UserScenario_00655</t>
  </si>
  <si>
    <t>PPT_Power_UserScenario_00656</t>
  </si>
  <si>
    <t>PPT_Power_UserScenario_00657</t>
  </si>
  <si>
    <t>PPT_Power_UserScenario_00658</t>
  </si>
  <si>
    <t>PPT_Power_UserScenario_00659</t>
  </si>
  <si>
    <t>PPT_Power_UserScenario_00660</t>
  </si>
  <si>
    <t>Messenger主界面+语音通话-WIFI</t>
  </si>
  <si>
    <t>1.若当前处于灭屏状态，按POWER点亮屏幕，滑动解锁进入主界面，下拉状态开启WIFI（约10秒）
2.手机桌面主界面1秒一滑左右滑动2次后，点击Messenger应用图标，打开Messenger，待Messenger应用完全加载完成。（约10秒）
3.待Messenger应用完全加载完成后等待2秒，Messenger联系人界面每2秒向下滑动一次、向上滑动一次（循序两次），每次滑动界面1/4屏幕距离。（约15秒）
4.找到固定联系人，点击进入对话界面，点击右上角的语音通话按键（约10秒）
5.建立一通语音通话（持续时间92秒），后挂断电话。(约65秒) 
6.home键退出Messenger回到桌面主界面，待桌面无变化(约10秒)
7.记录整个过程2分钟（120秒）的平均功耗数据。</t>
  </si>
  <si>
    <t>PPT_Power_UserScenario_00661</t>
  </si>
  <si>
    <t>Youtube滑动浏览+观看长视频-WIFI</t>
  </si>
  <si>
    <t>PPT_Power_UserScenario_00662</t>
  </si>
  <si>
    <t>Shopee 2.2 Men Sale购物浏览-WIFI</t>
  </si>
  <si>
    <t>1.若当前处于灭屏状态，按POWER点亮屏幕，滑动解锁进入主界面，下拉状态开启WIFI（约10秒）
2.手机桌面主界面1秒一滑左右滑动2次后，点击桌面Shopee 应用图标，打开Shopee 应用，待Shopee 应用完全加载完成。（约10秒）
3.Shopee主界面每3秒从顶部向下开始滑动，每三秒滑动一次，每次滑动界面1/4距离（从屏幕距离底部1/4滑动到中间1/2）；若滑动到底部后无法滑动时，向上滑动，步长仍为1/4（约150秒）
4.home键退出Shopee回到桌面主界面，待桌面无变化。（约10秒）
5.记录整个过程3分钟（180秒）的平均功耗数据。</t>
  </si>
  <si>
    <t>PPT_Power_UserScenario_00664</t>
  </si>
  <si>
    <t>PPT_Power_UserScenario_00665</t>
  </si>
  <si>
    <t>PPT_Power_UserScenario_00666</t>
  </si>
  <si>
    <t>PPT_Power_UserScenario_00667</t>
  </si>
  <si>
    <t>Telegram主界面+文字聊天+语音通话-WIFI</t>
  </si>
  <si>
    <t>1.若当前处于灭屏状态，按POWER点亮屏幕，滑动解锁进入主界面，下拉开启WIFI（约10秒）
2.手机桌面主界面1秒一滑左右滑动2次后，点击Telegram应用图标，打开Telegram，待Telegram应用完全加载完成。（约15秒）
3.Telegram联系人界面每2秒向下滑动一次、向上滑动一次（循序两次），每次滑动界面1/4屏幕距离。（约20秒）
4.找到固定联系人，点击进入对话界面，每隔2秒向对方发送一条消息“T”（约30秒）。
5.点击右上角的语音通话按键，建立一通语音通话（持续时间60秒），后挂断电话。(约35秒)
6.home键退出Telegram回到桌面主界面，待桌面无变化后（约10秒）。
7.记录整个过程2分钟（120秒）的平均功耗数据。</t>
  </si>
  <si>
    <t>PPT_Power_UserScenario_00668</t>
  </si>
  <si>
    <t>Truecaller主叫通话功耗，亮屏通话-WIFI</t>
  </si>
  <si>
    <t>1.当前处于亮屏状态，在home idle主界面等待（约5秒）
2.手机桌面主界面1秒一滑左右滑动2次后，点击truecaller应用图标，打开truecaller应用，待truecaller应用完全加载完成。（约10秒）
3.truecaller界面打开拨号盘，输入辅助机电话，播号建立一通电话。（约45秒）
4.打开免提外发功能，亮屏持续通话38秒后挂断电话。（约100秒）
5.home键退出truecaller回到桌面主界面，待桌面无变化。（约20秒）
6.记录整个过程3分钟（180秒）的平均功耗数据。</t>
  </si>
  <si>
    <t>PPT_Power_UserScenario_00669</t>
  </si>
  <si>
    <t>Youtube滑动浏览+观看短视频-WIFI</t>
  </si>
  <si>
    <t>PPT_Power_UserScenario_00670</t>
  </si>
  <si>
    <t>PPT_Power_UserScenario_00671</t>
  </si>
  <si>
    <t>Chrome浏览网页-WIFI</t>
  </si>
  <si>
    <t>PPT_Power_UserScenario_00672</t>
  </si>
  <si>
    <t>PPT_Power_UserScenario_00673</t>
  </si>
  <si>
    <t>CapCut图片视频剪辑-WIFI</t>
  </si>
  <si>
    <t>1.若当前处于灭屏状态，按POWER点亮屏幕，滑动解锁进入主界面，下拉状态栏开启WIFI（约10秒）
2.手机桌面主界面1秒一滑左右滑动2次后，点击桌面CapCut应用图标，打开CapCut应用，待CapCut应用完全加载完成。（约10秒）
3.CapCut界面进入后点击开始创作，创作界面选择图片，勾选5张图片，点击右下角新增按钮开始视频剪辑（约25秒）
4.视频剪辑界面点击中间的播放按钮观看视频效果，等待15秒（循环播放3次）（约15秒）
5.点击右上角的导出按钮（约110秒）
6.home键退出CapCut回到桌面主界面，待桌面无变化。（约10秒）
7.记录整个过程3分钟（180秒）的平均功耗数据。</t>
  </si>
  <si>
    <t>PPT_Power_UserScenario_00674</t>
  </si>
  <si>
    <t>PPT_Power_UserScenario_00675</t>
  </si>
  <si>
    <t>PPT_Power_UserScenario_00828</t>
  </si>
  <si>
    <t>灭屏不使用长待机150min-WIFI</t>
  </si>
  <si>
    <t>1.保持手机当前的后台状态，下拉状态栏打开WIFI，按power键灭屏。
2.记录灭屏长待机的平均功耗（固定210分钟）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</si>
</sst>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0"/>
      <color theme="1"/>
      <name val="等线"/>
      <charset val="134"/>
      <scheme val="minor"/>
    </font>
    <font>
      <b/>
      <sz val="13.5"/>
      <color rgb="FF000000"/>
      <name val="等线"/>
      <charset val="134"/>
      <scheme val="minor"/>
    </font>
    <font>
      <b/>
      <sz val="13.5"/>
      <color rgb="FFF54A45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10.5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u/>
      <sz val="10.5"/>
      <color theme="10"/>
      <name val="Calibri"/>
      <charset val="134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00D6B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2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5" borderId="2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9" borderId="3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13" borderId="6" applyNumberFormat="0" applyAlignment="0" applyProtection="0">
      <alignment vertical="center"/>
    </xf>
    <xf numFmtId="0" fontId="19" fillId="13" borderId="2" applyNumberFormat="0" applyAlignment="0" applyProtection="0">
      <alignment vertical="center"/>
    </xf>
    <xf numFmtId="0" fontId="20" fillId="14" borderId="7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</cellStyleXfs>
  <cellXfs count="8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baidu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200"/>
  <sheetViews>
    <sheetView tabSelected="1" workbookViewId="0">
      <selection activeCell="G4" sqref="G4"/>
    </sheetView>
  </sheetViews>
  <sheetFormatPr defaultColWidth="14" defaultRowHeight="12.75"/>
  <cols>
    <col min="1" max="1" width="28" customWidth="1"/>
    <col min="2" max="2" width="45" customWidth="1"/>
    <col min="3" max="3" width="17" customWidth="1"/>
    <col min="4" max="4" width="15" customWidth="1"/>
    <col min="5" max="5" width="9" customWidth="1"/>
    <col min="6" max="6" width="12" customWidth="1"/>
    <col min="7" max="7" width="125" customWidth="1"/>
    <col min="8" max="13" width="14" customWidth="1"/>
  </cols>
  <sheetData>
    <row r="1" ht="18" customHeight="1" spans="1:11">
      <c r="A1" s="1" t="s">
        <v>0</v>
      </c>
      <c r="B1" s="1" t="s">
        <v>1</v>
      </c>
      <c r="C1" s="1"/>
      <c r="D1" s="1" t="s">
        <v>2</v>
      </c>
      <c r="E1" s="2" t="s">
        <v>3</v>
      </c>
      <c r="F1" s="1"/>
      <c r="G1" s="1" t="s">
        <v>4</v>
      </c>
      <c r="H1" s="3"/>
      <c r="I1" s="3"/>
      <c r="J1" s="3"/>
      <c r="K1" s="3"/>
    </row>
    <row r="2" ht="81" spans="1:11">
      <c r="A2" s="4" t="s">
        <v>5</v>
      </c>
      <c r="B2" s="4" t="s">
        <v>6</v>
      </c>
      <c r="C2" s="4"/>
      <c r="D2" s="4">
        <v>2</v>
      </c>
      <c r="E2" s="5">
        <f>D2</f>
        <v>2</v>
      </c>
      <c r="F2" s="6" t="str">
        <f t="shared" ref="F2:F65" si="0">INT(E2/60)&amp;"小时"&amp;MOD(E2,60)&amp;"分钟"</f>
        <v>0小时2分钟</v>
      </c>
      <c r="G2" s="7" t="s">
        <v>7</v>
      </c>
      <c r="H2" s="3"/>
      <c r="I2" s="3"/>
      <c r="J2" s="3"/>
      <c r="K2" s="3"/>
    </row>
    <row r="3" ht="81" spans="1:11">
      <c r="A3" s="4" t="s">
        <v>8</v>
      </c>
      <c r="B3" s="4" t="s">
        <v>9</v>
      </c>
      <c r="C3" s="4"/>
      <c r="D3" s="4">
        <v>3</v>
      </c>
      <c r="E3" s="5">
        <f t="shared" ref="E3:E66" si="1">E2+D3</f>
        <v>5</v>
      </c>
      <c r="F3" s="6" t="str">
        <f t="shared" si="0"/>
        <v>0小时5分钟</v>
      </c>
      <c r="G3" s="7" t="s">
        <v>10</v>
      </c>
      <c r="H3" s="3"/>
      <c r="I3" s="3"/>
      <c r="J3" s="3"/>
      <c r="K3" s="3"/>
    </row>
    <row r="4" ht="27" spans="1:11">
      <c r="A4" s="4" t="s">
        <v>11</v>
      </c>
      <c r="B4" s="4" t="s">
        <v>12</v>
      </c>
      <c r="C4" s="4"/>
      <c r="D4" s="4">
        <v>2</v>
      </c>
      <c r="E4" s="5">
        <f t="shared" si="1"/>
        <v>7</v>
      </c>
      <c r="F4" s="6" t="str">
        <f t="shared" si="0"/>
        <v>0小时7分钟</v>
      </c>
      <c r="G4" s="7" t="s">
        <v>13</v>
      </c>
      <c r="H4" s="3"/>
      <c r="I4" s="3"/>
      <c r="J4" s="3"/>
      <c r="K4" s="3"/>
    </row>
    <row r="5" ht="81" spans="1:11">
      <c r="A5" s="4" t="s">
        <v>14</v>
      </c>
      <c r="B5" s="4" t="s">
        <v>15</v>
      </c>
      <c r="C5" s="4"/>
      <c r="D5" s="4">
        <v>3</v>
      </c>
      <c r="E5" s="5">
        <f t="shared" si="1"/>
        <v>10</v>
      </c>
      <c r="F5" s="6" t="str">
        <f t="shared" si="0"/>
        <v>0小时10分钟</v>
      </c>
      <c r="G5" s="7" t="s">
        <v>16</v>
      </c>
      <c r="H5" s="3"/>
      <c r="I5" s="3"/>
      <c r="J5" s="3"/>
      <c r="K5" s="3"/>
    </row>
    <row r="6" ht="27" spans="1:11">
      <c r="A6" s="4" t="s">
        <v>17</v>
      </c>
      <c r="B6" s="4" t="s">
        <v>18</v>
      </c>
      <c r="C6" s="4"/>
      <c r="D6" s="4">
        <v>7</v>
      </c>
      <c r="E6" s="5">
        <f t="shared" si="1"/>
        <v>17</v>
      </c>
      <c r="F6" s="6" t="str">
        <f t="shared" si="0"/>
        <v>0小时17分钟</v>
      </c>
      <c r="G6" s="7" t="s">
        <v>19</v>
      </c>
      <c r="H6" s="3"/>
      <c r="I6" s="3"/>
      <c r="J6" s="3"/>
      <c r="K6" s="3"/>
    </row>
    <row r="7" ht="67.5" spans="1:11">
      <c r="A7" s="4" t="s">
        <v>20</v>
      </c>
      <c r="B7" s="4" t="s">
        <v>21</v>
      </c>
      <c r="C7" s="4"/>
      <c r="D7" s="4">
        <v>3</v>
      </c>
      <c r="E7" s="5">
        <f t="shared" si="1"/>
        <v>20</v>
      </c>
      <c r="F7" s="6" t="str">
        <f t="shared" si="0"/>
        <v>0小时20分钟</v>
      </c>
      <c r="G7" s="7" t="s">
        <v>22</v>
      </c>
      <c r="H7" s="3"/>
      <c r="I7" s="3"/>
      <c r="J7" s="3"/>
      <c r="K7" s="3"/>
    </row>
    <row r="8" ht="25.5" spans="1:11">
      <c r="A8" s="4" t="s">
        <v>23</v>
      </c>
      <c r="B8" s="4" t="s">
        <v>24</v>
      </c>
      <c r="C8" s="4"/>
      <c r="D8" s="4">
        <v>0.5</v>
      </c>
      <c r="E8" s="5">
        <f t="shared" si="1"/>
        <v>20.5</v>
      </c>
      <c r="F8" s="6" t="str">
        <f t="shared" si="0"/>
        <v>0小时20.5分钟</v>
      </c>
      <c r="G8" s="4" t="s">
        <v>25</v>
      </c>
      <c r="H8" s="3"/>
      <c r="I8" s="3"/>
      <c r="J8" s="3"/>
      <c r="K8" s="3"/>
    </row>
    <row r="9" ht="25.5" spans="1:11">
      <c r="A9" s="4" t="s">
        <v>26</v>
      </c>
      <c r="B9" s="4" t="s">
        <v>18</v>
      </c>
      <c r="C9" s="4"/>
      <c r="D9" s="4">
        <v>7</v>
      </c>
      <c r="E9" s="5">
        <f t="shared" si="1"/>
        <v>27.5</v>
      </c>
      <c r="F9" s="6" t="str">
        <f t="shared" si="0"/>
        <v>0小时27.5分钟</v>
      </c>
      <c r="G9" s="4" t="s">
        <v>19</v>
      </c>
      <c r="H9" s="3"/>
      <c r="I9" s="3"/>
      <c r="J9" s="3"/>
      <c r="K9" s="3"/>
    </row>
    <row r="10" ht="25.5" spans="1:11">
      <c r="A10" s="4" t="s">
        <v>27</v>
      </c>
      <c r="B10" s="4" t="s">
        <v>28</v>
      </c>
      <c r="C10" s="4"/>
      <c r="D10" s="4">
        <v>7</v>
      </c>
      <c r="E10" s="5">
        <f t="shared" si="1"/>
        <v>34.5</v>
      </c>
      <c r="F10" s="6" t="str">
        <f t="shared" si="0"/>
        <v>0小时34.5分钟</v>
      </c>
      <c r="G10" s="4" t="s">
        <v>29</v>
      </c>
      <c r="H10" s="3"/>
      <c r="I10" s="3"/>
      <c r="J10" s="3"/>
      <c r="K10" s="3"/>
    </row>
    <row r="11" ht="25.5" spans="1:11">
      <c r="A11" s="4" t="s">
        <v>30</v>
      </c>
      <c r="B11" s="4" t="s">
        <v>31</v>
      </c>
      <c r="C11" s="4"/>
      <c r="D11" s="4">
        <v>2</v>
      </c>
      <c r="E11" s="5">
        <f t="shared" si="1"/>
        <v>36.5</v>
      </c>
      <c r="F11" s="6" t="str">
        <f t="shared" si="0"/>
        <v>0小时36.5分钟</v>
      </c>
      <c r="G11" s="4" t="s">
        <v>32</v>
      </c>
      <c r="H11" s="3"/>
      <c r="I11" s="3"/>
      <c r="J11" s="3"/>
      <c r="K11" s="3"/>
    </row>
    <row r="12" ht="25.5" spans="1:11">
      <c r="A12" s="4" t="s">
        <v>33</v>
      </c>
      <c r="B12" s="4" t="s">
        <v>12</v>
      </c>
      <c r="C12" s="4"/>
      <c r="D12" s="4">
        <v>2</v>
      </c>
      <c r="E12" s="5">
        <f t="shared" si="1"/>
        <v>38.5</v>
      </c>
      <c r="F12" s="6" t="str">
        <f t="shared" si="0"/>
        <v>0小时38.5分钟</v>
      </c>
      <c r="G12" s="4" t="s">
        <v>13</v>
      </c>
      <c r="H12" s="3"/>
      <c r="I12" s="3"/>
      <c r="J12" s="3"/>
      <c r="K12" s="3"/>
    </row>
    <row r="13" ht="25.5" spans="1:11">
      <c r="A13" s="4" t="s">
        <v>34</v>
      </c>
      <c r="B13" s="4" t="s">
        <v>9</v>
      </c>
      <c r="C13" s="4"/>
      <c r="D13" s="4">
        <v>3</v>
      </c>
      <c r="E13" s="5">
        <f t="shared" si="1"/>
        <v>41.5</v>
      </c>
      <c r="F13" s="6" t="str">
        <f t="shared" si="0"/>
        <v>0小时41.5分钟</v>
      </c>
      <c r="G13" s="4" t="s">
        <v>10</v>
      </c>
      <c r="H13" s="3"/>
      <c r="I13" s="3"/>
      <c r="J13" s="3"/>
      <c r="K13" s="3"/>
    </row>
    <row r="14" ht="25.5" spans="1:11">
      <c r="A14" s="4" t="s">
        <v>35</v>
      </c>
      <c r="B14" s="4" t="s">
        <v>18</v>
      </c>
      <c r="C14" s="4"/>
      <c r="D14" s="4">
        <v>7</v>
      </c>
      <c r="E14" s="5">
        <f t="shared" si="1"/>
        <v>48.5</v>
      </c>
      <c r="F14" s="6" t="str">
        <f t="shared" si="0"/>
        <v>0小时48.5分钟</v>
      </c>
      <c r="G14" s="4" t="s">
        <v>19</v>
      </c>
      <c r="H14" s="3"/>
      <c r="I14" s="3"/>
      <c r="J14" s="3"/>
      <c r="K14" s="3"/>
    </row>
    <row r="15" ht="25.5" spans="1:11">
      <c r="A15" s="4" t="s">
        <v>36</v>
      </c>
      <c r="B15" s="4" t="s">
        <v>37</v>
      </c>
      <c r="C15" s="4"/>
      <c r="D15" s="4">
        <v>2</v>
      </c>
      <c r="E15" s="5">
        <f t="shared" si="1"/>
        <v>50.5</v>
      </c>
      <c r="F15" s="6" t="str">
        <f t="shared" si="0"/>
        <v>0小时50.5分钟</v>
      </c>
      <c r="G15" s="4" t="s">
        <v>38</v>
      </c>
      <c r="H15" s="3"/>
      <c r="I15" s="3"/>
      <c r="J15" s="3"/>
      <c r="K15" s="3"/>
    </row>
    <row r="16" ht="25.5" spans="1:11">
      <c r="A16" s="4" t="s">
        <v>39</v>
      </c>
      <c r="B16" s="4" t="s">
        <v>12</v>
      </c>
      <c r="C16" s="4"/>
      <c r="D16" s="4">
        <v>2</v>
      </c>
      <c r="E16" s="5">
        <f t="shared" si="1"/>
        <v>52.5</v>
      </c>
      <c r="F16" s="6" t="str">
        <f t="shared" si="0"/>
        <v>0小时52.5分钟</v>
      </c>
      <c r="G16" s="4" t="s">
        <v>13</v>
      </c>
      <c r="H16" s="3"/>
      <c r="I16" s="3"/>
      <c r="J16" s="3"/>
      <c r="K16" s="3"/>
    </row>
    <row r="17" ht="25.5" spans="1:11">
      <c r="A17" s="4" t="s">
        <v>40</v>
      </c>
      <c r="B17" s="4" t="s">
        <v>41</v>
      </c>
      <c r="C17" s="4"/>
      <c r="D17" s="4">
        <v>1</v>
      </c>
      <c r="E17" s="5">
        <f t="shared" si="1"/>
        <v>53.5</v>
      </c>
      <c r="F17" s="6" t="str">
        <f t="shared" si="0"/>
        <v>0小时53.5分钟</v>
      </c>
      <c r="G17" s="4" t="s">
        <v>42</v>
      </c>
      <c r="H17" s="3"/>
      <c r="I17" s="3"/>
      <c r="J17" s="3"/>
      <c r="K17" s="3"/>
    </row>
    <row r="18" ht="25.5" spans="1:11">
      <c r="A18" s="4" t="s">
        <v>43</v>
      </c>
      <c r="B18" s="4" t="s">
        <v>6</v>
      </c>
      <c r="C18" s="4"/>
      <c r="D18" s="4">
        <v>2</v>
      </c>
      <c r="E18" s="5">
        <f t="shared" si="1"/>
        <v>55.5</v>
      </c>
      <c r="F18" s="6" t="str">
        <f t="shared" si="0"/>
        <v>0小时55.5分钟</v>
      </c>
      <c r="G18" s="4" t="s">
        <v>7</v>
      </c>
      <c r="H18" s="3"/>
      <c r="I18" s="3"/>
      <c r="J18" s="3"/>
      <c r="K18" s="3"/>
    </row>
    <row r="19" ht="25.5" spans="1:11">
      <c r="A19" s="4" t="s">
        <v>44</v>
      </c>
      <c r="B19" s="4" t="s">
        <v>45</v>
      </c>
      <c r="C19" s="4"/>
      <c r="D19" s="4">
        <v>2</v>
      </c>
      <c r="E19" s="5">
        <f t="shared" si="1"/>
        <v>57.5</v>
      </c>
      <c r="F19" s="6" t="str">
        <f t="shared" si="0"/>
        <v>0小时57.5分钟</v>
      </c>
      <c r="G19" s="4" t="s">
        <v>46</v>
      </c>
      <c r="H19" s="3"/>
      <c r="I19" s="3"/>
      <c r="J19" s="3"/>
      <c r="K19" s="3"/>
    </row>
    <row r="20" ht="13.5" spans="1:11">
      <c r="A20" s="4" t="s">
        <v>47</v>
      </c>
      <c r="B20" s="4" t="s">
        <v>48</v>
      </c>
      <c r="C20" s="4"/>
      <c r="D20" s="4">
        <v>3</v>
      </c>
      <c r="E20" s="5">
        <f t="shared" si="1"/>
        <v>60.5</v>
      </c>
      <c r="F20" s="6" t="str">
        <f t="shared" si="0"/>
        <v>1小时0.5分钟</v>
      </c>
      <c r="G20" s="4" t="s">
        <v>49</v>
      </c>
      <c r="H20" s="3"/>
      <c r="I20" s="3"/>
      <c r="J20" s="3"/>
      <c r="K20" s="3"/>
    </row>
    <row r="21" ht="13.5" spans="1:11">
      <c r="A21" s="4" t="s">
        <v>50</v>
      </c>
      <c r="B21" s="4" t="s">
        <v>12</v>
      </c>
      <c r="C21" s="4"/>
      <c r="D21" s="4">
        <v>2</v>
      </c>
      <c r="E21" s="5">
        <f t="shared" si="1"/>
        <v>62.5</v>
      </c>
      <c r="F21" s="6" t="str">
        <f t="shared" si="0"/>
        <v>1小时2.5分钟</v>
      </c>
      <c r="G21" s="4" t="s">
        <v>13</v>
      </c>
      <c r="H21" s="3"/>
      <c r="I21" s="3"/>
      <c r="J21" s="3"/>
      <c r="K21" s="3"/>
    </row>
    <row r="22" ht="13.5" spans="1:11">
      <c r="A22" s="4" t="s">
        <v>51</v>
      </c>
      <c r="B22" s="4" t="s">
        <v>9</v>
      </c>
      <c r="C22" s="4"/>
      <c r="D22" s="4">
        <v>3</v>
      </c>
      <c r="E22" s="5">
        <f t="shared" si="1"/>
        <v>65.5</v>
      </c>
      <c r="F22" s="6" t="str">
        <f t="shared" si="0"/>
        <v>1小时5.5分钟</v>
      </c>
      <c r="G22" s="4" t="s">
        <v>10</v>
      </c>
      <c r="H22" s="3"/>
      <c r="I22" s="3"/>
      <c r="J22" s="3"/>
      <c r="K22" s="3"/>
    </row>
    <row r="23" ht="13.5" spans="1:11">
      <c r="A23" s="4" t="s">
        <v>52</v>
      </c>
      <c r="B23" s="4" t="s">
        <v>53</v>
      </c>
      <c r="C23" s="4"/>
      <c r="D23" s="4">
        <v>0.5</v>
      </c>
      <c r="E23" s="5">
        <f t="shared" si="1"/>
        <v>66</v>
      </c>
      <c r="F23" s="6" t="str">
        <f t="shared" si="0"/>
        <v>1小时6分钟</v>
      </c>
      <c r="G23" s="4" t="s">
        <v>54</v>
      </c>
      <c r="H23" s="3"/>
      <c r="I23" s="3"/>
      <c r="J23" s="3"/>
      <c r="K23" s="3"/>
    </row>
    <row r="24" ht="13.5" spans="1:11">
      <c r="A24" s="4" t="s">
        <v>55</v>
      </c>
      <c r="B24" s="4" t="s">
        <v>56</v>
      </c>
      <c r="C24" s="4"/>
      <c r="D24" s="4">
        <v>3</v>
      </c>
      <c r="E24" s="5">
        <f t="shared" si="1"/>
        <v>69</v>
      </c>
      <c r="F24" s="6" t="str">
        <f t="shared" si="0"/>
        <v>1小时9分钟</v>
      </c>
      <c r="G24" s="4" t="s">
        <v>57</v>
      </c>
      <c r="H24" s="3"/>
      <c r="I24" s="3"/>
      <c r="J24" s="3"/>
      <c r="K24" s="3"/>
    </row>
    <row r="25" ht="13.5" spans="1:11">
      <c r="A25" s="4" t="s">
        <v>58</v>
      </c>
      <c r="B25" s="4" t="s">
        <v>18</v>
      </c>
      <c r="C25" s="4"/>
      <c r="D25" s="4">
        <v>7</v>
      </c>
      <c r="E25" s="5">
        <f t="shared" si="1"/>
        <v>76</v>
      </c>
      <c r="F25" s="6" t="str">
        <f t="shared" si="0"/>
        <v>1小时16分钟</v>
      </c>
      <c r="G25" s="4" t="s">
        <v>19</v>
      </c>
      <c r="H25" s="3"/>
      <c r="I25" s="3"/>
      <c r="J25" s="3"/>
      <c r="K25" s="3"/>
    </row>
    <row r="26" ht="13.5" spans="1:11">
      <c r="A26" s="4" t="s">
        <v>59</v>
      </c>
      <c r="B26" s="4" t="s">
        <v>60</v>
      </c>
      <c r="C26" s="4"/>
      <c r="D26" s="4">
        <v>5</v>
      </c>
      <c r="E26" s="5">
        <f t="shared" si="1"/>
        <v>81</v>
      </c>
      <c r="F26" s="6" t="str">
        <f t="shared" si="0"/>
        <v>1小时21分钟</v>
      </c>
      <c r="G26" s="4" t="s">
        <v>61</v>
      </c>
      <c r="H26" s="3"/>
      <c r="I26" s="3"/>
      <c r="J26" s="3"/>
      <c r="K26" s="3"/>
    </row>
    <row r="27" ht="25.5" spans="1:11">
      <c r="A27" s="4" t="s">
        <v>62</v>
      </c>
      <c r="B27" s="4" t="s">
        <v>24</v>
      </c>
      <c r="C27" s="4"/>
      <c r="D27" s="4">
        <v>0.5</v>
      </c>
      <c r="E27" s="5">
        <f t="shared" si="1"/>
        <v>81.5</v>
      </c>
      <c r="F27" s="6" t="str">
        <f t="shared" si="0"/>
        <v>1小时21.5分钟</v>
      </c>
      <c r="G27" s="4" t="s">
        <v>25</v>
      </c>
      <c r="H27" s="3"/>
      <c r="I27" s="3"/>
      <c r="J27" s="3"/>
      <c r="K27" s="3"/>
    </row>
    <row r="28" ht="25.5" spans="1:11">
      <c r="A28" s="4" t="s">
        <v>63</v>
      </c>
      <c r="B28" s="4" t="s">
        <v>18</v>
      </c>
      <c r="C28" s="4"/>
      <c r="D28" s="4">
        <v>7</v>
      </c>
      <c r="E28" s="5">
        <f t="shared" si="1"/>
        <v>88.5</v>
      </c>
      <c r="F28" s="6" t="str">
        <f t="shared" si="0"/>
        <v>1小时28.5分钟</v>
      </c>
      <c r="G28" s="4" t="s">
        <v>19</v>
      </c>
      <c r="H28" s="3"/>
      <c r="I28" s="3"/>
      <c r="J28" s="3"/>
      <c r="K28" s="3"/>
    </row>
    <row r="29" ht="25.5" spans="1:11">
      <c r="A29" s="4" t="s">
        <v>64</v>
      </c>
      <c r="B29" s="4" t="s">
        <v>65</v>
      </c>
      <c r="C29" s="4"/>
      <c r="D29" s="4">
        <v>7</v>
      </c>
      <c r="E29" s="5">
        <f t="shared" si="1"/>
        <v>95.5</v>
      </c>
      <c r="F29" s="6" t="str">
        <f t="shared" si="0"/>
        <v>1小时35.5分钟</v>
      </c>
      <c r="G29" s="4" t="s">
        <v>66</v>
      </c>
      <c r="H29" s="3"/>
      <c r="I29" s="3"/>
      <c r="J29" s="3"/>
      <c r="K29" s="3"/>
    </row>
    <row r="30" ht="25.5" spans="1:11">
      <c r="A30" s="4" t="s">
        <v>67</v>
      </c>
      <c r="B30" s="4" t="s">
        <v>68</v>
      </c>
      <c r="C30" s="4"/>
      <c r="D30" s="4">
        <v>3</v>
      </c>
      <c r="E30" s="5">
        <f t="shared" si="1"/>
        <v>98.5</v>
      </c>
      <c r="F30" s="6" t="str">
        <f t="shared" si="0"/>
        <v>1小时38.5分钟</v>
      </c>
      <c r="G30" s="4" t="s">
        <v>69</v>
      </c>
      <c r="H30" s="3"/>
      <c r="I30" s="3"/>
      <c r="J30" s="3"/>
      <c r="K30" s="3"/>
    </row>
    <row r="31" ht="25.5" spans="1:11">
      <c r="A31" s="4" t="s">
        <v>70</v>
      </c>
      <c r="B31" s="4" t="s">
        <v>12</v>
      </c>
      <c r="C31" s="4"/>
      <c r="D31" s="4">
        <v>2</v>
      </c>
      <c r="E31" s="5">
        <f t="shared" si="1"/>
        <v>100.5</v>
      </c>
      <c r="F31" s="6" t="str">
        <f t="shared" si="0"/>
        <v>1小时40.5分钟</v>
      </c>
      <c r="G31" s="4" t="s">
        <v>13</v>
      </c>
      <c r="H31" s="3"/>
      <c r="I31" s="3"/>
      <c r="J31" s="3"/>
      <c r="K31" s="3"/>
    </row>
    <row r="32" ht="25.5" spans="1:11">
      <c r="A32" s="4" t="s">
        <v>71</v>
      </c>
      <c r="B32" s="4" t="s">
        <v>72</v>
      </c>
      <c r="C32" s="4"/>
      <c r="D32" s="4">
        <v>2</v>
      </c>
      <c r="E32" s="5">
        <f t="shared" si="1"/>
        <v>102.5</v>
      </c>
      <c r="F32" s="6" t="str">
        <f t="shared" si="0"/>
        <v>1小时42.5分钟</v>
      </c>
      <c r="G32" s="4" t="s">
        <v>73</v>
      </c>
      <c r="H32" s="3"/>
      <c r="I32" s="3"/>
      <c r="J32" s="3"/>
      <c r="K32" s="3"/>
    </row>
    <row r="33" ht="25.5" spans="1:11">
      <c r="A33" s="4" t="s">
        <v>74</v>
      </c>
      <c r="B33" s="4" t="s">
        <v>18</v>
      </c>
      <c r="C33" s="4"/>
      <c r="D33" s="4">
        <v>7</v>
      </c>
      <c r="E33" s="5">
        <f t="shared" si="1"/>
        <v>109.5</v>
      </c>
      <c r="F33" s="6" t="str">
        <f t="shared" si="0"/>
        <v>1小时49.5分钟</v>
      </c>
      <c r="G33" s="4" t="s">
        <v>19</v>
      </c>
      <c r="H33" s="3"/>
      <c r="I33" s="3"/>
      <c r="J33" s="3"/>
      <c r="K33" s="3"/>
    </row>
    <row r="34" ht="25.5" spans="1:11">
      <c r="A34" s="4" t="s">
        <v>75</v>
      </c>
      <c r="B34" s="4" t="s">
        <v>31</v>
      </c>
      <c r="C34" s="4"/>
      <c r="D34" s="4">
        <v>2</v>
      </c>
      <c r="E34" s="5">
        <f t="shared" si="1"/>
        <v>111.5</v>
      </c>
      <c r="F34" s="6" t="str">
        <f t="shared" si="0"/>
        <v>1小时51.5分钟</v>
      </c>
      <c r="G34" s="4" t="s">
        <v>32</v>
      </c>
      <c r="H34" s="3"/>
      <c r="I34" s="3"/>
      <c r="J34" s="3"/>
      <c r="K34" s="3"/>
    </row>
    <row r="35" ht="25.5" spans="1:11">
      <c r="A35" s="4" t="s">
        <v>76</v>
      </c>
      <c r="B35" s="4" t="s">
        <v>77</v>
      </c>
      <c r="C35" s="4"/>
      <c r="D35" s="4">
        <v>3</v>
      </c>
      <c r="E35" s="5">
        <f t="shared" si="1"/>
        <v>114.5</v>
      </c>
      <c r="F35" s="6" t="str">
        <f t="shared" si="0"/>
        <v>1小时54.5分钟</v>
      </c>
      <c r="G35" s="4" t="s">
        <v>78</v>
      </c>
      <c r="H35" s="3"/>
      <c r="I35" s="3"/>
      <c r="J35" s="3"/>
      <c r="K35" s="3"/>
    </row>
    <row r="36" ht="25.5" spans="1:11">
      <c r="A36" s="4" t="s">
        <v>79</v>
      </c>
      <c r="B36" s="4" t="s">
        <v>9</v>
      </c>
      <c r="C36" s="4"/>
      <c r="D36" s="4">
        <v>3</v>
      </c>
      <c r="E36" s="5">
        <f t="shared" si="1"/>
        <v>117.5</v>
      </c>
      <c r="F36" s="6" t="str">
        <f t="shared" si="0"/>
        <v>1小时57.5分钟</v>
      </c>
      <c r="G36" s="4" t="s">
        <v>10</v>
      </c>
      <c r="H36" s="3"/>
      <c r="I36" s="3"/>
      <c r="J36" s="3"/>
      <c r="K36" s="3"/>
    </row>
    <row r="37" ht="25.5" spans="1:11">
      <c r="A37" s="4" t="s">
        <v>80</v>
      </c>
      <c r="B37" s="4" t="s">
        <v>12</v>
      </c>
      <c r="C37" s="4"/>
      <c r="D37" s="4">
        <v>2</v>
      </c>
      <c r="E37" s="5">
        <f t="shared" si="1"/>
        <v>119.5</v>
      </c>
      <c r="F37" s="6" t="str">
        <f t="shared" si="0"/>
        <v>1小时59.5分钟</v>
      </c>
      <c r="G37" s="4" t="s">
        <v>13</v>
      </c>
      <c r="H37" s="3"/>
      <c r="I37" s="3"/>
      <c r="J37" s="3"/>
      <c r="K37" s="3"/>
    </row>
    <row r="38" ht="13.5" spans="1:11">
      <c r="A38" s="4" t="s">
        <v>81</v>
      </c>
      <c r="B38" s="4" t="s">
        <v>82</v>
      </c>
      <c r="C38" s="4"/>
      <c r="D38" s="4">
        <v>4</v>
      </c>
      <c r="E38" s="5">
        <f t="shared" si="1"/>
        <v>123.5</v>
      </c>
      <c r="F38" s="6" t="str">
        <f t="shared" si="0"/>
        <v>2小时3.5分钟</v>
      </c>
      <c r="G38" s="4" t="s">
        <v>83</v>
      </c>
      <c r="H38" s="3"/>
      <c r="I38" s="3"/>
      <c r="J38" s="3"/>
      <c r="K38" s="3"/>
    </row>
    <row r="39" ht="13.5" spans="1:11">
      <c r="A39" s="4" t="s">
        <v>84</v>
      </c>
      <c r="B39" s="4" t="s">
        <v>85</v>
      </c>
      <c r="C39" s="4"/>
      <c r="D39" s="4">
        <v>3</v>
      </c>
      <c r="E39" s="5">
        <f t="shared" si="1"/>
        <v>126.5</v>
      </c>
      <c r="F39" s="6" t="str">
        <f t="shared" si="0"/>
        <v>2小时6.5分钟</v>
      </c>
      <c r="G39" s="4" t="s">
        <v>86</v>
      </c>
      <c r="H39" s="3"/>
      <c r="I39" s="3"/>
      <c r="J39" s="3"/>
      <c r="K39" s="3"/>
    </row>
    <row r="40" ht="13.5" spans="1:11">
      <c r="A40" s="4" t="s">
        <v>87</v>
      </c>
      <c r="B40" s="4" t="s">
        <v>88</v>
      </c>
      <c r="C40" s="4"/>
      <c r="D40" s="4">
        <v>3</v>
      </c>
      <c r="E40" s="5">
        <f t="shared" si="1"/>
        <v>129.5</v>
      </c>
      <c r="F40" s="6" t="str">
        <f t="shared" si="0"/>
        <v>2小时9.5分钟</v>
      </c>
      <c r="G40" s="4" t="s">
        <v>89</v>
      </c>
      <c r="H40" s="3"/>
      <c r="I40" s="3"/>
      <c r="J40" s="3"/>
      <c r="K40" s="3"/>
    </row>
    <row r="41" ht="25.5" spans="1:11">
      <c r="A41" s="4" t="s">
        <v>90</v>
      </c>
      <c r="B41" s="4" t="s">
        <v>91</v>
      </c>
      <c r="C41" s="4"/>
      <c r="D41" s="4">
        <v>2</v>
      </c>
      <c r="E41" s="5">
        <f t="shared" si="1"/>
        <v>131.5</v>
      </c>
      <c r="F41" s="6" t="str">
        <f t="shared" si="0"/>
        <v>2小时11.5分钟</v>
      </c>
      <c r="G41" s="4" t="s">
        <v>92</v>
      </c>
      <c r="H41" s="3"/>
      <c r="I41" s="3"/>
      <c r="J41" s="3"/>
      <c r="K41" s="3"/>
    </row>
    <row r="42" ht="25.5" spans="1:11">
      <c r="A42" s="4" t="s">
        <v>93</v>
      </c>
      <c r="B42" s="4" t="s">
        <v>18</v>
      </c>
      <c r="C42" s="4"/>
      <c r="D42" s="4">
        <v>7</v>
      </c>
      <c r="E42" s="5">
        <f t="shared" si="1"/>
        <v>138.5</v>
      </c>
      <c r="F42" s="6" t="str">
        <f t="shared" si="0"/>
        <v>2小时18.5分钟</v>
      </c>
      <c r="G42" s="4" t="s">
        <v>19</v>
      </c>
      <c r="H42" s="3"/>
      <c r="I42" s="3"/>
      <c r="J42" s="3"/>
      <c r="K42" s="3"/>
    </row>
    <row r="43" ht="25.5" spans="1:11">
      <c r="A43" s="4" t="s">
        <v>94</v>
      </c>
      <c r="B43" s="4" t="s">
        <v>95</v>
      </c>
      <c r="C43" s="4"/>
      <c r="D43" s="4">
        <v>2</v>
      </c>
      <c r="E43" s="5">
        <f t="shared" si="1"/>
        <v>140.5</v>
      </c>
      <c r="F43" s="6" t="str">
        <f t="shared" si="0"/>
        <v>2小时20.5分钟</v>
      </c>
      <c r="G43" s="4" t="s">
        <v>96</v>
      </c>
      <c r="H43" s="3"/>
      <c r="I43" s="3"/>
      <c r="J43" s="3"/>
      <c r="K43" s="3"/>
    </row>
    <row r="44" ht="25.5" spans="1:11">
      <c r="A44" s="4" t="s">
        <v>97</v>
      </c>
      <c r="B44" s="4" t="s">
        <v>12</v>
      </c>
      <c r="C44" s="4"/>
      <c r="D44" s="4">
        <v>2</v>
      </c>
      <c r="E44" s="5">
        <f t="shared" si="1"/>
        <v>142.5</v>
      </c>
      <c r="F44" s="6" t="str">
        <f t="shared" si="0"/>
        <v>2小时22.5分钟</v>
      </c>
      <c r="G44" s="4" t="s">
        <v>13</v>
      </c>
      <c r="H44" s="3"/>
      <c r="I44" s="3"/>
      <c r="J44" s="3"/>
      <c r="K44" s="3"/>
    </row>
    <row r="45" ht="25.5" spans="1:11">
      <c r="A45" s="4" t="s">
        <v>98</v>
      </c>
      <c r="B45" s="4" t="s">
        <v>99</v>
      </c>
      <c r="C45" s="4"/>
      <c r="D45" s="4">
        <v>2</v>
      </c>
      <c r="E45" s="5">
        <f t="shared" si="1"/>
        <v>144.5</v>
      </c>
      <c r="F45" s="6" t="str">
        <f t="shared" si="0"/>
        <v>2小时24.5分钟</v>
      </c>
      <c r="G45" s="4" t="s">
        <v>100</v>
      </c>
      <c r="H45" s="3"/>
      <c r="I45" s="3"/>
      <c r="J45" s="3"/>
      <c r="K45" s="3"/>
    </row>
    <row r="46" ht="25.5" spans="1:11">
      <c r="A46" s="4" t="s">
        <v>101</v>
      </c>
      <c r="B46" s="4" t="s">
        <v>18</v>
      </c>
      <c r="C46" s="4"/>
      <c r="D46" s="4">
        <v>7</v>
      </c>
      <c r="E46" s="5">
        <f t="shared" si="1"/>
        <v>151.5</v>
      </c>
      <c r="F46" s="6" t="str">
        <f t="shared" si="0"/>
        <v>2小时31.5分钟</v>
      </c>
      <c r="G46" s="4" t="s">
        <v>19</v>
      </c>
      <c r="H46" s="3"/>
      <c r="I46" s="3"/>
      <c r="J46" s="3"/>
      <c r="K46" s="3"/>
    </row>
    <row r="47" ht="13.5" spans="1:11">
      <c r="A47" s="4" t="s">
        <v>102</v>
      </c>
      <c r="B47" s="4" t="s">
        <v>53</v>
      </c>
      <c r="C47" s="4"/>
      <c r="D47" s="4">
        <v>0.5</v>
      </c>
      <c r="E47" s="5">
        <f t="shared" si="1"/>
        <v>152</v>
      </c>
      <c r="F47" s="6" t="str">
        <f t="shared" si="0"/>
        <v>2小时32分钟</v>
      </c>
      <c r="G47" s="4" t="s">
        <v>54</v>
      </c>
      <c r="H47" s="3"/>
      <c r="I47" s="3"/>
      <c r="J47" s="3"/>
      <c r="K47" s="3"/>
    </row>
    <row r="48" ht="13.5" spans="1:11">
      <c r="A48" s="4" t="s">
        <v>103</v>
      </c>
      <c r="B48" s="4" t="s">
        <v>104</v>
      </c>
      <c r="C48" s="4"/>
      <c r="D48" s="4">
        <v>3</v>
      </c>
      <c r="E48" s="5">
        <f t="shared" si="1"/>
        <v>155</v>
      </c>
      <c r="F48" s="6" t="str">
        <f t="shared" si="0"/>
        <v>2小时35分钟</v>
      </c>
      <c r="G48" s="4" t="s">
        <v>105</v>
      </c>
      <c r="H48" s="3"/>
      <c r="I48" s="3"/>
      <c r="J48" s="3"/>
      <c r="K48" s="3"/>
    </row>
    <row r="49" ht="25.5" spans="1:11">
      <c r="A49" s="4" t="s">
        <v>106</v>
      </c>
      <c r="B49" s="4" t="s">
        <v>24</v>
      </c>
      <c r="C49" s="4"/>
      <c r="D49" s="4">
        <v>0.5</v>
      </c>
      <c r="E49" s="5">
        <f t="shared" si="1"/>
        <v>155.5</v>
      </c>
      <c r="F49" s="6" t="str">
        <f t="shared" si="0"/>
        <v>2小时35.5分钟</v>
      </c>
      <c r="G49" s="4" t="s">
        <v>25</v>
      </c>
      <c r="H49" s="3"/>
      <c r="I49" s="3"/>
      <c r="J49" s="3"/>
      <c r="K49" s="3"/>
    </row>
    <row r="50" ht="25.5" spans="1:11">
      <c r="A50" s="4" t="s">
        <v>107</v>
      </c>
      <c r="B50" s="4" t="s">
        <v>108</v>
      </c>
      <c r="C50" s="4"/>
      <c r="D50" s="4">
        <v>4</v>
      </c>
      <c r="E50" s="5">
        <f t="shared" si="1"/>
        <v>159.5</v>
      </c>
      <c r="F50" s="6" t="str">
        <f t="shared" si="0"/>
        <v>2小时39.5分钟</v>
      </c>
      <c r="G50" s="4" t="s">
        <v>109</v>
      </c>
      <c r="H50" s="3"/>
      <c r="I50" s="3"/>
      <c r="J50" s="3"/>
      <c r="K50" s="3"/>
    </row>
    <row r="51" ht="25.5" spans="1:11">
      <c r="A51" s="4" t="s">
        <v>110</v>
      </c>
      <c r="B51" s="4" t="s">
        <v>111</v>
      </c>
      <c r="C51" s="4"/>
      <c r="D51" s="4">
        <v>3</v>
      </c>
      <c r="E51" s="5">
        <f t="shared" si="1"/>
        <v>162.5</v>
      </c>
      <c r="F51" s="6" t="str">
        <f t="shared" si="0"/>
        <v>2小时42.5分钟</v>
      </c>
      <c r="G51" s="4" t="s">
        <v>112</v>
      </c>
      <c r="H51" s="3"/>
      <c r="I51" s="3"/>
      <c r="J51" s="3"/>
      <c r="K51" s="3"/>
    </row>
    <row r="52" ht="25.5" spans="1:11">
      <c r="A52" s="4" t="s">
        <v>113</v>
      </c>
      <c r="B52" s="4" t="s">
        <v>12</v>
      </c>
      <c r="C52" s="4"/>
      <c r="D52" s="4">
        <v>2</v>
      </c>
      <c r="E52" s="5">
        <f t="shared" si="1"/>
        <v>164.5</v>
      </c>
      <c r="F52" s="6" t="str">
        <f t="shared" si="0"/>
        <v>2小时44.5分钟</v>
      </c>
      <c r="G52" s="4" t="s">
        <v>13</v>
      </c>
      <c r="H52" s="3"/>
      <c r="I52" s="3"/>
      <c r="J52" s="3"/>
      <c r="K52" s="3"/>
    </row>
    <row r="53" ht="25.5" spans="1:11">
      <c r="A53" s="4" t="s">
        <v>114</v>
      </c>
      <c r="B53" s="4" t="s">
        <v>21</v>
      </c>
      <c r="C53" s="4"/>
      <c r="D53" s="4">
        <v>3</v>
      </c>
      <c r="E53" s="5">
        <f t="shared" si="1"/>
        <v>167.5</v>
      </c>
      <c r="F53" s="6" t="str">
        <f t="shared" si="0"/>
        <v>2小时47.5分钟</v>
      </c>
      <c r="G53" s="4" t="s">
        <v>22</v>
      </c>
      <c r="H53" s="3"/>
      <c r="I53" s="3"/>
      <c r="J53" s="3"/>
      <c r="K53" s="3"/>
    </row>
    <row r="54" ht="25.5" spans="1:11">
      <c r="A54" s="4" t="s">
        <v>115</v>
      </c>
      <c r="B54" s="4" t="s">
        <v>18</v>
      </c>
      <c r="C54" s="4"/>
      <c r="D54" s="4">
        <v>7</v>
      </c>
      <c r="E54" s="5">
        <f t="shared" si="1"/>
        <v>174.5</v>
      </c>
      <c r="F54" s="6" t="str">
        <f t="shared" si="0"/>
        <v>2小时54.5分钟</v>
      </c>
      <c r="G54" s="4" t="s">
        <v>19</v>
      </c>
      <c r="H54" s="3"/>
      <c r="I54" s="3"/>
      <c r="J54" s="3"/>
      <c r="K54" s="3"/>
    </row>
    <row r="55" ht="25.5" spans="1:11">
      <c r="A55" s="4" t="s">
        <v>116</v>
      </c>
      <c r="B55" s="4" t="s">
        <v>6</v>
      </c>
      <c r="C55" s="4"/>
      <c r="D55" s="4">
        <v>2</v>
      </c>
      <c r="E55" s="5">
        <f t="shared" si="1"/>
        <v>176.5</v>
      </c>
      <c r="F55" s="6" t="str">
        <f t="shared" si="0"/>
        <v>2小时56.5分钟</v>
      </c>
      <c r="G55" s="4" t="s">
        <v>7</v>
      </c>
      <c r="H55" s="3"/>
      <c r="I55" s="3"/>
      <c r="J55" s="3"/>
      <c r="K55" s="3"/>
    </row>
    <row r="56" ht="13.5" spans="1:11">
      <c r="A56" s="4" t="s">
        <v>117</v>
      </c>
      <c r="B56" s="4" t="s">
        <v>18</v>
      </c>
      <c r="C56" s="4"/>
      <c r="D56" s="4">
        <v>7</v>
      </c>
      <c r="E56" s="5">
        <f t="shared" si="1"/>
        <v>183.5</v>
      </c>
      <c r="F56" s="6" t="str">
        <f t="shared" si="0"/>
        <v>3小时3.5分钟</v>
      </c>
      <c r="G56" s="4" t="s">
        <v>19</v>
      </c>
      <c r="H56" s="3"/>
      <c r="I56" s="3"/>
      <c r="J56" s="3"/>
      <c r="K56" s="3"/>
    </row>
    <row r="57" ht="13.5" spans="1:11">
      <c r="A57" s="4" t="s">
        <v>118</v>
      </c>
      <c r="B57" s="4" t="s">
        <v>48</v>
      </c>
      <c r="C57" s="4"/>
      <c r="D57" s="4">
        <v>3</v>
      </c>
      <c r="E57" s="5">
        <f t="shared" si="1"/>
        <v>186.5</v>
      </c>
      <c r="F57" s="6" t="str">
        <f t="shared" si="0"/>
        <v>3小时6.5分钟</v>
      </c>
      <c r="G57" s="4" t="s">
        <v>49</v>
      </c>
      <c r="H57" s="3"/>
      <c r="I57" s="3"/>
      <c r="J57" s="3"/>
      <c r="K57" s="3"/>
    </row>
    <row r="58" ht="13.5" spans="1:11">
      <c r="A58" s="4" t="s">
        <v>119</v>
      </c>
      <c r="B58" s="4" t="s">
        <v>12</v>
      </c>
      <c r="C58" s="4"/>
      <c r="D58" s="4">
        <v>2</v>
      </c>
      <c r="E58" s="5">
        <f t="shared" si="1"/>
        <v>188.5</v>
      </c>
      <c r="F58" s="6" t="str">
        <f t="shared" si="0"/>
        <v>3小时8.5分钟</v>
      </c>
      <c r="G58" s="4" t="s">
        <v>13</v>
      </c>
      <c r="H58" s="3"/>
      <c r="I58" s="3"/>
      <c r="J58" s="3"/>
      <c r="K58" s="3"/>
    </row>
    <row r="59" ht="25.5" spans="1:11">
      <c r="A59" s="4" t="s">
        <v>120</v>
      </c>
      <c r="B59" s="4" t="s">
        <v>121</v>
      </c>
      <c r="C59" s="4"/>
      <c r="D59" s="4">
        <v>7</v>
      </c>
      <c r="E59" s="5">
        <f t="shared" si="1"/>
        <v>195.5</v>
      </c>
      <c r="F59" s="6" t="str">
        <f t="shared" si="0"/>
        <v>3小时15.5分钟</v>
      </c>
      <c r="G59" s="4" t="s">
        <v>122</v>
      </c>
      <c r="H59" s="3"/>
      <c r="I59" s="3"/>
      <c r="J59" s="3"/>
      <c r="K59" s="3"/>
    </row>
    <row r="60" ht="13.5" spans="1:11">
      <c r="A60" s="4" t="s">
        <v>123</v>
      </c>
      <c r="B60" s="4" t="s">
        <v>53</v>
      </c>
      <c r="C60" s="4"/>
      <c r="D60" s="4">
        <v>0.5</v>
      </c>
      <c r="E60" s="5">
        <f t="shared" si="1"/>
        <v>196</v>
      </c>
      <c r="F60" s="6" t="str">
        <f t="shared" si="0"/>
        <v>3小时16分钟</v>
      </c>
      <c r="G60" s="4" t="s">
        <v>54</v>
      </c>
      <c r="H60" s="3"/>
      <c r="I60" s="3"/>
      <c r="J60" s="3"/>
      <c r="K60" s="3"/>
    </row>
    <row r="61" ht="13.5" spans="1:11">
      <c r="A61" s="4" t="s">
        <v>124</v>
      </c>
      <c r="B61" s="4" t="s">
        <v>12</v>
      </c>
      <c r="C61" s="4"/>
      <c r="D61" s="4">
        <v>2</v>
      </c>
      <c r="E61" s="5">
        <f t="shared" si="1"/>
        <v>198</v>
      </c>
      <c r="F61" s="6" t="str">
        <f t="shared" si="0"/>
        <v>3小时18分钟</v>
      </c>
      <c r="G61" s="4" t="s">
        <v>13</v>
      </c>
      <c r="H61" s="3"/>
      <c r="I61" s="3"/>
      <c r="J61" s="3"/>
      <c r="K61" s="3"/>
    </row>
    <row r="62" ht="13.5" spans="1:11">
      <c r="A62" s="4" t="s">
        <v>125</v>
      </c>
      <c r="B62" s="4" t="s">
        <v>126</v>
      </c>
      <c r="C62" s="4"/>
      <c r="D62" s="4">
        <v>2</v>
      </c>
      <c r="E62" s="5">
        <f t="shared" si="1"/>
        <v>200</v>
      </c>
      <c r="F62" s="6" t="str">
        <f t="shared" si="0"/>
        <v>3小时20分钟</v>
      </c>
      <c r="G62" s="4" t="s">
        <v>127</v>
      </c>
      <c r="H62" s="3"/>
      <c r="I62" s="3"/>
      <c r="J62" s="3"/>
      <c r="K62" s="3"/>
    </row>
    <row r="63" ht="13.5" spans="1:11">
      <c r="A63" s="4" t="s">
        <v>128</v>
      </c>
      <c r="B63" s="4" t="s">
        <v>129</v>
      </c>
      <c r="C63" s="4"/>
      <c r="D63" s="4">
        <v>3</v>
      </c>
      <c r="E63" s="5">
        <f t="shared" si="1"/>
        <v>203</v>
      </c>
      <c r="F63" s="6" t="str">
        <f t="shared" si="0"/>
        <v>3小时23分钟</v>
      </c>
      <c r="G63" s="4" t="s">
        <v>130</v>
      </c>
      <c r="H63" s="3"/>
      <c r="I63" s="3"/>
      <c r="J63" s="3"/>
      <c r="K63" s="3"/>
    </row>
    <row r="64" ht="13.5" spans="1:11">
      <c r="A64" s="4" t="s">
        <v>131</v>
      </c>
      <c r="B64" s="4" t="s">
        <v>132</v>
      </c>
      <c r="C64" s="4"/>
      <c r="D64" s="4">
        <v>7</v>
      </c>
      <c r="E64" s="5">
        <f t="shared" si="1"/>
        <v>210</v>
      </c>
      <c r="F64" s="6" t="str">
        <f t="shared" si="0"/>
        <v>3小时30分钟</v>
      </c>
      <c r="G64" s="4" t="s">
        <v>19</v>
      </c>
      <c r="H64" s="3"/>
      <c r="I64" s="3"/>
      <c r="J64" s="3"/>
      <c r="K64" s="3"/>
    </row>
    <row r="65" ht="13.5" spans="1:11">
      <c r="A65" s="4" t="s">
        <v>133</v>
      </c>
      <c r="B65" s="4" t="s">
        <v>134</v>
      </c>
      <c r="C65" s="4"/>
      <c r="D65" s="4">
        <v>3</v>
      </c>
      <c r="E65" s="5">
        <f t="shared" si="1"/>
        <v>213</v>
      </c>
      <c r="F65" s="6" t="str">
        <f t="shared" si="0"/>
        <v>3小时33分钟</v>
      </c>
      <c r="G65" s="4" t="s">
        <v>135</v>
      </c>
      <c r="H65" s="3"/>
      <c r="I65" s="3"/>
      <c r="J65" s="3"/>
      <c r="K65" s="3"/>
    </row>
    <row r="66" ht="13.5" spans="1:11">
      <c r="A66" s="4" t="s">
        <v>136</v>
      </c>
      <c r="B66" s="4" t="s">
        <v>137</v>
      </c>
      <c r="C66" s="4"/>
      <c r="D66" s="4">
        <v>2</v>
      </c>
      <c r="E66" s="5">
        <f t="shared" si="1"/>
        <v>215</v>
      </c>
      <c r="F66" s="6" t="str">
        <f t="shared" ref="F66:F125" si="2">INT(E66/60)&amp;"小时"&amp;MOD(E66,60)&amp;"分钟"</f>
        <v>3小时35分钟</v>
      </c>
      <c r="G66" s="4" t="s">
        <v>7</v>
      </c>
      <c r="H66" s="3"/>
      <c r="I66" s="3"/>
      <c r="J66" s="3"/>
      <c r="K66" s="3"/>
    </row>
    <row r="67" ht="13.5" spans="1:11">
      <c r="A67" s="4" t="s">
        <v>138</v>
      </c>
      <c r="B67" s="4" t="s">
        <v>139</v>
      </c>
      <c r="C67" s="4"/>
      <c r="D67" s="4">
        <v>3</v>
      </c>
      <c r="E67" s="5">
        <f t="shared" ref="E67:E125" si="3">E66+D67</f>
        <v>218</v>
      </c>
      <c r="F67" s="6" t="str">
        <f t="shared" si="2"/>
        <v>3小时38分钟</v>
      </c>
      <c r="G67" s="4" t="s">
        <v>140</v>
      </c>
      <c r="H67" s="3"/>
      <c r="I67" s="3"/>
      <c r="J67" s="3"/>
      <c r="K67" s="3"/>
    </row>
    <row r="68" ht="13.5" spans="1:11">
      <c r="A68" s="4" t="s">
        <v>141</v>
      </c>
      <c r="B68" s="4" t="s">
        <v>129</v>
      </c>
      <c r="C68" s="4"/>
      <c r="D68" s="4">
        <v>3</v>
      </c>
      <c r="E68" s="5">
        <f t="shared" si="3"/>
        <v>221</v>
      </c>
      <c r="F68" s="6" t="str">
        <f t="shared" si="2"/>
        <v>3小时41分钟</v>
      </c>
      <c r="G68" s="4" t="s">
        <v>130</v>
      </c>
      <c r="H68" s="3"/>
      <c r="I68" s="3"/>
      <c r="J68" s="3"/>
      <c r="K68" s="3"/>
    </row>
    <row r="69" ht="13.5" spans="1:11">
      <c r="A69" s="4" t="s">
        <v>142</v>
      </c>
      <c r="B69" s="4" t="s">
        <v>143</v>
      </c>
      <c r="C69" s="4"/>
      <c r="D69" s="4">
        <v>2</v>
      </c>
      <c r="E69" s="5">
        <f t="shared" si="3"/>
        <v>223</v>
      </c>
      <c r="F69" s="6" t="str">
        <f t="shared" si="2"/>
        <v>3小时43分钟</v>
      </c>
      <c r="G69" s="4" t="s">
        <v>144</v>
      </c>
      <c r="H69" s="3"/>
      <c r="I69" s="3"/>
      <c r="J69" s="3"/>
      <c r="K69" s="3"/>
    </row>
    <row r="70" ht="13.5" spans="1:11">
      <c r="A70" s="4" t="s">
        <v>145</v>
      </c>
      <c r="B70" s="4" t="s">
        <v>146</v>
      </c>
      <c r="C70" s="4"/>
      <c r="D70" s="4">
        <v>2</v>
      </c>
      <c r="E70" s="5">
        <f t="shared" si="3"/>
        <v>225</v>
      </c>
      <c r="F70" s="6" t="str">
        <f t="shared" si="2"/>
        <v>3小时45分钟</v>
      </c>
      <c r="G70" s="4" t="s">
        <v>147</v>
      </c>
      <c r="H70" s="3"/>
      <c r="I70" s="3"/>
      <c r="J70" s="3"/>
      <c r="K70" s="3"/>
    </row>
    <row r="71" ht="13.5" spans="1:11">
      <c r="A71" s="4" t="s">
        <v>148</v>
      </c>
      <c r="B71" s="4" t="s">
        <v>132</v>
      </c>
      <c r="C71" s="4"/>
      <c r="D71" s="4">
        <v>7</v>
      </c>
      <c r="E71" s="5">
        <f t="shared" si="3"/>
        <v>232</v>
      </c>
      <c r="F71" s="6" t="str">
        <f t="shared" si="2"/>
        <v>3小时52分钟</v>
      </c>
      <c r="G71" s="4" t="s">
        <v>19</v>
      </c>
      <c r="H71" s="3"/>
      <c r="I71" s="3"/>
      <c r="J71" s="3"/>
      <c r="K71" s="3"/>
    </row>
    <row r="72" ht="13.5" spans="1:11">
      <c r="A72" s="4" t="s">
        <v>149</v>
      </c>
      <c r="B72" s="4" t="s">
        <v>150</v>
      </c>
      <c r="C72" s="4"/>
      <c r="D72" s="4">
        <v>4</v>
      </c>
      <c r="E72" s="5">
        <f t="shared" si="3"/>
        <v>236</v>
      </c>
      <c r="F72" s="6" t="str">
        <f t="shared" si="2"/>
        <v>3小时56分钟</v>
      </c>
      <c r="G72" s="4" t="s">
        <v>151</v>
      </c>
      <c r="H72" s="3"/>
      <c r="I72" s="3"/>
      <c r="J72" s="3"/>
      <c r="K72" s="3"/>
    </row>
    <row r="73" ht="13.5" spans="1:11">
      <c r="A73" s="4" t="s">
        <v>152</v>
      </c>
      <c r="B73" s="4" t="s">
        <v>153</v>
      </c>
      <c r="C73" s="4"/>
      <c r="D73" s="4">
        <v>3</v>
      </c>
      <c r="E73" s="5">
        <f t="shared" si="3"/>
        <v>239</v>
      </c>
      <c r="F73" s="6" t="str">
        <f t="shared" si="2"/>
        <v>3小时59分钟</v>
      </c>
      <c r="G73" s="4" t="s">
        <v>154</v>
      </c>
      <c r="H73" s="3"/>
      <c r="I73" s="3"/>
      <c r="J73" s="3"/>
      <c r="K73" s="3"/>
    </row>
    <row r="74" ht="13.5" spans="1:11">
      <c r="A74" s="4" t="s">
        <v>155</v>
      </c>
      <c r="B74" s="4" t="s">
        <v>156</v>
      </c>
      <c r="C74" s="4"/>
      <c r="D74" s="4">
        <v>2</v>
      </c>
      <c r="E74" s="5">
        <f t="shared" si="3"/>
        <v>241</v>
      </c>
      <c r="F74" s="6" t="str">
        <f t="shared" si="2"/>
        <v>4小时1分钟</v>
      </c>
      <c r="G74" s="4" t="s">
        <v>13</v>
      </c>
      <c r="H74" s="3"/>
      <c r="I74" s="3"/>
      <c r="J74" s="3"/>
      <c r="K74" s="3"/>
    </row>
    <row r="75" ht="13.5" spans="1:11">
      <c r="A75" s="4" t="s">
        <v>157</v>
      </c>
      <c r="B75" s="4" t="s">
        <v>158</v>
      </c>
      <c r="C75" s="4"/>
      <c r="D75" s="4">
        <v>2</v>
      </c>
      <c r="E75" s="5">
        <f t="shared" si="3"/>
        <v>243</v>
      </c>
      <c r="F75" s="6" t="str">
        <f t="shared" si="2"/>
        <v>4小时3分钟</v>
      </c>
      <c r="G75" s="4" t="s">
        <v>159</v>
      </c>
      <c r="H75" s="3"/>
      <c r="I75" s="3"/>
      <c r="J75" s="3"/>
      <c r="K75" s="3"/>
    </row>
    <row r="76" ht="13.5" spans="1:11">
      <c r="A76" s="4" t="s">
        <v>160</v>
      </c>
      <c r="B76" s="4" t="s">
        <v>161</v>
      </c>
      <c r="C76" s="4"/>
      <c r="D76" s="4">
        <v>3</v>
      </c>
      <c r="E76" s="5">
        <f t="shared" si="3"/>
        <v>246</v>
      </c>
      <c r="F76" s="6" t="str">
        <f t="shared" si="2"/>
        <v>4小时6分钟</v>
      </c>
      <c r="G76" s="4" t="s">
        <v>162</v>
      </c>
      <c r="H76" s="3"/>
      <c r="I76" s="3"/>
      <c r="J76" s="3"/>
      <c r="K76" s="3"/>
    </row>
    <row r="77" ht="13.5" spans="1:11">
      <c r="A77" s="4" t="s">
        <v>163</v>
      </c>
      <c r="B77" s="4" t="s">
        <v>139</v>
      </c>
      <c r="C77" s="4"/>
      <c r="D77" s="4">
        <v>3</v>
      </c>
      <c r="E77" s="5">
        <f t="shared" si="3"/>
        <v>249</v>
      </c>
      <c r="F77" s="6" t="str">
        <f t="shared" si="2"/>
        <v>4小时9分钟</v>
      </c>
      <c r="G77" s="4" t="s">
        <v>140</v>
      </c>
      <c r="H77" s="3"/>
      <c r="I77" s="3"/>
      <c r="J77" s="3"/>
      <c r="K77" s="3"/>
    </row>
    <row r="78" ht="13.5" spans="1:11">
      <c r="A78" s="4" t="s">
        <v>164</v>
      </c>
      <c r="B78" s="4" t="s">
        <v>153</v>
      </c>
      <c r="C78" s="4"/>
      <c r="D78" s="4">
        <v>3</v>
      </c>
      <c r="E78" s="5">
        <f t="shared" si="3"/>
        <v>252</v>
      </c>
      <c r="F78" s="6" t="str">
        <f t="shared" si="2"/>
        <v>4小时12分钟</v>
      </c>
      <c r="G78" s="4" t="s">
        <v>154</v>
      </c>
      <c r="H78" s="3"/>
      <c r="I78" s="3"/>
      <c r="J78" s="3"/>
      <c r="K78" s="3"/>
    </row>
    <row r="79" ht="13.5" spans="1:11">
      <c r="A79" s="4" t="s">
        <v>165</v>
      </c>
      <c r="B79" s="4" t="s">
        <v>166</v>
      </c>
      <c r="C79" s="4"/>
      <c r="D79" s="4">
        <v>7</v>
      </c>
      <c r="E79" s="5">
        <f t="shared" si="3"/>
        <v>259</v>
      </c>
      <c r="F79" s="6" t="str">
        <f t="shared" si="2"/>
        <v>4小时19分钟</v>
      </c>
      <c r="G79" s="4" t="s">
        <v>66</v>
      </c>
      <c r="H79" s="3"/>
      <c r="I79" s="3"/>
      <c r="J79" s="3"/>
      <c r="K79" s="3"/>
    </row>
    <row r="80" ht="13.5" spans="1:11">
      <c r="A80" s="4" t="s">
        <v>167</v>
      </c>
      <c r="B80" s="4" t="s">
        <v>132</v>
      </c>
      <c r="C80" s="4"/>
      <c r="D80" s="4">
        <v>7</v>
      </c>
      <c r="E80" s="5">
        <f t="shared" si="3"/>
        <v>266</v>
      </c>
      <c r="F80" s="6" t="str">
        <f t="shared" si="2"/>
        <v>4小时26分钟</v>
      </c>
      <c r="G80" s="4" t="s">
        <v>19</v>
      </c>
      <c r="H80" s="3"/>
      <c r="I80" s="3"/>
      <c r="J80" s="3"/>
      <c r="K80" s="3"/>
    </row>
    <row r="81" ht="13.5" spans="1:11">
      <c r="A81" s="4" t="s">
        <v>168</v>
      </c>
      <c r="B81" s="4" t="s">
        <v>169</v>
      </c>
      <c r="C81" s="4"/>
      <c r="D81" s="4">
        <v>15</v>
      </c>
      <c r="E81" s="5">
        <f t="shared" si="3"/>
        <v>281</v>
      </c>
      <c r="F81" s="6" t="str">
        <f t="shared" si="2"/>
        <v>4小时41分钟</v>
      </c>
      <c r="G81" s="4" t="s">
        <v>170</v>
      </c>
      <c r="H81" s="3"/>
      <c r="I81" s="3"/>
      <c r="J81" s="3"/>
      <c r="K81" s="3"/>
    </row>
    <row r="82" ht="13.5" spans="1:11">
      <c r="A82" s="4" t="s">
        <v>171</v>
      </c>
      <c r="B82" s="4" t="s">
        <v>156</v>
      </c>
      <c r="C82" s="4"/>
      <c r="D82" s="4">
        <v>2</v>
      </c>
      <c r="E82" s="5">
        <f t="shared" si="3"/>
        <v>283</v>
      </c>
      <c r="F82" s="6" t="str">
        <f t="shared" si="2"/>
        <v>4小时43分钟</v>
      </c>
      <c r="G82" s="4" t="s">
        <v>13</v>
      </c>
      <c r="H82" s="3"/>
      <c r="I82" s="3"/>
      <c r="J82" s="3"/>
      <c r="K82" s="3"/>
    </row>
    <row r="83" ht="13.5" spans="1:11">
      <c r="A83" s="4" t="s">
        <v>172</v>
      </c>
      <c r="B83" s="4" t="s">
        <v>129</v>
      </c>
      <c r="C83" s="4"/>
      <c r="D83" s="4">
        <v>3</v>
      </c>
      <c r="E83" s="5">
        <f t="shared" si="3"/>
        <v>286</v>
      </c>
      <c r="F83" s="6" t="str">
        <f t="shared" si="2"/>
        <v>4小时46分钟</v>
      </c>
      <c r="G83" s="4" t="s">
        <v>130</v>
      </c>
      <c r="H83" s="3"/>
      <c r="I83" s="3"/>
      <c r="J83" s="3"/>
      <c r="K83" s="3"/>
    </row>
    <row r="84" ht="13.5" spans="1:11">
      <c r="A84" s="4" t="s">
        <v>173</v>
      </c>
      <c r="B84" s="4" t="s">
        <v>174</v>
      </c>
      <c r="C84" s="4"/>
      <c r="D84" s="4">
        <v>2</v>
      </c>
      <c r="E84" s="5">
        <f t="shared" si="3"/>
        <v>288</v>
      </c>
      <c r="F84" s="6" t="str">
        <f t="shared" si="2"/>
        <v>4小时48分钟</v>
      </c>
      <c r="G84" s="4" t="s">
        <v>175</v>
      </c>
      <c r="H84" s="3"/>
      <c r="I84" s="3"/>
      <c r="J84" s="3"/>
      <c r="K84" s="3"/>
    </row>
    <row r="85" ht="13.5" spans="1:11">
      <c r="A85" s="4" t="s">
        <v>176</v>
      </c>
      <c r="B85" s="4" t="s">
        <v>129</v>
      </c>
      <c r="C85" s="4"/>
      <c r="D85" s="4">
        <v>3</v>
      </c>
      <c r="E85" s="5">
        <f t="shared" si="3"/>
        <v>291</v>
      </c>
      <c r="F85" s="6" t="str">
        <f t="shared" si="2"/>
        <v>4小时51分钟</v>
      </c>
      <c r="G85" s="4" t="s">
        <v>130</v>
      </c>
      <c r="H85" s="3"/>
      <c r="I85" s="3"/>
      <c r="J85" s="3"/>
      <c r="K85" s="3"/>
    </row>
    <row r="86" ht="13.5" spans="1:11">
      <c r="A86" s="4" t="s">
        <v>177</v>
      </c>
      <c r="B86" s="4" t="s">
        <v>143</v>
      </c>
      <c r="C86" s="4"/>
      <c r="D86" s="4">
        <v>2</v>
      </c>
      <c r="E86" s="5">
        <f t="shared" si="3"/>
        <v>293</v>
      </c>
      <c r="F86" s="6" t="str">
        <f t="shared" si="2"/>
        <v>4小时53分钟</v>
      </c>
      <c r="G86" s="4" t="s">
        <v>144</v>
      </c>
      <c r="H86" s="3"/>
      <c r="I86" s="3"/>
      <c r="J86" s="3"/>
      <c r="K86" s="3"/>
    </row>
    <row r="87" ht="13.5" spans="1:11">
      <c r="A87" s="4" t="s">
        <v>178</v>
      </c>
      <c r="B87" s="4" t="s">
        <v>137</v>
      </c>
      <c r="C87" s="4"/>
      <c r="D87" s="4">
        <v>2</v>
      </c>
      <c r="E87" s="5">
        <f t="shared" si="3"/>
        <v>295</v>
      </c>
      <c r="F87" s="6" t="str">
        <f t="shared" si="2"/>
        <v>4小时55分钟</v>
      </c>
      <c r="G87" s="4" t="s">
        <v>7</v>
      </c>
      <c r="H87" s="3"/>
      <c r="I87" s="3"/>
      <c r="J87" s="3"/>
      <c r="K87" s="3"/>
    </row>
    <row r="88" ht="13.5" spans="1:11">
      <c r="A88" s="4" t="s">
        <v>179</v>
      </c>
      <c r="B88" s="4" t="s">
        <v>132</v>
      </c>
      <c r="C88" s="4"/>
      <c r="D88" s="4">
        <v>7</v>
      </c>
      <c r="E88" s="5">
        <f t="shared" si="3"/>
        <v>302</v>
      </c>
      <c r="F88" s="6" t="str">
        <f t="shared" si="2"/>
        <v>5小时2分钟</v>
      </c>
      <c r="G88" s="4" t="s">
        <v>19</v>
      </c>
      <c r="H88" s="3"/>
      <c r="I88" s="3"/>
      <c r="J88" s="3"/>
      <c r="K88" s="3"/>
    </row>
    <row r="89" ht="13.5" spans="1:11">
      <c r="A89" s="4" t="s">
        <v>180</v>
      </c>
      <c r="B89" s="4" t="s">
        <v>137</v>
      </c>
      <c r="C89" s="4"/>
      <c r="D89" s="4">
        <v>2</v>
      </c>
      <c r="E89" s="5">
        <f t="shared" si="3"/>
        <v>304</v>
      </c>
      <c r="F89" s="6" t="str">
        <f t="shared" si="2"/>
        <v>5小时4分钟</v>
      </c>
      <c r="G89" s="4" t="s">
        <v>7</v>
      </c>
      <c r="H89" s="3"/>
      <c r="I89" s="3"/>
      <c r="J89" s="3"/>
      <c r="K89" s="3"/>
    </row>
    <row r="90" ht="13.5" spans="1:11">
      <c r="A90" s="4" t="s">
        <v>181</v>
      </c>
      <c r="B90" s="4" t="s">
        <v>156</v>
      </c>
      <c r="C90" s="4"/>
      <c r="D90" s="4">
        <v>2</v>
      </c>
      <c r="E90" s="5">
        <f t="shared" si="3"/>
        <v>306</v>
      </c>
      <c r="F90" s="6" t="str">
        <f t="shared" si="2"/>
        <v>5小时6分钟</v>
      </c>
      <c r="G90" s="4" t="s">
        <v>13</v>
      </c>
      <c r="H90" s="3"/>
      <c r="I90" s="3"/>
      <c r="J90" s="3"/>
      <c r="K90" s="3"/>
    </row>
    <row r="91" ht="13.5" spans="1:11">
      <c r="A91" s="4" t="s">
        <v>182</v>
      </c>
      <c r="B91" s="4" t="s">
        <v>139</v>
      </c>
      <c r="C91" s="4"/>
      <c r="D91" s="4">
        <v>3</v>
      </c>
      <c r="E91" s="5">
        <f t="shared" si="3"/>
        <v>309</v>
      </c>
      <c r="F91" s="6" t="str">
        <f t="shared" si="2"/>
        <v>5小时9分钟</v>
      </c>
      <c r="G91" s="4" t="s">
        <v>140</v>
      </c>
      <c r="H91" s="3"/>
      <c r="I91" s="3"/>
      <c r="J91" s="3"/>
      <c r="K91" s="3"/>
    </row>
    <row r="92" ht="13.5" spans="1:11">
      <c r="A92" s="4" t="s">
        <v>183</v>
      </c>
      <c r="B92" s="4" t="s">
        <v>184</v>
      </c>
      <c r="C92" s="4"/>
      <c r="D92" s="4">
        <v>2</v>
      </c>
      <c r="E92" s="5">
        <f t="shared" si="3"/>
        <v>311</v>
      </c>
      <c r="F92" s="6" t="str">
        <f t="shared" si="2"/>
        <v>5小时11分钟</v>
      </c>
      <c r="G92" s="4" t="s">
        <v>185</v>
      </c>
      <c r="H92" s="3"/>
      <c r="I92" s="3"/>
      <c r="J92" s="3"/>
      <c r="K92" s="3"/>
    </row>
    <row r="93" ht="13.5" spans="1:11">
      <c r="A93" s="4" t="s">
        <v>186</v>
      </c>
      <c r="B93" s="4" t="s">
        <v>129</v>
      </c>
      <c r="C93" s="4"/>
      <c r="D93" s="4">
        <v>3</v>
      </c>
      <c r="E93" s="5">
        <f t="shared" si="3"/>
        <v>314</v>
      </c>
      <c r="F93" s="6" t="str">
        <f t="shared" si="2"/>
        <v>5小时14分钟</v>
      </c>
      <c r="G93" s="4" t="s">
        <v>130</v>
      </c>
      <c r="H93" s="3"/>
      <c r="I93" s="3"/>
      <c r="J93" s="3"/>
      <c r="K93" s="3"/>
    </row>
    <row r="94" ht="13.5" spans="1:11">
      <c r="A94" s="4" t="s">
        <v>187</v>
      </c>
      <c r="B94" s="4" t="s">
        <v>188</v>
      </c>
      <c r="C94" s="4"/>
      <c r="D94" s="4">
        <v>3</v>
      </c>
      <c r="E94" s="5">
        <f t="shared" si="3"/>
        <v>317</v>
      </c>
      <c r="F94" s="6" t="str">
        <f t="shared" si="2"/>
        <v>5小时17分钟</v>
      </c>
      <c r="G94" s="4" t="s">
        <v>189</v>
      </c>
      <c r="H94" s="3"/>
      <c r="I94" s="3"/>
      <c r="J94" s="3"/>
      <c r="K94" s="3"/>
    </row>
    <row r="95" ht="13.5" spans="1:11">
      <c r="A95" s="4" t="s">
        <v>190</v>
      </c>
      <c r="B95" s="4" t="s">
        <v>191</v>
      </c>
      <c r="C95" s="4"/>
      <c r="D95" s="4">
        <v>1</v>
      </c>
      <c r="E95" s="5">
        <f t="shared" si="3"/>
        <v>318</v>
      </c>
      <c r="F95" s="6" t="str">
        <f t="shared" si="2"/>
        <v>5小时18分钟</v>
      </c>
      <c r="G95" s="4" t="s">
        <v>192</v>
      </c>
      <c r="H95" s="3"/>
      <c r="I95" s="3"/>
      <c r="J95" s="3"/>
      <c r="K95" s="3"/>
    </row>
    <row r="96" ht="13.5" spans="1:11">
      <c r="A96" s="4" t="s">
        <v>193</v>
      </c>
      <c r="B96" s="4" t="s">
        <v>132</v>
      </c>
      <c r="C96" s="4"/>
      <c r="D96" s="4">
        <v>7</v>
      </c>
      <c r="E96" s="5">
        <f t="shared" si="3"/>
        <v>325</v>
      </c>
      <c r="F96" s="6" t="str">
        <f t="shared" si="2"/>
        <v>5小时25分钟</v>
      </c>
      <c r="G96" s="4" t="s">
        <v>19</v>
      </c>
      <c r="H96" s="3"/>
      <c r="I96" s="3"/>
      <c r="J96" s="3"/>
      <c r="K96" s="3"/>
    </row>
    <row r="97" ht="13.5" spans="1:11">
      <c r="A97" s="4" t="s">
        <v>194</v>
      </c>
      <c r="B97" s="4" t="s">
        <v>195</v>
      </c>
      <c r="C97" s="4"/>
      <c r="D97" s="4">
        <v>2</v>
      </c>
      <c r="E97" s="5">
        <f t="shared" si="3"/>
        <v>327</v>
      </c>
      <c r="F97" s="6" t="str">
        <f t="shared" si="2"/>
        <v>5小时27分钟</v>
      </c>
      <c r="G97" s="4" t="s">
        <v>196</v>
      </c>
      <c r="H97" s="3"/>
      <c r="I97" s="3"/>
      <c r="J97" s="3"/>
      <c r="K97" s="3"/>
    </row>
    <row r="98" ht="13.5" spans="1:11">
      <c r="A98" s="4" t="s">
        <v>197</v>
      </c>
      <c r="B98" s="4" t="s">
        <v>198</v>
      </c>
      <c r="C98" s="4"/>
      <c r="D98" s="4">
        <v>3</v>
      </c>
      <c r="E98" s="5">
        <f t="shared" si="3"/>
        <v>330</v>
      </c>
      <c r="F98" s="6" t="str">
        <f t="shared" si="2"/>
        <v>5小时30分钟</v>
      </c>
      <c r="G98" s="4" t="s">
        <v>199</v>
      </c>
      <c r="H98" s="3"/>
      <c r="I98" s="3"/>
      <c r="J98" s="3"/>
      <c r="K98" s="3"/>
    </row>
    <row r="99" ht="13.5" spans="1:11">
      <c r="A99" s="4" t="s">
        <v>200</v>
      </c>
      <c r="B99" s="4" t="s">
        <v>129</v>
      </c>
      <c r="C99" s="4"/>
      <c r="D99" s="4">
        <v>3</v>
      </c>
      <c r="E99" s="5">
        <f t="shared" si="3"/>
        <v>333</v>
      </c>
      <c r="F99" s="6" t="str">
        <f t="shared" si="2"/>
        <v>5小时33分钟</v>
      </c>
      <c r="G99" s="4" t="s">
        <v>130</v>
      </c>
      <c r="H99" s="3"/>
      <c r="I99" s="3"/>
      <c r="J99" s="3"/>
      <c r="K99" s="3"/>
    </row>
    <row r="100" ht="13.5" spans="1:11">
      <c r="A100" s="4" t="s">
        <v>201</v>
      </c>
      <c r="B100" s="4" t="s">
        <v>153</v>
      </c>
      <c r="C100" s="4"/>
      <c r="D100" s="4">
        <v>3</v>
      </c>
      <c r="E100" s="5">
        <f t="shared" si="3"/>
        <v>336</v>
      </c>
      <c r="F100" s="6" t="str">
        <f t="shared" si="2"/>
        <v>5小时36分钟</v>
      </c>
      <c r="G100" s="4" t="s">
        <v>154</v>
      </c>
      <c r="H100" s="3"/>
      <c r="I100" s="3"/>
      <c r="J100" s="3"/>
      <c r="K100" s="3"/>
    </row>
    <row r="101" ht="13.5" spans="1:11">
      <c r="A101" s="4" t="s">
        <v>202</v>
      </c>
      <c r="B101" s="4" t="s">
        <v>137</v>
      </c>
      <c r="C101" s="4"/>
      <c r="D101" s="4">
        <v>2</v>
      </c>
      <c r="E101" s="5">
        <f t="shared" si="3"/>
        <v>338</v>
      </c>
      <c r="F101" s="6" t="str">
        <f t="shared" si="2"/>
        <v>5小时38分钟</v>
      </c>
      <c r="G101" s="4" t="s">
        <v>7</v>
      </c>
      <c r="H101" s="3"/>
      <c r="I101" s="3"/>
      <c r="J101" s="3"/>
      <c r="K101" s="3"/>
    </row>
    <row r="102" ht="13.5" spans="1:11">
      <c r="A102" s="4" t="s">
        <v>203</v>
      </c>
      <c r="B102" s="4" t="s">
        <v>132</v>
      </c>
      <c r="C102" s="4"/>
      <c r="D102" s="4">
        <v>7</v>
      </c>
      <c r="E102" s="5">
        <f t="shared" si="3"/>
        <v>345</v>
      </c>
      <c r="F102" s="6" t="str">
        <f t="shared" si="2"/>
        <v>5小时45分钟</v>
      </c>
      <c r="G102" s="4" t="s">
        <v>19</v>
      </c>
      <c r="H102" s="3"/>
      <c r="I102" s="3"/>
      <c r="J102" s="3"/>
      <c r="K102" s="3"/>
    </row>
    <row r="103" ht="13.5" spans="1:11">
      <c r="A103" s="4" t="s">
        <v>204</v>
      </c>
      <c r="B103" s="4" t="s">
        <v>143</v>
      </c>
      <c r="C103" s="4"/>
      <c r="D103" s="4">
        <v>2</v>
      </c>
      <c r="E103" s="5">
        <f t="shared" si="3"/>
        <v>347</v>
      </c>
      <c r="F103" s="6" t="str">
        <f t="shared" si="2"/>
        <v>5小时47分钟</v>
      </c>
      <c r="G103" s="4" t="s">
        <v>144</v>
      </c>
      <c r="H103" s="3"/>
      <c r="I103" s="3"/>
      <c r="J103" s="3"/>
      <c r="K103" s="3"/>
    </row>
    <row r="104" ht="13.5" spans="1:11">
      <c r="A104" s="4" t="s">
        <v>205</v>
      </c>
      <c r="B104" s="4" t="s">
        <v>156</v>
      </c>
      <c r="C104" s="4"/>
      <c r="D104" s="4">
        <v>2</v>
      </c>
      <c r="E104" s="5">
        <f t="shared" si="3"/>
        <v>349</v>
      </c>
      <c r="F104" s="6" t="str">
        <f t="shared" si="2"/>
        <v>5小时49分钟</v>
      </c>
      <c r="G104" s="4" t="s">
        <v>13</v>
      </c>
      <c r="H104" s="3"/>
      <c r="I104" s="3"/>
      <c r="J104" s="3"/>
      <c r="K104" s="3"/>
    </row>
    <row r="105" ht="13.5" spans="1:11">
      <c r="A105" s="4" t="s">
        <v>206</v>
      </c>
      <c r="B105" s="4" t="s">
        <v>158</v>
      </c>
      <c r="C105" s="4"/>
      <c r="D105" s="4">
        <v>2</v>
      </c>
      <c r="E105" s="5">
        <f t="shared" si="3"/>
        <v>351</v>
      </c>
      <c r="F105" s="6" t="str">
        <f t="shared" si="2"/>
        <v>5小时51分钟</v>
      </c>
      <c r="G105" s="4" t="s">
        <v>159</v>
      </c>
      <c r="H105" s="3"/>
      <c r="I105" s="3"/>
      <c r="J105" s="3"/>
      <c r="K105" s="3"/>
    </row>
    <row r="106" ht="13.5" spans="1:11">
      <c r="A106" s="4" t="s">
        <v>207</v>
      </c>
      <c r="B106" s="4" t="s">
        <v>137</v>
      </c>
      <c r="C106" s="4"/>
      <c r="D106" s="4">
        <v>2</v>
      </c>
      <c r="E106" s="5">
        <f t="shared" si="3"/>
        <v>353</v>
      </c>
      <c r="F106" s="6" t="str">
        <f t="shared" si="2"/>
        <v>5小时53分钟</v>
      </c>
      <c r="G106" s="4" t="s">
        <v>7</v>
      </c>
      <c r="H106" s="3"/>
      <c r="I106" s="3"/>
      <c r="J106" s="3"/>
      <c r="K106" s="3"/>
    </row>
    <row r="107" ht="13.5" spans="1:11">
      <c r="A107" s="4" t="s">
        <v>208</v>
      </c>
      <c r="B107" s="4" t="s">
        <v>158</v>
      </c>
      <c r="C107" s="4"/>
      <c r="D107" s="4">
        <v>2</v>
      </c>
      <c r="E107" s="5">
        <f t="shared" si="3"/>
        <v>355</v>
      </c>
      <c r="F107" s="6" t="str">
        <f t="shared" si="2"/>
        <v>5小时55分钟</v>
      </c>
      <c r="G107" s="4" t="s">
        <v>159</v>
      </c>
      <c r="H107" s="3"/>
      <c r="I107" s="3"/>
      <c r="J107" s="3"/>
      <c r="K107" s="3"/>
    </row>
    <row r="108" ht="13.5" spans="1:11">
      <c r="A108" s="4" t="s">
        <v>209</v>
      </c>
      <c r="B108" s="4" t="s">
        <v>156</v>
      </c>
      <c r="C108" s="4"/>
      <c r="D108" s="4">
        <v>2</v>
      </c>
      <c r="E108" s="5">
        <f t="shared" si="3"/>
        <v>357</v>
      </c>
      <c r="F108" s="6" t="str">
        <f t="shared" si="2"/>
        <v>5小时57分钟</v>
      </c>
      <c r="G108" s="4" t="s">
        <v>13</v>
      </c>
      <c r="H108" s="3"/>
      <c r="I108" s="3"/>
      <c r="J108" s="3"/>
      <c r="K108" s="3"/>
    </row>
    <row r="109" ht="13.5" spans="1:11">
      <c r="A109" s="4" t="s">
        <v>210</v>
      </c>
      <c r="B109" s="4" t="s">
        <v>146</v>
      </c>
      <c r="C109" s="4"/>
      <c r="D109" s="4">
        <v>2</v>
      </c>
      <c r="E109" s="5">
        <f t="shared" si="3"/>
        <v>359</v>
      </c>
      <c r="F109" s="6" t="str">
        <f t="shared" si="2"/>
        <v>5小时59分钟</v>
      </c>
      <c r="G109" s="4" t="s">
        <v>147</v>
      </c>
      <c r="H109" s="3"/>
      <c r="I109" s="3"/>
      <c r="J109" s="3"/>
      <c r="K109" s="3"/>
    </row>
    <row r="110" ht="13.5" spans="1:11">
      <c r="A110" s="4" t="s">
        <v>211</v>
      </c>
      <c r="B110" s="4" t="s">
        <v>212</v>
      </c>
      <c r="C110" s="4"/>
      <c r="D110" s="4">
        <v>2</v>
      </c>
      <c r="E110" s="5">
        <f t="shared" si="3"/>
        <v>361</v>
      </c>
      <c r="F110" s="6" t="str">
        <f t="shared" si="2"/>
        <v>6小时1分钟</v>
      </c>
      <c r="G110" s="4" t="s">
        <v>213</v>
      </c>
      <c r="H110" s="3"/>
      <c r="I110" s="3"/>
      <c r="J110" s="3"/>
      <c r="K110" s="3"/>
    </row>
    <row r="111" ht="13.5" spans="1:11">
      <c r="A111" s="4" t="s">
        <v>214</v>
      </c>
      <c r="B111" s="4" t="s">
        <v>215</v>
      </c>
      <c r="C111" s="4"/>
      <c r="D111" s="4">
        <v>7</v>
      </c>
      <c r="E111" s="5">
        <f t="shared" si="3"/>
        <v>368</v>
      </c>
      <c r="F111" s="6" t="str">
        <f t="shared" si="2"/>
        <v>6小时8分钟</v>
      </c>
      <c r="G111" s="4" t="s">
        <v>122</v>
      </c>
      <c r="H111" s="3"/>
      <c r="I111" s="3"/>
      <c r="J111" s="3"/>
      <c r="K111" s="3"/>
    </row>
    <row r="112" ht="13.5" spans="1:11">
      <c r="A112" s="4" t="s">
        <v>216</v>
      </c>
      <c r="B112" s="4" t="s">
        <v>217</v>
      </c>
      <c r="C112" s="4"/>
      <c r="D112" s="4">
        <v>3</v>
      </c>
      <c r="E112" s="5">
        <f t="shared" si="3"/>
        <v>371</v>
      </c>
      <c r="F112" s="6" t="str">
        <f t="shared" si="2"/>
        <v>6小时11分钟</v>
      </c>
      <c r="G112" s="4" t="s">
        <v>218</v>
      </c>
      <c r="H112" s="3"/>
      <c r="I112" s="3"/>
      <c r="J112" s="3"/>
      <c r="K112" s="3"/>
    </row>
    <row r="113" ht="13.5" spans="1:11">
      <c r="A113" s="4" t="s">
        <v>219</v>
      </c>
      <c r="B113" s="4" t="s">
        <v>188</v>
      </c>
      <c r="C113" s="4"/>
      <c r="D113" s="4">
        <v>3</v>
      </c>
      <c r="E113" s="5">
        <f t="shared" si="3"/>
        <v>374</v>
      </c>
      <c r="F113" s="6" t="str">
        <f t="shared" si="2"/>
        <v>6小时14分钟</v>
      </c>
      <c r="G113" s="4" t="s">
        <v>189</v>
      </c>
      <c r="H113" s="3"/>
      <c r="I113" s="3"/>
      <c r="J113" s="3"/>
      <c r="K113" s="3"/>
    </row>
    <row r="114" ht="13.5" spans="1:11">
      <c r="A114" s="4" t="s">
        <v>220</v>
      </c>
      <c r="B114" s="4" t="s">
        <v>156</v>
      </c>
      <c r="C114" s="4"/>
      <c r="D114" s="4">
        <v>2</v>
      </c>
      <c r="E114" s="5">
        <f t="shared" si="3"/>
        <v>376</v>
      </c>
      <c r="F114" s="6" t="str">
        <f t="shared" si="2"/>
        <v>6小时16分钟</v>
      </c>
      <c r="G114" s="4" t="s">
        <v>13</v>
      </c>
      <c r="H114" s="3"/>
      <c r="I114" s="3"/>
      <c r="J114" s="3"/>
      <c r="K114" s="3"/>
    </row>
    <row r="115" ht="13.5" spans="1:11">
      <c r="A115" s="4" t="s">
        <v>221</v>
      </c>
      <c r="B115" s="4" t="s">
        <v>129</v>
      </c>
      <c r="C115" s="4"/>
      <c r="D115" s="4">
        <v>3</v>
      </c>
      <c r="E115" s="5">
        <f t="shared" si="3"/>
        <v>379</v>
      </c>
      <c r="F115" s="6" t="str">
        <f t="shared" si="2"/>
        <v>6小时19分钟</v>
      </c>
      <c r="G115" s="4" t="s">
        <v>130</v>
      </c>
      <c r="H115" s="3"/>
      <c r="I115" s="3"/>
      <c r="J115" s="3"/>
      <c r="K115" s="3"/>
    </row>
    <row r="116" ht="13.5" spans="1:11">
      <c r="A116" s="4" t="s">
        <v>222</v>
      </c>
      <c r="B116" s="4" t="s">
        <v>223</v>
      </c>
      <c r="C116" s="4"/>
      <c r="D116" s="4">
        <v>2</v>
      </c>
      <c r="E116" s="5">
        <f t="shared" si="3"/>
        <v>381</v>
      </c>
      <c r="F116" s="6" t="str">
        <f t="shared" si="2"/>
        <v>6小时21分钟</v>
      </c>
      <c r="G116" s="4" t="s">
        <v>224</v>
      </c>
      <c r="H116" s="3"/>
      <c r="I116" s="3"/>
      <c r="J116" s="3"/>
      <c r="K116" s="3"/>
    </row>
    <row r="117" ht="13.5" spans="1:11">
      <c r="A117" s="4" t="s">
        <v>225</v>
      </c>
      <c r="B117" s="4" t="s">
        <v>226</v>
      </c>
      <c r="C117" s="4"/>
      <c r="D117" s="4">
        <v>3</v>
      </c>
      <c r="E117" s="5">
        <f t="shared" si="3"/>
        <v>384</v>
      </c>
      <c r="F117" s="6" t="str">
        <f t="shared" si="2"/>
        <v>6小时24分钟</v>
      </c>
      <c r="G117" s="4" t="s">
        <v>227</v>
      </c>
      <c r="H117" s="3"/>
      <c r="I117" s="3"/>
      <c r="J117" s="3"/>
      <c r="K117" s="3"/>
    </row>
    <row r="118" ht="13.5" spans="1:11">
      <c r="A118" s="4" t="s">
        <v>228</v>
      </c>
      <c r="B118" s="4" t="s">
        <v>229</v>
      </c>
      <c r="C118" s="4"/>
      <c r="D118" s="4">
        <v>7</v>
      </c>
      <c r="E118" s="5">
        <f t="shared" si="3"/>
        <v>391</v>
      </c>
      <c r="F118" s="6" t="str">
        <f t="shared" si="2"/>
        <v>6小时31分钟</v>
      </c>
      <c r="G118" s="4" t="s">
        <v>29</v>
      </c>
      <c r="H118" s="3"/>
      <c r="I118" s="3"/>
      <c r="J118" s="3"/>
      <c r="K118" s="3"/>
    </row>
    <row r="119" ht="13.5" spans="1:11">
      <c r="A119" s="4" t="s">
        <v>230</v>
      </c>
      <c r="B119" s="4" t="s">
        <v>129</v>
      </c>
      <c r="C119" s="4"/>
      <c r="D119" s="4">
        <v>3</v>
      </c>
      <c r="E119" s="5">
        <f t="shared" si="3"/>
        <v>394</v>
      </c>
      <c r="F119" s="6" t="str">
        <f t="shared" si="2"/>
        <v>6小时34分钟</v>
      </c>
      <c r="G119" s="4" t="s">
        <v>130</v>
      </c>
      <c r="H119" s="3"/>
      <c r="I119" s="3"/>
      <c r="J119" s="3"/>
      <c r="K119" s="3"/>
    </row>
    <row r="120" ht="14.25" spans="1:11">
      <c r="A120" s="4" t="s">
        <v>231</v>
      </c>
      <c r="B120" s="4" t="s">
        <v>232</v>
      </c>
      <c r="C120" s="4"/>
      <c r="D120" s="4">
        <v>2</v>
      </c>
      <c r="E120" s="5">
        <f t="shared" si="3"/>
        <v>396</v>
      </c>
      <c r="F120" s="6" t="str">
        <f t="shared" si="2"/>
        <v>6小时36分钟</v>
      </c>
      <c r="G120" s="4" t="s">
        <v>73</v>
      </c>
      <c r="H120" s="3"/>
      <c r="I120" s="3"/>
      <c r="J120" s="3"/>
      <c r="K120" s="3"/>
    </row>
    <row r="121" ht="13.5" spans="1:11">
      <c r="A121" s="4" t="s">
        <v>233</v>
      </c>
      <c r="B121" s="4" t="s">
        <v>132</v>
      </c>
      <c r="C121" s="4"/>
      <c r="D121" s="4">
        <v>7</v>
      </c>
      <c r="E121" s="5">
        <f t="shared" si="3"/>
        <v>403</v>
      </c>
      <c r="F121" s="6" t="str">
        <f t="shared" si="2"/>
        <v>6小时43分钟</v>
      </c>
      <c r="G121" s="4" t="s">
        <v>19</v>
      </c>
      <c r="H121" s="3"/>
      <c r="I121" s="3"/>
      <c r="J121" s="3"/>
      <c r="K121" s="3"/>
    </row>
    <row r="122" ht="13.5" spans="1:11">
      <c r="A122" s="4" t="s">
        <v>234</v>
      </c>
      <c r="B122" s="4" t="s">
        <v>235</v>
      </c>
      <c r="C122" s="4"/>
      <c r="D122" s="4">
        <v>3</v>
      </c>
      <c r="E122" s="5">
        <f t="shared" si="3"/>
        <v>406</v>
      </c>
      <c r="F122" s="6" t="str">
        <f t="shared" si="2"/>
        <v>6小时46分钟</v>
      </c>
      <c r="G122" s="4" t="s">
        <v>236</v>
      </c>
      <c r="H122" s="3"/>
      <c r="I122" s="3"/>
      <c r="J122" s="3"/>
      <c r="K122" s="3"/>
    </row>
    <row r="123" ht="13.5" spans="1:11">
      <c r="A123" s="4" t="s">
        <v>237</v>
      </c>
      <c r="B123" s="4" t="s">
        <v>156</v>
      </c>
      <c r="C123" s="4"/>
      <c r="D123" s="4">
        <v>2</v>
      </c>
      <c r="E123" s="5">
        <f t="shared" si="3"/>
        <v>408</v>
      </c>
      <c r="F123" s="6" t="str">
        <f t="shared" si="2"/>
        <v>6小时48分钟</v>
      </c>
      <c r="G123" s="4" t="s">
        <v>13</v>
      </c>
      <c r="H123" s="3"/>
      <c r="I123" s="3"/>
      <c r="J123" s="3"/>
      <c r="K123" s="3"/>
    </row>
    <row r="124" ht="13.5" spans="1:11">
      <c r="A124" s="4" t="s">
        <v>238</v>
      </c>
      <c r="B124" s="4" t="s">
        <v>153</v>
      </c>
      <c r="C124" s="4"/>
      <c r="D124" s="4">
        <v>3</v>
      </c>
      <c r="E124" s="5">
        <f t="shared" si="3"/>
        <v>411</v>
      </c>
      <c r="F124" s="6" t="str">
        <f t="shared" si="2"/>
        <v>6小时51分钟</v>
      </c>
      <c r="G124" s="4" t="s">
        <v>154</v>
      </c>
      <c r="H124" s="3"/>
      <c r="I124" s="3"/>
      <c r="J124" s="3"/>
      <c r="K124" s="3"/>
    </row>
    <row r="125" ht="27" spans="1:11">
      <c r="A125" s="4" t="s">
        <v>239</v>
      </c>
      <c r="B125" s="4" t="s">
        <v>240</v>
      </c>
      <c r="C125" s="4"/>
      <c r="D125" s="4">
        <v>150</v>
      </c>
      <c r="E125" s="5">
        <f t="shared" si="3"/>
        <v>561</v>
      </c>
      <c r="F125" s="6" t="str">
        <f t="shared" si="2"/>
        <v>9小时21分钟</v>
      </c>
      <c r="G125" s="7" t="s">
        <v>241</v>
      </c>
      <c r="H125" s="3"/>
      <c r="I125" s="3"/>
      <c r="J125" s="3"/>
      <c r="K125" s="3"/>
    </row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</sheetData>
  <hyperlinks>
    <hyperlink ref="G32" r:id="rId1" display="1.若当前处于灭屏状态，按POWER点亮屏幕，滑动解锁进入主界面，下拉状态打开WIFI（约5秒）&#10;2.手机桌面主界面1秒一滑左右滑动2次后，点击Chrome应用图标，打开Chrome，待Chrome应用完全加载完成后。（约10秒）&#10;3.Chrome界面点击搜索栏，输入www.baidu.com，并进入百度主页（约10秒）&#10;4.百度界面每3秒从顶部向下开始滑动，每三秒滑动一次，每次滑动界面1/4距离（从屏幕距离底部1/4滑动到中间1/2）；若滑动到底部后无法滑动时，向上滑动，步长仍为1/4（约85秒）&#10;5.home键退出Chrome回到桌面主界面，待桌面无变化（约10秒）&#10;6.记录整个过程2分钟（120秒）的平均功耗数据。"/>
    <hyperlink ref="G120" r:id="rId1" display="1.若当前处于灭屏状态，按POWER点亮屏幕，滑动解锁进入主界面，下拉状态打开WIFI（约5秒）&#10;2.手机桌面主界面1秒一滑左右滑动2次后，点击Chrome应用图标，打开Chrome，待Chrome应用完全加载完成后。（约10秒）&#10;3.Chrome界面点击搜索栏，输入www.baidu.com，并进入百度主页（约10秒）&#10;4.百度界面每3秒从顶部向下开始滑动，每三秒滑动一次，每次滑动界面1/4距离（从屏幕距离底部1/4滑动到中间1/2）；若滑动到底部后无法滑动时，向上滑动，步长仍为1/4（约85秒）&#10;5.home键退出Chrome回到桌面主界面，待桌面无变化（约10秒）&#10;6.记录整个过程2分钟（120秒）的平均功耗数据。"/>
  </hyperlinks>
  <pageMargins left="0.75" right="0.75" top="1" bottom="1" header="0.5" footer="0.5"/>
  <headerFooter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东南亚+南亚3.1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tingting.yao1</cp:lastModifiedBy>
  <dcterms:created xsi:type="dcterms:W3CDTF">2025-06-16T08:47:00Z</dcterms:created>
  <dcterms:modified xsi:type="dcterms:W3CDTF">2025-06-17T03:32:59Z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952F53077CE44BE2810B84E78FD8E7D1</vt:lpwstr>
  </property>
  <property fmtid="{D5CDD505-2E9C-101B-9397-08002B2CF9AE}" pid="3" name="KSOProductBuildVer">
    <vt:lpwstr>2052-11.8.2.12085</vt:lpwstr>
  </property>
</Properties>
</file>